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cc9a0b457441ce" /></Relationships>
</file>

<file path=xl/workbook.xml><?xml version="1.0" encoding="utf-8"?>
<x:workbook xmlns:x="http://schemas.openxmlformats.org/spreadsheetml/2006/main">
  <x:sheets>
    <x:sheet xmlns:r="http://schemas.openxmlformats.org/officeDocument/2006/relationships" name="Protocol" sheetId="1" r:id="Rf7ad2e8d665a4e59"/>
    <x:sheet xmlns:r="http://schemas.openxmlformats.org/officeDocument/2006/relationships" name="Search Log" sheetId="2" r:id="Ra4a96a93704f4d02"/>
    <x:sheet xmlns:r="http://schemas.openxmlformats.org/officeDocument/2006/relationships" name="Screening Summary" sheetId="3" r:id="R77204309278d4a01"/>
    <x:sheet xmlns:r="http://schemas.openxmlformats.org/officeDocument/2006/relationships" name="Batch 1 Catalog" sheetId="4" r:id="R1f6dbb2842c946ce"/>
    <x:sheet xmlns:r="http://schemas.openxmlformats.org/officeDocument/2006/relationships" name="Screening Queue" sheetId="5" r:id="Rb985b212e4a641f5"/>
    <x:sheet xmlns:r="http://schemas.openxmlformats.org/officeDocument/2006/relationships" name="Primary Studies" sheetId="6" r:id="R6925157bafe74457"/>
    <x:sheet xmlns:r="http://schemas.openxmlformats.org/officeDocument/2006/relationships" name="Evidence Syntheses" sheetId="7" r:id="Re53689ffde7b4aba"/>
    <x:sheet xmlns:r="http://schemas.openxmlformats.org/officeDocument/2006/relationships" name="Contextual Sources" sheetId="8" r:id="R685d8b08dc8f43c7"/>
    <x:sheet xmlns:r="http://schemas.openxmlformats.org/officeDocument/2006/relationships" name="Coverage" sheetId="9" r:id="Rd04c7a27bbc94cd3"/>
    <x:sheet xmlns:r="http://schemas.openxmlformats.org/officeDocument/2006/relationships" name="PDF Availability" sheetId="10" r:id="R9df8ebd228d24c9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1F1F1F"/>
      <x:name val="Carlito"/>
    </x:font>
    <x:font>
      <x:b/>
      <x:sz val="11"/>
      <x:color rgb="FFFFFFFF"/>
      <x:name val="Carlito"/>
    </x:font>
    <x:font>
      <x:sz val="11"/>
      <x:color rgb="FF0563C1"/>
      <x:name val="Carlito"/>
    </x:font>
    <x:font>
      <x:b/>
      <x:sz val="11"/>
      <x:name val="Carlito"/>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5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1" fillId="2"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4"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1" fillId="5" borderId="0" xfId="0" applyNumberFormat="1" applyFont="1" applyFill="1" applyBorder="1" applyAlignment="1">
      <x:alignment horizontal="center" vertical="center" wrapText="1"/>
    </x:xf>
    <x:xf numFmtId="0" fontId="5"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39c4325cb5b425c" /><Relationship Type="http://schemas.openxmlformats.org/officeDocument/2006/relationships/theme" Target="/xl/theme/theme1.xml" Id="R3eb1be69033f481f" /><Relationship Type="http://schemas.openxmlformats.org/officeDocument/2006/relationships/sharedStrings" Target="/xl/sharedStrings.xml" Id="R080b71685d5b4e5a" /><Relationship Type="http://schemas.openxmlformats.org/officeDocument/2006/relationships/worksheet" Target="/xl/worksheets/sheet1.xml" Id="Rf7ad2e8d665a4e59" /><Relationship Type="http://schemas.openxmlformats.org/officeDocument/2006/relationships/worksheet" Target="/xl/worksheets/sheet2.xml" Id="Ra4a96a93704f4d02" /><Relationship Type="http://schemas.openxmlformats.org/officeDocument/2006/relationships/worksheet" Target="/xl/worksheets/sheet3.xml" Id="R77204309278d4a01" /><Relationship Type="http://schemas.openxmlformats.org/officeDocument/2006/relationships/worksheet" Target="/xl/worksheets/sheet4.xml" Id="R1f6dbb2842c946ce" /><Relationship Type="http://schemas.openxmlformats.org/officeDocument/2006/relationships/worksheet" Target="/xl/worksheets/sheet5.xml" Id="Rb985b212e4a641f5" /><Relationship Type="http://schemas.openxmlformats.org/officeDocument/2006/relationships/worksheet" Target="/xl/worksheets/sheet6.xml" Id="R6925157bafe74457" /><Relationship Type="http://schemas.openxmlformats.org/officeDocument/2006/relationships/worksheet" Target="/xl/worksheets/sheet7.xml" Id="Re53689ffde7b4aba" /><Relationship Type="http://schemas.openxmlformats.org/officeDocument/2006/relationships/worksheet" Target="/xl/worksheets/sheet8.xml" Id="R685d8b08dc8f43c7" /><Relationship Type="http://schemas.openxmlformats.org/officeDocument/2006/relationships/worksheet" Target="/xl/worksheets/sheet9.xml" Id="Rd04c7a27bbc94cd3" /><Relationship Type="http://schemas.openxmlformats.org/officeDocument/2006/relationships/worksheet" Target="/xl/worksheets/sheet10.xml" Id="R9df8ebd228d24c93" /></Relationships>
</file>

<file path=xl/tables/table1.xml><?xml version="1.0" encoding="utf-8"?>
<x:table xmlns:x="http://schemas.openxmlformats.org/spreadsheetml/2006/main" id="1" name="SearchLogTable" displayName="SearchLogTable" ref="A1:H9" headerRowCount="1" totalsRowCount="0" totalsRowShown="0">
  <x:tableColumns count="8">
    <x:tableColumn id="1" name="Date"/>
    <x:tableColumn id="2" name="Search/source type"/>
    <x:tableColumn id="3" name="Source"/>
    <x:tableColumn id="4" name="Query or operation"/>
    <x:tableColumn id="5" name="Raw records"/>
    <x:tableColumn id="6" name="Exact-year records"/>
    <x:tableColumn id="7" name="Unique records"/>
    <x:tableColumn id="8" name="Notes"/>
  </x:tableColumns>
  <x:tableStyleInfo name="TableStyleMedium2" showFirstColumn="0" showLastColumn="0" showRowStripes="1" showColumnStripes="0"/>
</x:table>
</file>

<file path=xl/tables/table2.xml><?xml version="1.0" encoding="utf-8"?>
<x:table xmlns:x="http://schemas.openxmlformats.org/spreadsheetml/2006/main" id="2" name="Batch1CatalogTable" displayName="Batch1CatalogTable" ref="A1:U280" headerRowCount="1" totalsRowCount="0" totalsRowShown="0">
  <x:tableColumns count="21">
    <x:tableColumn id="1" name="Paper ID"/>
    <x:tableColumn id="2" name="Exact title"/>
    <x:tableColumn id="3" name="Authors"/>
    <x:tableColumn id="4" name="Publication year"/>
    <x:tableColumn id="5" name="Journal/source"/>
    <x:tableColumn id="6" name="Source type / study design"/>
    <x:tableColumn id="7" name="Topic tags"/>
    <x:tableColumn id="8" name="Population and actual age range"/>
    <x:tableColumn id="9" name="Country or setting"/>
    <x:tableColumn id="10" name="Data-collection / historical period"/>
    <x:tableColumn id="11" name="Brief description"/>
    <x:tableColumn id="12" name="DOI"/>
    <x:tableColumn id="13" name="PMID"/>
    <x:tableColumn id="14" name="Authoritative record URL"/>
    <x:tableColumn id="15" name="Open-access full-text / PDF URL"/>
    <x:tableColumn id="16" name="Access level"/>
    <x:tableColumn id="17" name="Discovery source and search query"/>
    <x:tableColumn id="18" name="Screening class"/>
    <x:tableColumn id="19" name="Screening reason"/>
    <x:tableColumn id="20" name="Underlying study/cohort (when apparent)"/>
    <x:tableColumn id="21" name="Correction / retraction note"/>
  </x:tableColumns>
  <x:tableStyleInfo name="TableStyleMedium2" showFirstColumn="0" showLastColumn="0" showRowStripes="1" showColumnStripes="0"/>
</x:table>
</file>

<file path=xl/tables/table3.xml><?xml version="1.0" encoding="utf-8"?>
<x:table xmlns:x="http://schemas.openxmlformats.org/spreadsheetml/2006/main" id="3" name="ScreeningQueueTable" displayName="ScreeningQueueTable" ref="A1:I2847" headerRowCount="1" totalsRowCount="0" totalsRowShown="0">
  <x:tableColumns count="9">
    <x:tableColumn id="1" name="Paper ID"/>
    <x:tableColumn id="2" name="Year"/>
    <x:tableColumn id="3" name="PMID"/>
    <x:tableColumn id="4" name="Title"/>
    <x:tableColumn id="5" name="Source type"/>
    <x:tableColumn id="6" name="Topic tags"/>
    <x:tableColumn id="7" name="Life stage"/>
    <x:tableColumn id="8" name="Screening class"/>
    <x:tableColumn id="9" name="Reason"/>
  </x:tableColumns>
  <x:tableStyleInfo name="TableStyleMedium2" showFirstColumn="0" showLastColumn="0" showRowStripes="1" showColumnStripes="0"/>
</x:table>
</file>

<file path=xl/tables/table4.xml><?xml version="1.0" encoding="utf-8"?>
<x:table xmlns:x="http://schemas.openxmlformats.org/spreadsheetml/2006/main" id="4" name="PrimaryStudiesTable" displayName="PrimaryStudiesTable" ref="A1:H152" headerRowCount="1" totalsRowCount="0" totalsRowShown="0">
  <x:tableColumns count="8">
    <x:tableColumn id="1" name="Paper ID"/>
    <x:tableColumn id="2" name="Year"/>
    <x:tableColumn id="3" name="PMID"/>
    <x:tableColumn id="4" name="Title"/>
    <x:tableColumn id="5" name="Source type"/>
    <x:tableColumn id="6" name="Topic tags"/>
    <x:tableColumn id="7" name="Life stage"/>
    <x:tableColumn id="8" name="PubMed URL"/>
  </x:tableColumns>
  <x:tableStyleInfo name="TableStyleMedium2" showFirstColumn="0" showLastColumn="0" showRowStripes="1" showColumnStripes="0"/>
</x:table>
</file>

<file path=xl/tables/table5.xml><?xml version="1.0" encoding="utf-8"?>
<x:table xmlns:x="http://schemas.openxmlformats.org/spreadsheetml/2006/main" id="5" name="EvidenceSynthesesTable" displayName="EvidenceSynthesesTable" ref="A1:H129" headerRowCount="1" totalsRowCount="0" totalsRowShown="0">
  <x:tableColumns count="8">
    <x:tableColumn id="1" name="Paper ID"/>
    <x:tableColumn id="2" name="Year"/>
    <x:tableColumn id="3" name="PMID"/>
    <x:tableColumn id="4" name="Title"/>
    <x:tableColumn id="5" name="Source type"/>
    <x:tableColumn id="6" name="Topic tags"/>
    <x:tableColumn id="7" name="Life stage"/>
    <x:tableColumn id="8" name="PubMed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94a10c2be9b4014" /></Relationships>
</file>

<file path=xl/worksheets/_rels/sheet4.xml.rels>&#65279;<?xml version="1.0" encoding="utf-8"?><Relationships xmlns="http://schemas.openxmlformats.org/package/2006/relationships"><Relationship Type="http://schemas.openxmlformats.org/officeDocument/2006/relationships/table" Target="/xl/tables/table2.xml" Id="Rbb584258a9ac404e" /></Relationships>
</file>

<file path=xl/worksheets/_rels/sheet5.xml.rels>&#65279;<?xml version="1.0" encoding="utf-8"?><Relationships xmlns="http://schemas.openxmlformats.org/package/2006/relationships"><Relationship Type="http://schemas.openxmlformats.org/officeDocument/2006/relationships/table" Target="/xl/tables/table3.xml" Id="R259ba75034024155" /></Relationships>
</file>

<file path=xl/worksheets/_rels/sheet6.xml.rels>&#65279;<?xml version="1.0" encoding="utf-8"?><Relationships xmlns="http://schemas.openxmlformats.org/package/2006/relationships"><Relationship Type="http://schemas.openxmlformats.org/officeDocument/2006/relationships/table" Target="/xl/tables/table4.xml" Id="Rd641fa3f072e4e0e" /></Relationships>
</file>

<file path=xl/worksheets/_rels/sheet7.xml.rels>&#65279;<?xml version="1.0" encoding="utf-8"?><Relationships xmlns="http://schemas.openxmlformats.org/package/2006/relationships"><Relationship Type="http://schemas.openxmlformats.org/officeDocument/2006/relationships/table" Target="/xl/tables/table5.xml" Id="Rf6ac38bf6dac4381" /></Relationships>
</file>

<file path=xl/worksheets/sheet1.xml><?xml version="1.0" encoding="utf-8"?>
<x:worksheet xmlns:x="http://schemas.openxmlformats.org/spreadsheetml/2006/main">
  <x:sheetFormatPr defaultRowHeight="15"/>
  <x:cols>
    <x:col min="1" max="1" width="28" hidden="0" customWidth="1"/>
    <x:col min="2" max="2" width="100" hidden="0" customWidth="1"/>
  </x:cols>
  <x:sheetData>
    <x:row r="1" ht="19.200000762939453" hidden="0" customHeight="1">
      <x:c r="A1" s="12" t="str">
        <x:v>ADHD Literature Corpus – Search &amp; Screening Protocol</x:v>
      </x:c>
      <x:c r="B1" s="12" t="str"/>
    </x:row>
    <x:row r="2" ht="26.399999618530273" hidden="0" customHeight="1">
      <x:c r="A2" s="13" t="str">
        <x:v>Purpose</x:v>
      </x:c>
      <x:c r="B2" s="14" t="str">
        <x:v>Independent literature discovery and source collection across historical periods and life stages; not evaluation of an existing LLM graph.</x:v>
      </x:c>
    </x:row>
    <x:row r="3" ht="26.399999618530273" hidden="0" customHeight="1">
      <x:c r="A3" s="13" t="str">
        <x:v>Current stage</x:v>
      </x:c>
      <x:c r="B3" s="14" t="str">
        <x:v>Stage 1: deduplicate and triage the user-supplied PubMed/MEDLINE exact-year exports, then build a verified Batch 1 backbone. This is not a completed systematic review.</x:v>
      </x:c>
    </x:row>
    <x:row r="4" ht="39.599998474121094" hidden="0" customHeight="1">
      <x:c r="A4" s="13" t="str">
        <x:v>Master ADHD concept</x:v>
      </x:c>
      <x:c r="B4" s="14" t="str">
        <x:v>("Attention Deficit Disorder with Hyperactivity"[Mesh] OR ADHD[tiab] OR "attention-deficit/hyperactivity disorder"[tiab] OR "attention deficit hyperactivity disorder"[tiab] OR "attention deficit disorder"[tiab] OR ADDH[tiab] OR hyperkin*[tiab] OR "minimal brain dysfunction"[tiab] OR "minimal cerebral dysfunction"[tiab])</x:v>
      </x:c>
    </x:row>
    <x:row r="5" ht="15" hidden="0" customHeight="1">
      <x:c r="A5" s="13" t="str">
        <x:v>Child life-stage block</x:v>
      </x:c>
      <x:c r="B5" s="14" t="str">
        <x:v>(Child[Mesh] OR child*[tiab] OR school-age*[tiab] OR pediatric*[tiab])</x:v>
      </x:c>
    </x:row>
    <x:row r="6" ht="15" hidden="0" customHeight="1">
      <x:c r="A6" s="13" t="str">
        <x:v>Adult life-stage block</x:v>
      </x:c>
      <x:c r="B6" s="14" t="str">
        <x:v>(Adult[Mesh] OR "Young Adult"[Mesh] OR "Middle Aged"[Mesh] OR adult*[tiab])</x:v>
      </x:c>
    </x:row>
    <x:row r="7" ht="26.399999618530273" hidden="0" customHeight="1">
      <x:c r="A7" s="13" t="str">
        <x:v>Topic block – diagnosis</x:v>
      </x:c>
      <x:c r="B7" s="14" t="str">
        <x:v>(diagnos*[tiab] OR screen*[tiab] OR referral[tiab] OR recogn*[tiab] OR misdiagnos*[tiab] OR overdiagnos*[tiab] OR underdiagnos*[tiab] OR DSM[tiab] OR ICD[tiab])</x:v>
      </x:c>
    </x:row>
    <x:row r="8" ht="15" hidden="0" customHeight="1">
      <x:c r="A8" s="13" t="str">
        <x:v>Topic block – family/education</x:v>
      </x:c>
      <x:c r="B8" s="14" t="str">
        <x:v>(parent*[tiab] OR famil*[tiab] OR teacher*[tiab] OR school*[tiab] OR classroom*[tiab] OR education*[tiab] OR academic*[tiab])</x:v>
      </x:c>
    </x:row>
    <x:row r="9" ht="26.399999618530273" hidden="0" customHeight="1">
      <x:c r="A9" s="13" t="str">
        <x:v>Topic block – structural</x:v>
      </x:c>
      <x:c r="B9" s="14" t="str">
        <x:v>(socioeconomic[tiab] OR income[tiab] OR poverty[tiab] OR insurance[tiab] OR access[tiab] OR stigma[tiab] OR race[tiab] OR racial[tiab] OR ethnic*[tiab] OR disparit*[tiab] OR gender[tiab] OR sex[tiab])</x:v>
      </x:c>
    </x:row>
    <x:row r="10" ht="26.399999618530273" hidden="0" customHeight="1">
      <x:c r="A10" s="13" t="str">
        <x:v>Topic block – environment/lifestyle</x:v>
      </x:c>
      <x:c r="B10" s="14" t="str">
        <x:v>(environment*[tiab] OR prenatal[tiab] OR perinatal[tiab] OR sleep[tiab] OR diet[tiab] OR nutrition[tiab] OR exercise[tiab] OR "physical activity"[tiab] OR "screen time"[tiab] OR "digital media"[tiab] OR stress[tiab])</x:v>
      </x:c>
    </x:row>
    <x:row r="11" ht="26.399999618530273" hidden="0" customHeight="1">
      <x:c r="A11" s="13" t="str">
        <x:v>Topic block – treatment/support</x:v>
      </x:c>
      <x:c r="B11" s="14" t="str">
        <x:v>(treat*[tiab] OR medicat*[tiab] OR stimulant*[tiab] OR psychotherap*[tiab] OR behavioral[tiab] OR intervention*[tiab] OR adherence[tiab] OR adverse[tiab] OR accommodation*[tiab] OR telehealth[tiab] OR digital[tiab])</x:v>
      </x:c>
    </x:row>
    <x:row r="12" ht="26.399999618530273" hidden="0" customHeight="1">
      <x:c r="A12" s="13" t="str">
        <x:v>Topic block – outcomes/lived experience</x:v>
      </x:c>
      <x:c r="B12" s="14" t="str">
        <x:v>("quality of life"[tiab] OR employment[tiab] OR occupation*[tiab] OR workplace[tiab] OR relationship*[tiab] OR qualitative[tiab] OR "lived experience"[tiab] OR functioning[tiab] OR outcome*[tiab])</x:v>
      </x:c>
    </x:row>
    <x:row r="13" ht="26.399999618530273" hidden="0" customHeight="1">
      <x:c r="A13" s="13" t="str">
        <x:v>Recommended sensitivity windows</x:v>
      </x:c>
      <x:c r="B13" s="14" t="str">
        <x:v>Use year-centered discovery windows as sensitivity searches rather than strict gates: 1965–1975, 1985–1995, 2005–2015, and 2021–current. Keep exact publication year, data-collection dates, and historical period addressed as separate fields.</x:v>
      </x:c>
    </x:row>
    <x:row r="14" ht="26.399999618530273" hidden="0" customHeight="1">
      <x:c r="A14" s="13" t="str">
        <x:v>PsycINFO (Ovid) template</x:v>
      </x:c>
      <x:c r="B14" s="14" t="str">
        <x:v>exp Attention Deficit Disorder with Hyperactivity/ OR (ADHD OR "attention deficit hyperactivity disorder" OR "attention deficit disorder" OR hyperkin* OR "minimal brain dysfunction").ti,ab.  Combine with topic blocks using AND.</x:v>
      </x:c>
    </x:row>
    <x:row r="15" ht="26.399999618530273" hidden="0" customHeight="1">
      <x:c r="A15" s="13" t="str">
        <x:v>Embase (Ovid) template</x:v>
      </x:c>
      <x:c r="B15" s="14" t="str">
        <x:v>exp attention deficit hyperactivity disorder/ OR (ADHD OR "attention deficit hyperactivity disorder" OR "attention deficit disorder" OR hyperkin* OR "minimal brain dysfunction").ti,ab.  Combine with topic blocks using AND.</x:v>
      </x:c>
    </x:row>
    <x:row r="16" ht="26.399999618530273" hidden="0" customHeight="1">
      <x:c r="A16" s="13" t="str">
        <x:v>Scopus template</x:v>
      </x:c>
      <x:c r="B16" s="14" t="str">
        <x:v>TITLE-ABS-KEY(ADHD OR "attention deficit hyperactivity disorder" OR "attention deficit disorder" OR hyperkin* OR "minimal brain dysfunction") AND TITLE-ABS-KEY(&lt;topic terms&gt;)</x:v>
      </x:c>
    </x:row>
    <x:row r="17" ht="26.399999618530273" hidden="0" customHeight="1">
      <x:c r="A17" s="13" t="str">
        <x:v>Web of Science template</x:v>
      </x:c>
      <x:c r="B17" s="14" t="str">
        <x:v>TS=(ADHD OR "attention deficit hyperactivity disorder" OR "attention deficit disorder" OR hyperkin* OR "minimal brain dysfunction") AND TS=(&lt;topic terms&gt;)</x:v>
      </x:c>
    </x:row>
    <x:row r="18" ht="52.79999923706055" hidden="0" customHeight="1">
      <x:c r="A18" s="13" t="str">
        <x:v>Batch 1 inclusion rule</x:v>
      </x:c>
      <x:c r="B18" s="14" t="str">
        <x:v>1970/1990: retain directly focused historical ADHD/hyperkinesis/minimal-brain-dysfunction human records, prioritizing reviews and identifiable empirical designs. 2010/2026: retain broad direct-ADHD evidence syntheses/guidelines plus cohort, case-control, cross-sectional, and qualitative studies whose titles explicitly address diagnosis, family/education, structural conditions, lived experience/outcomes, or environment/lifestyle.</x:v>
      </x:c>
    </x:row>
    <x:row r="19" ht="26.399999618530273" hidden="0" customHeight="1">
      <x:c r="A19" s="13" t="str">
        <x:v>Later-specialized rule</x:v>
      </x:c>
      <x:c r="B19" s="14" t="str">
        <x:v>Keep direct ADHD records that are narrower (for example drug-specific, biomarker, molecular, mechanistic, or single-comorbidity work) for later targeted batches rather than discarding them.</x:v>
      </x:c>
    </x:row>
    <x:row r="20" ht="26.399999618530273" hidden="0" customHeight="1">
      <x:c r="A20" s="13" t="str">
        <x:v>Exclusion/deprioritization rule</x:v>
      </x:c>
      <x:c r="B20" s="14" t="str">
        <x:v>Animal-only records and records where ADHD appears peripheral based on title/abstract/MeSH are excluded from the Batch 1 human-focused backbone but remain traceable in Screening Queue.</x:v>
      </x:c>
    </x:row>
    <x:row r="21" ht="26.399999618530273" hidden="0" customHeight="1">
      <x:c r="A21" s="13" t="str">
        <x:v>Important limitation</x:v>
      </x:c>
      <x:c r="B21" s="14" t="str">
        <x:v>Topic tags and screening classes are machine-assisted triage from titles, abstracts, publication types, and MeSH; they are not quality ratings or causal judgments. Manual verification remains required before final inclusion.</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8" hidden="0" customWidth="1"/>
    <x:col min="3" max="3" width="28" hidden="0" customWidth="1"/>
    <x:col min="4" max="4" width="70" hidden="0" customWidth="1"/>
    <x:col min="5" max="5" width="12" hidden="0" customWidth="1"/>
    <x:col min="6" max="6" width="15" hidden="0" customWidth="1"/>
    <x:col min="7" max="7" width="14" hidden="0" customWidth="1"/>
    <x:col min="8" max="8" width="55" hidden="0" customWidth="1"/>
  </x:cols>
  <x:sheetData>
    <x:row r="1" ht="30" customHeight="1">
      <x:c r="A1" s="21" t="str">
        <x:v>Date</x:v>
      </x:c>
      <x:c r="B1" s="21" t="str">
        <x:v>Search/source type</x:v>
      </x:c>
      <x:c r="C1" s="21" t="str">
        <x:v>Source</x:v>
      </x:c>
      <x:c r="D1" s="21" t="str">
        <x:v>Query or operation</x:v>
      </x:c>
      <x:c r="E1" s="21" t="str">
        <x:v>Raw records</x:v>
      </x:c>
      <x:c r="F1" s="21" t="str">
        <x:v>Exact-year records</x:v>
      </x:c>
      <x:c r="G1" s="21" t="str">
        <x:v>Unique records</x:v>
      </x:c>
      <x:c r="H1" s="21" t="str">
        <x:v>Notes</x:v>
      </x:c>
    </x:row>
    <x:row r="2">
      <x:c r="A2" s="14" t="str">
        <x:v>2026-09-20</x:v>
      </x:c>
      <x:c r="B2" s="14" t="str">
        <x:v>Direct database export</x:v>
      </x:c>
      <x:c r="C2" s="14" t="str">
        <x:v>PubMed/MEDLINE – 1970 file</x:v>
      </x:c>
      <x:c r="D2" s="14" t="str">
        <x:v>Exact query not embedded in export</x:v>
      </x:c>
      <x:c r="E2" s="14" t="n">
        <x:v>13</x:v>
      </x:c>
      <x:c r="F2" s="14" t="n">
        <x:v>13</x:v>
      </x:c>
      <x:c r="G2" s="14" t="n">
        <x:v>13</x:v>
      </x:c>
      <x:c r="H2" s="14" t="str">
        <x:v>All exported records had DP=1970.</x:v>
      </x:c>
    </x:row>
    <x:row r="3">
      <x:c r="A3" s="14" t="str">
        <x:v>2026-09-20</x:v>
      </x:c>
      <x:c r="B3" s="14" t="str">
        <x:v>Direct database export</x:v>
      </x:c>
      <x:c r="C3" s="14" t="str">
        <x:v>PubMed/MEDLINE – 1990 file</x:v>
      </x:c>
      <x:c r="D3" s="14" t="str">
        <x:v>"Attention Deficit Disorder with Hyperactivity"[MeSH Terms] AND 1990[Publication Date]</x:v>
      </x:c>
      <x:c r="E3" s="14" t="n">
        <x:v>202</x:v>
      </x:c>
      <x:c r="F3" s="14" t="n">
        <x:v>202</x:v>
      </x:c>
      <x:c r="G3" s="14" t="n">
        <x:v>200</x:v>
      </x:c>
      <x:c r="H3" s="14" t="str">
        <x:v>Two duplicate PMIDs found in the supplied export and removed in this corpus.</x:v>
      </x:c>
    </x:row>
    <x:row r="4">
      <x:c r="A4" s="14" t="str">
        <x:v>2026-09-20</x:v>
      </x:c>
      <x:c r="B4" s="14" t="str">
        <x:v>Direct database export</x:v>
      </x:c>
      <x:c r="C4" s="14" t="str">
        <x:v>PubMed/MEDLINE – 2010 file</x:v>
      </x:c>
      <x:c r="D4" s="14" t="str">
        <x:v>Exact query not verified from export</x:v>
      </x:c>
      <x:c r="E4" s="14" t="n">
        <x:v>1576</x:v>
      </x:c>
      <x:c r="F4" s="14" t="n">
        <x:v>1294</x:v>
      </x:c>
      <x:c r="G4" s="14" t="n">
        <x:v>1294</x:v>
      </x:c>
      <x:c r="H4" s="14" t="str">
        <x:v>Raw file also contained 2011/2012 publication-year records; Stage 1 kept DP=2010 only.</x:v>
      </x:c>
    </x:row>
    <x:row r="5">
      <x:c r="A5" s="14" t="str">
        <x:v>2026-09-20</x:v>
      </x:c>
      <x:c r="B5" s="14" t="str">
        <x:v>Direct database export</x:v>
      </x:c>
      <x:c r="C5" s="14" t="str">
        <x:v>PubMed/MEDLINE – 2026 file</x:v>
      </x:c>
      <x:c r="D5" s="14" t="str">
        <x:v>Exact query not verified from export</x:v>
      </x:c>
      <x:c r="E5" s="14" t="n">
        <x:v>1339</x:v>
      </x:c>
      <x:c r="F5" s="14" t="n">
        <x:v>1339</x:v>
      </x:c>
      <x:c r="G5" s="14" t="n">
        <x:v>1339</x:v>
      </x:c>
      <x:c r="H5" s="14" t="str">
        <x:v>All exact-year records retained before screening.</x:v>
      </x:c>
    </x:row>
    <x:row r="6">
      <x:c r="A6" s="14" t="str">
        <x:v>2026-09-20</x:v>
      </x:c>
      <x:c r="B6" s="14" t="str">
        <x:v>Ordinary web search locating PubMed records</x:v>
      </x:c>
      <x:c r="C6" s="14" t="str">
        <x:v>Web search → PubMed</x:v>
      </x:c>
      <x:c r="D6" s="14" t="str">
        <x:v>ADHD systematic review diagnosis disparities adults children 2026</x:v>
      </x:c>
      <x:c r="E6" s="14" t="str"/>
      <x:c r="F6" s="14" t="str"/>
      <x:c r="G6" s="14" t="str"/>
      <x:c r="H6" s="14" t="str">
        <x:v>Used only to identify supplemental anchor literature; this is not a direct PubMed database query.</x:v>
      </x:c>
    </x:row>
    <x:row r="7">
      <x:c r="A7" s="14" t="str">
        <x:v>2026-09-20</x:v>
      </x:c>
      <x:c r="B7" s="14" t="str">
        <x:v>Ordinary web search locating PubMed records</x:v>
      </x:c>
      <x:c r="C7" s="14" t="str">
        <x:v>Web search → PubMed</x:v>
      </x:c>
      <x:c r="D7" s="14" t="str">
        <x:v>ADHD historical minimal brain dysfunction hyperkinesis history review</x:v>
      </x:c>
      <x:c r="E7" s="14" t="str"/>
      <x:c r="F7" s="14" t="str"/>
      <x:c r="G7" s="14" t="str"/>
      <x:c r="H7" s="14" t="str">
        <x:v>Used to confirm historical terminology and identify historical reviews.</x:v>
      </x:c>
    </x:row>
    <x:row r="8">
      <x:c r="A8" s="14" t="str">
        <x:v>2026-09-20</x:v>
      </x:c>
      <x:c r="B8" s="14" t="str">
        <x:v>Ordinary web search locating PubMed records</x:v>
      </x:c>
      <x:c r="C8" s="14" t="str">
        <x:v>Web search → PubMed</x:v>
      </x:c>
      <x:c r="D8" s="14" t="str">
        <x:v>ADHD systematic review school educational outcomes teachers parents</x:v>
      </x:c>
      <x:c r="E8" s="14" t="str"/>
      <x:c r="F8" s="14" t="str"/>
      <x:c r="G8" s="14" t="str"/>
      <x:c r="H8" s="14" t="str">
        <x:v>Used to identify school/family evidence syntheses.</x:v>
      </x:c>
    </x:row>
    <x:row r="9">
      <x:c r="A9" s="14" t="str">
        <x:v>2026-09-20</x:v>
      </x:c>
      <x:c r="B9" s="14" t="str">
        <x:v>Ordinary web search locating PubMed records</x:v>
      </x:c>
      <x:c r="C9" s="14" t="str">
        <x:v>Web search → PubMed</x:v>
      </x:c>
      <x:c r="D9" s="14" t="str">
        <x:v>ADHD systematic review employment occupational outcomes adults</x:v>
      </x:c>
      <x:c r="E9" s="14" t="str"/>
      <x:c r="F9" s="14" t="str"/>
      <x:c r="G9" s="14" t="str"/>
      <x:c r="H9" s="14" t="str">
        <x:v>Used to identify adult outcome/workplace evidence syntheses.</x:v>
      </x:c>
    </x:row>
  </x:sheetData>
  <x:pageMargins left="0.7" right="0.7" top="0.75" bottom="0.75" header="0.3" footer="0.3"/>
  <x:tableParts count="1">
    <x:tablePart xmlns:r="http://schemas.openxmlformats.org/officeDocument/2006/relationships" r:id="Rc94a10c2be9b4014"/>
  </x:tableParts>
</x:worksheet>
</file>

<file path=xl/worksheets/sheet3.xml><?xml version="1.0" encoding="utf-8"?>
<x:worksheet xmlns:x="http://schemas.openxmlformats.org/spreadsheetml/2006/main">
  <x:sheetFormatPr defaultRowHeight="15"/>
  <x:cols>
    <x:col min="1" max="1" width="32" hidden="0" customWidth="1"/>
    <x:col min="2" max="2" width="18" hidden="0" customWidth="1"/>
    <x:col min="3" max="3" width="18" hidden="0" customWidth="1"/>
    <x:col min="4" max="4" width="18" hidden="0" customWidth="1"/>
    <x:col min="5" max="5" width="18" hidden="0" customWidth="1"/>
    <x:col min="6" max="6" width="18" hidden="0" customWidth="1"/>
  </x:cols>
  <x:sheetData>
    <x:row r="1" ht="30" customHeight="1">
      <x:c r="A1" s="21" t="str">
        <x:v>Metric</x:v>
      </x:c>
      <x:c r="B1" s="21" t="str">
        <x:v>1970</x:v>
      </x:c>
      <x:c r="C1" s="21" t="str">
        <x:v>1990</x:v>
      </x:c>
      <x:c r="D1" s="21" t="str">
        <x:v>2010</x:v>
      </x:c>
      <x:c r="E1" s="21" t="str">
        <x:v>2026</x:v>
      </x:c>
      <x:c r="F1" s="21" t="str">
        <x:v>Total</x:v>
      </x:c>
    </x:row>
    <x:row r="2">
      <x:c r="A2" s="8" t="str">
        <x:v>Exact-year records before PMID dedup</x:v>
      </x:c>
      <x:c r="B2" t="n">
        <x:v>13</x:v>
      </x:c>
      <x:c r="C2" t="n">
        <x:v>202</x:v>
      </x:c>
      <x:c r="D2" t="n">
        <x:v>1294</x:v>
      </x:c>
      <x:c r="E2" t="n">
        <x:v>1339</x:v>
      </x:c>
      <x:c r="F2" t="n">
        <x:v>2848</x:v>
      </x:c>
    </x:row>
    <x:row r="3">
      <x:c r="A3" s="8" t="str">
        <x:v>Unique records after PMID dedup</x:v>
      </x:c>
      <x:c r="B3" t="n">
        <x:v>13</x:v>
      </x:c>
      <x:c r="C3" t="n">
        <x:v>200</x:v>
      </x:c>
      <x:c r="D3" t="n">
        <x:v>1294</x:v>
      </x:c>
      <x:c r="E3" t="n">
        <x:v>1339</x:v>
      </x:c>
      <x:c r="F3" t="n">
        <x:v>2846</x:v>
      </x:c>
    </x:row>
    <x:row r="4">
      <x:c r="A4" s="8" t="str">
        <x:v>Batch 1 core</x:v>
      </x:c>
      <x:c r="B4" t="n">
        <x:v>5</x:v>
      </x:c>
      <x:c r="C4" t="n">
        <x:v>35</x:v>
      </x:c>
      <x:c r="D4" t="n">
        <x:v>56</x:v>
      </x:c>
      <x:c r="E4" t="n">
        <x:v>183</x:v>
      </x:c>
      <x:c r="F4" t="n">
        <x:v>279</x:v>
      </x:c>
    </x:row>
    <x:row r="5">
      <x:c r="A5" s="8" t="str">
        <x:v>Later specialized</x:v>
      </x:c>
      <x:c r="B5" t="n">
        <x:v>0</x:v>
      </x:c>
      <x:c r="C5" t="n">
        <x:v>94</x:v>
      </x:c>
      <x:c r="D5" t="n">
        <x:v>964</x:v>
      </x:c>
      <x:c r="E5" t="n">
        <x:v>1025</x:v>
      </x:c>
      <x:c r="F5" t="n">
        <x:v>2083</x:v>
      </x:c>
    </x:row>
    <x:row r="6">
      <x:c r="A6" s="8" t="str">
        <x:v>Exclude/incidental</x:v>
      </x:c>
      <x:c r="B6" t="n">
        <x:v>8</x:v>
      </x:c>
      <x:c r="C6" t="n">
        <x:v>71</x:v>
      </x:c>
      <x:c r="D6" t="n">
        <x:v>274</x:v>
      </x:c>
      <x:c r="E6" t="n">
        <x:v>131</x:v>
      </x:c>
      <x:c r="F6" t="n">
        <x:v>484</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50" hidden="0" customWidth="1"/>
    <x:col min="3" max="3" width="42" hidden="0" customWidth="1"/>
    <x:col min="4" max="4" width="10" hidden="0" customWidth="1"/>
    <x:col min="5" max="5" width="32" hidden="0" customWidth="1"/>
    <x:col min="6" max="6" width="34" hidden="0" customWidth="1"/>
    <x:col min="7" max="7" width="48" hidden="0" customWidth="1"/>
    <x:col min="8" max="8" width="30" hidden="0" customWidth="1"/>
    <x:col min="9" max="9" width="32" hidden="0" customWidth="1"/>
    <x:col min="10" max="10" width="30" hidden="0" customWidth="1"/>
    <x:col min="11" max="11" width="62" hidden="0" customWidth="1"/>
    <x:col min="12" max="12" width="22" hidden="0" customWidth="1"/>
    <x:col min="13" max="13" width="12" hidden="0" customWidth="1"/>
    <x:col min="14" max="14" width="42" hidden="0" customWidth="1"/>
    <x:col min="15" max="15" width="44" hidden="0" customWidth="1"/>
    <x:col min="16" max="16" width="14" hidden="0" customWidth="1"/>
    <x:col min="17" max="17" width="58" hidden="0" customWidth="1"/>
    <x:col min="18" max="18" width="18" hidden="0" customWidth="1"/>
    <x:col min="19" max="19" width="54" hidden="0" customWidth="1"/>
    <x:col min="20" max="20" width="34" hidden="0" customWidth="1"/>
    <x:col min="21" max="21" width="38" hidden="0" customWidth="1"/>
    <x:col min="22" max="22" width="16" hidden="0" customWidth="1"/>
    <x:col min="23" max="23" width="44" hidden="0" customWidth="1"/>
    <x:col min="24" max="24" width="18" hidden="0" customWidth="1"/>
    <x:col min="25" max="25" width="20" hidden="0" customWidth="1"/>
    <x:col min="26" max="26" width="20" hidden="0" customWidth="1"/>
    <x:col min="27" max="27" width="44" hidden="0" customWidth="1"/>
    <x:col min="28" max="28" width="62" hidden="0" customWidth="1"/>
    <x:col min="29" max="29" width="18" hidden="0" customWidth="1"/>
  </x:cols>
  <x:sheetData>
    <x:row r="1" ht="30" customHeight="1">
      <x:c r="A1" s="21" t="str">
        <x:v>Paper ID</x:v>
      </x:c>
      <x:c r="B1" s="21" t="str">
        <x:v>Exact title</x:v>
      </x:c>
      <x:c r="C1" s="21" t="str">
        <x:v>Authors</x:v>
      </x:c>
      <x:c r="D1" s="21" t="str">
        <x:v>Publication year</x:v>
      </x:c>
      <x:c r="E1" s="21" t="str">
        <x:v>Journal/source</x:v>
      </x:c>
      <x:c r="F1" s="21" t="str">
        <x:v>Source type / study design</x:v>
      </x:c>
      <x:c r="G1" s="21" t="str">
        <x:v>Topic tags</x:v>
      </x:c>
      <x:c r="H1" s="21" t="str">
        <x:v>Population and actual age range</x:v>
      </x:c>
      <x:c r="I1" s="21" t="str">
        <x:v>Country or setting</x:v>
      </x:c>
      <x:c r="J1" s="21" t="str">
        <x:v>Data-collection / historical period</x:v>
      </x:c>
      <x:c r="K1" s="21" t="str">
        <x:v>Brief description</x:v>
      </x:c>
      <x:c r="L1" s="21" t="str">
        <x:v>DOI</x:v>
      </x:c>
      <x:c r="M1" s="21" t="str">
        <x:v>PMID</x:v>
      </x:c>
      <x:c r="N1" s="21" t="str">
        <x:v>Paper Link (PubMed)</x:v>
      </x:c>
      <x:c r="O1" s="21" t="str">
        <x:v>Open-Access Full Text</x:v>
      </x:c>
      <x:c r="P1" s="21" t="str">
        <x:v>Access level</x:v>
      </x:c>
      <x:c r="Q1" s="21" t="str">
        <x:v>Discovery source and search query</x:v>
      </x:c>
      <x:c r="R1" s="21" t="str">
        <x:v>Screening class</x:v>
      </x:c>
      <x:c r="S1" s="21" t="str">
        <x:v>Screening reason</x:v>
      </x:c>
      <x:c r="T1" s="21" t="str">
        <x:v>Underlying study/cohort (when apparent)</x:v>
      </x:c>
      <x:c r="U1" s="21" t="str">
        <x:v>Correction / retraction note</x:v>
      </x:c>
      <x:c r="V1" s="43" t="str">
        <x:v>PMCID</x:v>
      </x:c>
      <x:c r="W1" s="43" t="str">
        <x:v>PDF Availability Status</x:v>
      </x:c>
      <x:c r="X1" s="43" t="str">
        <x:v>Verified Open Access?</x:v>
      </x:c>
      <x:c r="Y1" s="43" t="str">
        <x:v>Verified Full-Text Link</x:v>
      </x:c>
      <x:c r="Z1" s="43" t="str">
        <x:v>Publisher / DOI Link</x:v>
      </x:c>
      <x:c r="AA1" s="43" t="str">
        <x:v>Verification Basis</x:v>
      </x:c>
      <x:c r="AB1" s="43" t="str">
        <x:v>Recommended Next Step</x:v>
      </x:c>
      <x:c r="AC1" s="43" t="str">
        <x:v>Availability Checked</x:v>
      </x:c>
    </x:row>
    <x:row r="2">
      <x:c r="A2" s="26" t="str">
        <x:v>PUBMED-4097226</x:v>
      </x:c>
      <x:c r="B2" s="28" t="str">
        <x:v>Minimal brain dysfunction: clinical aspects.</x:v>
      </x:c>
      <x:c r="C2" s="28" t="str">
        <x:v>Charlton, M H</x:v>
      </x:c>
      <x:c r="D2" s="28" t="n">
        <x:v>1970</x:v>
      </x:c>
      <x:c r="E2" s="28" t="str">
        <x:v>Electroencephalography and clinical neurophysiology</x:v>
      </x:c>
      <x:c r="F2" s="28" t="str">
        <x:v>Primary/contextual journal article</x:v>
      </x:c>
      <x:c r="G2" s="28" t="str">
        <x:v>Development &amp; presentation; Recognition &amp; diagnosis</x:v>
      </x:c>
      <x:c r="H2" s="28" t="str">
        <x:v>Childhood</x:v>
      </x:c>
      <x:c r="I2" s="28" t="str">
        <x:v>not reported/not verified</x:v>
      </x:c>
      <x:c r="J2" s="28" t="str">
        <x:v>not reported</x:v>
      </x:c>
      <x:c r="K2" s="28" t="str">
        <x:v>Metadata-only record on: Minimal brain dysfunction: clinical aspects.</x:v>
      </x:c>
      <x:c r="L2" s="28" t="str">
        <x:v>not reported</x:v>
      </x:c>
      <x:c r="M2" s="28" t="str">
        <x:v>4097226</x:v>
      </x:c>
      <x:c r="N2" s="31" t="e">
        <x:f>HYPERLINK("https://pubmed.ncbi.nlm.nih.gov/"&amp;M2&amp;"/","Open PubMed")</x:f>
        <x:v>HYPERLINK is not implemented. linkLocation=https://pubmed.ncbi.nlm.nih.gov/4097226/, friendlyName=Open PubMed</x:v>
      </x:c>
      <x:c r="O2" s="31" t="str">
        <x:v>not reported</x:v>
      </x:c>
      <x:c r="P2" s="28" t="str">
        <x:v>metadata only</x:v>
      </x:c>
      <x:c r="Q2" s="28" t="str">
        <x:v>PubMed/MEDLINE export supplied by user | query: not verified from export; see Protocol sheet for reproducible recommended query</x:v>
      </x:c>
      <x:c r="R2" s="28" t="str">
        <x:v>Batch 1 core</x:v>
      </x:c>
      <x:c r="S2" s="28" t="str">
        <x:v>Direct historical-period ADHD/hyperkinesis/minimal-brain-dysfunction focus with human relevance.</x:v>
      </x:c>
      <x:c r="T2" s="28" t="str">
        <x:v>not apparent from accessed abstract/metadata</x:v>
      </x:c>
      <x:c r="U2" s="28" t="str">
        <x:v>none identified in MEDLINE record</x:v>
      </x:c>
      <x:c r="V2" s="26" t="str">
        <x:v>not reported</x:v>
      </x:c>
      <x:c r="W2" s="28" t="str">
        <x:v>No direct PDF/full-text identifier found in PubMed metadata</x:v>
      </x:c>
      <x:c r="X2" s="28" t="str">
        <x:v>Not verified</x:v>
      </x:c>
      <x:c r="Y2" s="31" t="str">
        <x:f>IF(V2="not reported","not reported",HYPERLINK("https://pmc.ncbi.nlm.nih.gov/articles/"&amp;V2&amp;"/","Open Full Text"))</x:f>
        <x:v>not reported</x:v>
      </x:c>
      <x:c r="Z2" s="31" t="str">
        <x:f>IF(L2="not reported","not reported",HYPERLINK("https://doi.org/"&amp;L2,"Open Publisher"))</x:f>
        <x:v>not reported</x:v>
      </x:c>
      <x:c r="AA2" s="28" t="str">
        <x:v>No PMCID or DOI present in the supplied PubMed/MEDLINE record.</x:v>
      </x:c>
      <x:c r="AB2" s="28" t="str">
        <x:v>Search the exact title/PMID in Stony Brook Library; if unavailable, request via interlibrary loan/document delivery.</x:v>
      </x:c>
      <x:c r="AC2" s="26" t="str">
        <x:v>2026-09-20</x:v>
      </x:c>
    </x:row>
    <x:row r="3">
      <x:c r="A3" s="26" t="str">
        <x:v>PUBMED-5528093</x:v>
      </x:c>
      <x:c r="B3" s="28" t="str">
        <x:v>The slow learner in the classroom with emphasis on the child with minimum brain syndrome.</x:v>
      </x:c>
      <x:c r="C3" s="28" t="str">
        <x:v>Lordi, W M</x:v>
      </x:c>
      <x:c r="D3" s="28" t="n">
        <x:v>1970</x:v>
      </x:c>
      <x:c r="E3" s="28" t="str">
        <x:v>Virginia medical monthly</x:v>
      </x:c>
      <x:c r="F3" s="28" t="str">
        <x:v>Primary/contextual journal article</x:v>
      </x:c>
      <x:c r="G3" s="28" t="str">
        <x:v>Development &amp; presentation; Recognition &amp; diagnosis; Family &amp; education; Treatment &amp; support</x:v>
      </x:c>
      <x:c r="H3" s="28" t="str">
        <x:v>Childhood</x:v>
      </x:c>
      <x:c r="I3" s="28" t="str">
        <x:v>not reported/not verified</x:v>
      </x:c>
      <x:c r="J3" s="28" t="str">
        <x:v>not reported</x:v>
      </x:c>
      <x:c r="K3" s="28" t="str">
        <x:v>Metadata-only record on: The slow learner in the classroom with emphasis on the child with minimum brain syndrome.</x:v>
      </x:c>
      <x:c r="L3" s="28" t="str">
        <x:v>not reported</x:v>
      </x:c>
      <x:c r="M3" s="28" t="str">
        <x:v>5528093</x:v>
      </x:c>
      <x:c r="N3" s="31" t="e">
        <x:f>HYPERLINK("https://pubmed.ncbi.nlm.nih.gov/"&amp;M3&amp;"/","Open PubMed")</x:f>
        <x:v>HYPERLINK is not implemented. linkLocation=https://pubmed.ncbi.nlm.nih.gov/5528093/, friendlyName=Open PubMed</x:v>
      </x:c>
      <x:c r="O3" s="31" t="str">
        <x:v>not reported</x:v>
      </x:c>
      <x:c r="P3" s="28" t="str">
        <x:v>metadata only</x:v>
      </x:c>
      <x:c r="Q3" s="28" t="str">
        <x:v>PubMed/MEDLINE export supplied by user | query: not verified from export; see Protocol sheet for reproducible recommended query</x:v>
      </x:c>
      <x:c r="R3" s="28" t="str">
        <x:v>Batch 1 core</x:v>
      </x:c>
      <x:c r="S3" s="28" t="str">
        <x:v>Direct historical-period ADHD/hyperkinesis/minimal-brain-dysfunction focus with human relevance.</x:v>
      </x:c>
      <x:c r="T3" s="28" t="str">
        <x:v>not apparent from accessed abstract/metadata</x:v>
      </x:c>
      <x:c r="U3" s="28" t="str">
        <x:v>none identified in MEDLINE record</x:v>
      </x:c>
      <x:c r="V3" s="26" t="str">
        <x:v>not reported</x:v>
      </x:c>
      <x:c r="W3" s="28" t="str">
        <x:v>No direct PDF/full-text identifier found in PubMed metadata</x:v>
      </x:c>
      <x:c r="X3" s="28" t="str">
        <x:v>Not verified</x:v>
      </x:c>
      <x:c r="Y3" s="31" t="str">
        <x:f>IF(V3="not reported","not reported",HYPERLINK("https://pmc.ncbi.nlm.nih.gov/articles/"&amp;V3&amp;"/","Open Full Text"))</x:f>
        <x:v>not reported</x:v>
      </x:c>
      <x:c r="Z3" s="31" t="str">
        <x:f>IF(L3="not reported","not reported",HYPERLINK("https://doi.org/"&amp;L3,"Open Publisher"))</x:f>
        <x:v>not reported</x:v>
      </x:c>
      <x:c r="AA3" s="28" t="str">
        <x:v>No PMCID or DOI present in the supplied PubMed/MEDLINE record.</x:v>
      </x:c>
      <x:c r="AB3" s="28" t="str">
        <x:v>Search the exact title/PMID in Stony Brook Library; if unavailable, request via interlibrary loan/document delivery.</x:v>
      </x:c>
      <x:c r="AC3" s="26" t="str">
        <x:v>2026-09-20</x:v>
      </x:c>
    </x:row>
    <x:row r="4">
      <x:c r="A4" s="26" t="str">
        <x:v>PUBMED-5526422</x:v>
      </x:c>
      <x:c r="B4" s="28" t="str">
        <x:v>The role of allergic factors in the child with minimal brain dysfunction.</x:v>
      </x:c>
      <x:c r="C4" s="28" t="str">
        <x:v>Kittler, F J; Baldwin, D G</x:v>
      </x:c>
      <x:c r="D4" s="28" t="n">
        <x:v>1970</x:v>
      </x:c>
      <x:c r="E4" s="28" t="str">
        <x:v>Annals of allergy</x:v>
      </x:c>
      <x:c r="F4" s="28" t="str">
        <x:v>Primary/contextual journal article</x:v>
      </x:c>
      <x:c r="G4" s="28" t="str">
        <x:v>Development &amp; presentation; Recognition &amp; diagnosis; Family &amp; education; Environmental &amp; lifestyle; Treatment &amp; support</x:v>
      </x:c>
      <x:c r="H4" s="28" t="str">
        <x:v>Childhood</x:v>
      </x:c>
      <x:c r="I4" s="28" t="str">
        <x:v>not reported/not verified</x:v>
      </x:c>
      <x:c r="J4" s="28" t="str">
        <x:v>not reported</x:v>
      </x:c>
      <x:c r="K4" s="28" t="str">
        <x:v>Metadata-only record on: The role of allergic factors in the child with minimal brain dysfunction.</x:v>
      </x:c>
      <x:c r="L4" s="28" t="str">
        <x:v>not reported</x:v>
      </x:c>
      <x:c r="M4" s="28" t="str">
        <x:v>5526422</x:v>
      </x:c>
      <x:c r="N4" s="31" t="e">
        <x:f>HYPERLINK("https://pubmed.ncbi.nlm.nih.gov/"&amp;M4&amp;"/","Open PubMed")</x:f>
        <x:v>HYPERLINK is not implemented. linkLocation=https://pubmed.ncbi.nlm.nih.gov/5526422/, friendlyName=Open PubMed</x:v>
      </x:c>
      <x:c r="O4" s="31" t="str">
        <x:v>not reported</x:v>
      </x:c>
      <x:c r="P4" s="28" t="str">
        <x:v>metadata only</x:v>
      </x:c>
      <x:c r="Q4" s="28" t="str">
        <x:v>PubMed/MEDLINE export supplied by user | query: not verified from export; see Protocol sheet for reproducible recommended query</x:v>
      </x:c>
      <x:c r="R4" s="28" t="str">
        <x:v>Batch 1 core</x:v>
      </x:c>
      <x:c r="S4" s="28" t="str">
        <x:v>Direct historical-period ADHD/hyperkinesis/minimal-brain-dysfunction focus with human relevance.</x:v>
      </x:c>
      <x:c r="T4" s="28" t="str">
        <x:v>not apparent from accessed abstract/metadata</x:v>
      </x:c>
      <x:c r="U4" s="28" t="str">
        <x:v>none identified in MEDLINE record</x:v>
      </x:c>
      <x:c r="V4" s="26" t="str">
        <x:v>not reported</x:v>
      </x:c>
      <x:c r="W4" s="28" t="str">
        <x:v>No direct PDF/full-text identifier found in PubMed metadata</x:v>
      </x:c>
      <x:c r="X4" s="28" t="str">
        <x:v>Not verified</x:v>
      </x:c>
      <x:c r="Y4" s="31" t="str">
        <x:f>IF(V4="not reported","not reported",HYPERLINK("https://pmc.ncbi.nlm.nih.gov/articles/"&amp;V4&amp;"/","Open Full Text"))</x:f>
        <x:v>not reported</x:v>
      </x:c>
      <x:c r="Z4" s="31" t="str">
        <x:f>IF(L4="not reported","not reported",HYPERLINK("https://doi.org/"&amp;L4,"Open Publisher"))</x:f>
        <x:v>not reported</x:v>
      </x:c>
      <x:c r="AA4" s="28" t="str">
        <x:v>No PMCID or DOI present in the supplied PubMed/MEDLINE record.</x:v>
      </x:c>
      <x:c r="AB4" s="28" t="str">
        <x:v>Search the exact title/PMID in Stony Brook Library; if unavailable, request via interlibrary loan/document delivery.</x:v>
      </x:c>
      <x:c r="AC4" s="26" t="str">
        <x:v>2026-09-20</x:v>
      </x:c>
    </x:row>
    <x:row r="5">
      <x:c r="A5" s="26" t="str">
        <x:v>PUBMED-5538049</x:v>
      </x:c>
      <x:c r="B5" s="28" t="str">
        <x:v>[Diagnosis of minimal cerebral dysfunction or lesion in school age children].</x:v>
      </x:c>
      <x:c r="C5" s="28" t="str">
        <x:v>Rebollo, M A; Cardús, S; Ihlenfeld, S; Montero, O</x:v>
      </x:c>
      <x:c r="D5" s="28" t="n">
        <x:v>1970</x:v>
      </x:c>
      <x:c r="E5" s="28" t="str">
        <x:v>Acta neurologica latinoamericana</x:v>
      </x:c>
      <x:c r="F5" s="28" t="str">
        <x:v>Primary/contextual journal article</x:v>
      </x:c>
      <x:c r="G5" s="28" t="str">
        <x:v>Development &amp; presentation; Recognition &amp; diagnosis; Family &amp; education</x:v>
      </x:c>
      <x:c r="H5" s="28" t="str">
        <x:v>Childhood</x:v>
      </x:c>
      <x:c r="I5" s="28" t="str">
        <x:v>not reported/not verified</x:v>
      </x:c>
      <x:c r="J5" s="28" t="str">
        <x:v>not reported</x:v>
      </x:c>
      <x:c r="K5" s="28" t="str">
        <x:v>Metadata-only record on: [Diagnosis of minimal cerebral dysfunction or lesion in school age children].</x:v>
      </x:c>
      <x:c r="L5" s="28" t="str">
        <x:v>not reported</x:v>
      </x:c>
      <x:c r="M5" s="28" t="str">
        <x:v>5538049</x:v>
      </x:c>
      <x:c r="N5" s="31" t="e">
        <x:f>HYPERLINK("https://pubmed.ncbi.nlm.nih.gov/"&amp;M5&amp;"/","Open PubMed")</x:f>
        <x:v>HYPERLINK is not implemented. linkLocation=https://pubmed.ncbi.nlm.nih.gov/5538049/, friendlyName=Open PubMed</x:v>
      </x:c>
      <x:c r="O5" s="31" t="str">
        <x:v>not reported</x:v>
      </x:c>
      <x:c r="P5" s="28" t="str">
        <x:v>metadata only</x:v>
      </x:c>
      <x:c r="Q5" s="28" t="str">
        <x:v>PubMed/MEDLINE export supplied by user | query: not verified from export; see Protocol sheet for reproducible recommended query</x:v>
      </x:c>
      <x:c r="R5" s="28" t="str">
        <x:v>Batch 1 core</x:v>
      </x:c>
      <x:c r="S5" s="28" t="str">
        <x:v>Direct historical-period ADHD/hyperkinesis/minimal-brain-dysfunction focus with human relevance.</x:v>
      </x:c>
      <x:c r="T5" s="28" t="str">
        <x:v>not apparent from accessed abstract/metadata</x:v>
      </x:c>
      <x:c r="U5" s="28" t="str">
        <x:v>none identified in MEDLINE record</x:v>
      </x:c>
      <x:c r="V5" s="26" t="str">
        <x:v>not reported</x:v>
      </x:c>
      <x:c r="W5" s="28" t="str">
        <x:v>No direct PDF/full-text identifier found in PubMed metadata</x:v>
      </x:c>
      <x:c r="X5" s="28" t="str">
        <x:v>Not verified</x:v>
      </x:c>
      <x:c r="Y5" s="31" t="str">
        <x:f>IF(V5="not reported","not reported",HYPERLINK("https://pmc.ncbi.nlm.nih.gov/articles/"&amp;V5&amp;"/","Open Full Text"))</x:f>
        <x:v>not reported</x:v>
      </x:c>
      <x:c r="Z5" s="31" t="str">
        <x:f>IF(L5="not reported","not reported",HYPERLINK("https://doi.org/"&amp;L5,"Open Publisher"))</x:f>
        <x:v>not reported</x:v>
      </x:c>
      <x:c r="AA5" s="28" t="str">
        <x:v>No PMCID or DOI present in the supplied PubMed/MEDLINE record.</x:v>
      </x:c>
      <x:c r="AB5" s="28" t="str">
        <x:v>Search the exact title/PMID in Stony Brook Library; if unavailable, request via interlibrary loan/document delivery.</x:v>
      </x:c>
      <x:c r="AC5" s="26" t="str">
        <x:v>2026-09-20</x:v>
      </x:c>
    </x:row>
    <x:row r="6">
      <x:c r="A6" s="26" t="str">
        <x:v>PUBMED-4097225</x:v>
      </x:c>
      <x:c r="B6" s="28" t="str">
        <x:v>The structural basis of the minimal cerebral dysfunction syndrome.</x:v>
      </x:c>
      <x:c r="C6" s="28" t="str">
        <x:v>Derby, B M</x:v>
      </x:c>
      <x:c r="D6" s="28" t="n">
        <x:v>1970</x:v>
      </x:c>
      <x:c r="E6" s="28" t="str">
        <x:v>Electroencephalography and clinical neurophysiology</x:v>
      </x:c>
      <x:c r="F6" s="28" t="str">
        <x:v>Primary/contextual journal article</x:v>
      </x:c>
      <x:c r="G6" s="28" t="str">
        <x:v>Development &amp; presentation</x:v>
      </x:c>
      <x:c r="H6" s="28" t="str">
        <x:v>Not specified</x:v>
      </x:c>
      <x:c r="I6" s="28" t="str">
        <x:v>not reported/not verified</x:v>
      </x:c>
      <x:c r="J6" s="28" t="str">
        <x:v>not reported</x:v>
      </x:c>
      <x:c r="K6" s="28" t="str">
        <x:v>Metadata-only record on: The structural basis of the minimal cerebral dysfunction syndrome.</x:v>
      </x:c>
      <x:c r="L6" s="28" t="str">
        <x:v>not reported</x:v>
      </x:c>
      <x:c r="M6" s="28" t="str">
        <x:v>4097225</x:v>
      </x:c>
      <x:c r="N6" s="31" t="e">
        <x:f>HYPERLINK("https://pubmed.ncbi.nlm.nih.gov/"&amp;M6&amp;"/","Open PubMed")</x:f>
        <x:v>HYPERLINK is not implemented. linkLocation=https://pubmed.ncbi.nlm.nih.gov/4097225/, friendlyName=Open PubMed</x:v>
      </x:c>
      <x:c r="O6" s="31" t="str">
        <x:v>not reported</x:v>
      </x:c>
      <x:c r="P6" s="28" t="str">
        <x:v>metadata only</x:v>
      </x:c>
      <x:c r="Q6" s="28" t="str">
        <x:v>PubMed/MEDLINE export supplied by user | query: not verified from export; see Protocol sheet for reproducible recommended query</x:v>
      </x:c>
      <x:c r="R6" s="28" t="str">
        <x:v>Batch 1 core</x:v>
      </x:c>
      <x:c r="S6" s="28" t="str">
        <x:v>Direct historical-period ADHD/hyperkinesis/minimal-brain-dysfunction focus with human relevance.</x:v>
      </x:c>
      <x:c r="T6" s="28" t="str">
        <x:v>not apparent from accessed abstract/metadata</x:v>
      </x:c>
      <x:c r="U6" s="28" t="str">
        <x:v>none identified in MEDLINE record</x:v>
      </x:c>
      <x:c r="V6" s="26" t="str">
        <x:v>not reported</x:v>
      </x:c>
      <x:c r="W6" s="28" t="str">
        <x:v>No direct PDF/full-text identifier found in PubMed metadata</x:v>
      </x:c>
      <x:c r="X6" s="28" t="str">
        <x:v>Not verified</x:v>
      </x:c>
      <x:c r="Y6" s="31" t="str">
        <x:f>IF(V6="not reported","not reported",HYPERLINK("https://pmc.ncbi.nlm.nih.gov/articles/"&amp;V6&amp;"/","Open Full Text"))</x:f>
        <x:v>not reported</x:v>
      </x:c>
      <x:c r="Z6" s="31" t="str">
        <x:f>IF(L6="not reported","not reported",HYPERLINK("https://doi.org/"&amp;L6,"Open Publisher"))</x:f>
        <x:v>not reported</x:v>
      </x:c>
      <x:c r="AA6" s="28" t="str">
        <x:v>No PMCID or DOI present in the supplied PubMed/MEDLINE record.</x:v>
      </x:c>
      <x:c r="AB6" s="28" t="str">
        <x:v>Search the exact title/PMID in Stony Brook Library; if unavailable, request via interlibrary loan/document delivery.</x:v>
      </x:c>
      <x:c r="AC6" s="26" t="str">
        <x:v>2026-09-20</x:v>
      </x:c>
    </x:row>
    <x:row r="7">
      <x:c r="A7" s="26" t="str">
        <x:v>PUBMED-1974836</x:v>
      </x:c>
      <x:c r="B7" s="28" t="str">
        <x:v>Attention-deficit hyperactivity disorder.</x:v>
      </x:c>
      <x:c r="C7" s="28" t="str">
        <x:v>Calis, K A; Grothe, D R; Elia, J</x:v>
      </x:c>
      <x:c r="D7" s="28" t="n">
        <x:v>1990</x:v>
      </x:c>
      <x:c r="E7" s="28" t="str">
        <x:v>Clinical pharmacy</x:v>
      </x:c>
      <x:c r="F7" s="28" t="str">
        <x:v>Evidence synthesis - review</x:v>
      </x:c>
      <x:c r="G7" s="28" t="str">
        <x:v>Development &amp; presentation; Recognition &amp; diagnosis; Family &amp; education; Social &amp; structural; Treatment &amp; support</x:v>
      </x:c>
      <x:c r="H7" s="28" t="str">
        <x:v>Childhood; Adulthood</x:v>
      </x:c>
      <x:c r="I7" s="28" t="str">
        <x:v>not reported/not verified</x:v>
      </x:c>
      <x:c r="J7" s="28" t="str">
        <x:v>not reported</x:v>
      </x:c>
      <x:c r="K7" s="28" t="str">
        <x:v>The epidemiology, etiology, pathogenesis, clinical presentation, diagnostic criteria, and clinical course of attention-deficit hyperactivity disorder (ADHD) are described and the role of pharmacotherapy in the management of this disorder is discussed.</x:v>
      </x:c>
      <x:c r="L7" s="28" t="str">
        <x:v>not reported</x:v>
      </x:c>
      <x:c r="M7" s="28" t="str">
        <x:v>1974836</x:v>
      </x:c>
      <x:c r="N7" s="31" t="e">
        <x:f>HYPERLINK("https://pubmed.ncbi.nlm.nih.gov/"&amp;M7&amp;"/","Open PubMed")</x:f>
        <x:v>HYPERLINK is not implemented. linkLocation=https://pubmed.ncbi.nlm.nih.gov/1974836/, friendlyName=Open PubMed</x:v>
      </x:c>
      <x:c r="O7" s="31" t="str">
        <x:v>not reported</x:v>
      </x:c>
      <x:c r="P7" s="28" t="str">
        <x:v>abstract only</x:v>
      </x:c>
      <x:c r="Q7" s="28" t="str">
        <x:v>PubMed/MEDLINE export supplied by user | query: "Attention Deficit Disorder with Hyperactivity"[MeSH Terms] AND 1990[Publication Date]</x:v>
      </x:c>
      <x:c r="R7" s="28" t="str">
        <x:v>Batch 1 core</x:v>
      </x:c>
      <x:c r="S7" s="28" t="str">
        <x:v>Direct historical-period ADHD/hyperkinesis/minimal-brain-dysfunction focus with human relevance.</x:v>
      </x:c>
      <x:c r="T7" s="28" t="str">
        <x:v>not apparent from accessed abstract/metadata</x:v>
      </x:c>
      <x:c r="U7" s="28" t="str">
        <x:v>Correction/erratum noted: Clin Pharm 1991 Apr;10(4):261</x:v>
      </x:c>
      <x:c r="V7" s="26" t="str">
        <x:v>not reported</x:v>
      </x:c>
      <x:c r="W7" s="28" t="str">
        <x:v>No direct PDF/full-text identifier found in PubMed metadata</x:v>
      </x:c>
      <x:c r="X7" s="28" t="str">
        <x:v>Not verified</x:v>
      </x:c>
      <x:c r="Y7" s="31" t="str">
        <x:f>IF(V7="not reported","not reported",HYPERLINK("https://pmc.ncbi.nlm.nih.gov/articles/"&amp;V7&amp;"/","Open Full Text"))</x:f>
        <x:v>not reported</x:v>
      </x:c>
      <x:c r="Z7" s="31" t="str">
        <x:f>IF(L7="not reported","not reported",HYPERLINK("https://doi.org/"&amp;L7,"Open Publisher"))</x:f>
        <x:v>not reported</x:v>
      </x:c>
      <x:c r="AA7" s="28" t="str">
        <x:v>No PMCID or DOI present in the supplied PubMed/MEDLINE record.</x:v>
      </x:c>
      <x:c r="AB7" s="28" t="str">
        <x:v>Search the exact title/PMID in Stony Brook Library; if unavailable, request via interlibrary loan/document delivery.</x:v>
      </x:c>
      <x:c r="AC7" s="26" t="str">
        <x:v>2026-09-20</x:v>
      </x:c>
    </x:row>
    <x:row r="8">
      <x:c r="A8" s="26" t="str">
        <x:v>PUBMED-2303554</x:v>
      </x:c>
      <x:c r="B8" s="28" t="str">
        <x:v>Attention deficit disorder and the mediating effect of age on academic and behavioral variables.</x:v>
      </x:c>
      <x:c r="C8" s="28" t="str">
        <x:v>Nussbaum, N L; Grant, M L; Roman, M J; Poole, J H; Bigler, E D</x:v>
      </x:c>
      <x:c r="D8" s="28" t="n">
        <x:v>1990</x:v>
      </x:c>
      <x:c r="E8" s="28" t="str">
        <x:v>Journal of developmental and behavioral pediatrics : JDBP</x:v>
      </x:c>
      <x:c r="F8" s="28" t="str">
        <x:v>Primary/contextual journal article</x:v>
      </x:c>
      <x:c r="G8" s="28" t="str">
        <x:v>Development &amp; presentation; Recognition &amp; diagnosis; Family &amp; education; Social &amp; structural; Treatment &amp; support</x:v>
      </x:c>
      <x:c r="H8" s="28" t="str">
        <x:v>Childhood</x:v>
      </x:c>
      <x:c r="I8" s="28" t="str">
        <x:v>not reported/not verified</x:v>
      </x:c>
      <x:c r="J8" s="28" t="str">
        <x:v>not reported</x:v>
      </x:c>
      <x:c r="K8" s="28" t="str">
        <x:v>Seventy-nine children, independently diagnosed as having attention deficit disorder (ADD) with or without hyperactivity and ranging in age from 6 years, 0 months, to 12 years, 11 months, were administered the Wechsler Intelligence Scale for Children-Revised (WISC-R), the Wide Range Achievement Test (WRAT), and the Child Behavior Checklist (CBC).</x:v>
      </x:c>
      <x:c r="L8" s="28" t="str">
        <x:v>10.1097/00004703-199002000-00005</x:v>
      </x:c>
      <x:c r="M8" s="28" t="str">
        <x:v>2303554</x:v>
      </x:c>
      <x:c r="N8" s="31" t="e">
        <x:f>HYPERLINK("https://pubmed.ncbi.nlm.nih.gov/"&amp;M8&amp;"/","Open PubMed")</x:f>
        <x:v>HYPERLINK is not implemented. linkLocation=https://pubmed.ncbi.nlm.nih.gov/2303554/, friendlyName=Open PubMed</x:v>
      </x:c>
      <x:c r="O8" s="31" t="str">
        <x:v>not reported</x:v>
      </x:c>
      <x:c r="P8" s="28" t="str">
        <x:v>abstract only</x:v>
      </x:c>
      <x:c r="Q8" s="28" t="str">
        <x:v>PubMed/MEDLINE export supplied by user | query: "Attention Deficit Disorder with Hyperactivity"[MeSH Terms] AND 1990[Publication Date]</x:v>
      </x:c>
      <x:c r="R8" s="28" t="str">
        <x:v>Batch 1 core</x:v>
      </x:c>
      <x:c r="S8" s="28" t="str">
        <x:v>Direct historical-period ADHD/hyperkinesis/minimal-brain-dysfunction focus with human relevance.</x:v>
      </x:c>
      <x:c r="T8" s="28" t="str">
        <x:v>not apparent from accessed abstract/metadata</x:v>
      </x:c>
      <x:c r="U8" s="28" t="str">
        <x:v>none identified in MEDLINE record</x:v>
      </x:c>
      <x:c r="V8" s="26" t="str">
        <x:v>not reported</x:v>
      </x:c>
      <x:c r="W8" s="28" t="str">
        <x:v>No PMC copy identified; publisher PDF/access must be checked</x:v>
      </x:c>
      <x:c r="X8" s="28" t="str">
        <x:v>Not verified</x:v>
      </x:c>
      <x:c r="Y8" s="31" t="str">
        <x:f>IF(V8="not reported","not reported",HYPERLINK("https://pmc.ncbi.nlm.nih.gov/articles/"&amp;V8&amp;"/","Open Full Text"))</x:f>
        <x:v>not reported</x:v>
      </x:c>
      <x:c r="Z8" s="31" t="e">
        <x:f>IF(L8="not reported","not reported",HYPERLINK("https://doi.org/"&amp;L8,"Open Publisher"))</x:f>
        <x:v>HYPERLINK is not implemented. linkLocation=https://doi.org/10.1097/00004703-199002000-00005, friendlyName=Open Publisher</x:v>
      </x:c>
      <x:c r="AA8" s="28" t="str">
        <x:v>DOI present in PubMed/MEDLINE; no PMCID present.</x:v>
      </x:c>
      <x:c r="AB8" s="28" t="str">
        <x:v>Open the DOI/publisher page. If PDF is paywalled, try Stony Brook Library access, Article Galaxy, or interlibrary loan.</x:v>
      </x:c>
      <x:c r="AC8" s="26" t="str">
        <x:v>2026-09-20</x:v>
      </x:c>
    </x:row>
    <x:row r="9">
      <x:c r="A9" s="26" t="str">
        <x:v>PUBMED-2289969</x:v>
      </x:c>
      <x:c r="B9" s="28" t="str">
        <x:v>A critique of current diagnostic criteria for attention deficit hyperactivity disorder: clinical and research implications.</x:v>
      </x:c>
      <x:c r="C9" s="28" t="str">
        <x:v>Barkley, R A</x:v>
      </x:c>
      <x:c r="D9" s="28" t="n">
        <x:v>1990</x:v>
      </x:c>
      <x:c r="E9" s="28" t="str">
        <x:v>Journal of developmental and behavioral pediatrics : JDBP</x:v>
      </x:c>
      <x:c r="F9" s="28" t="str">
        <x:v>Evidence synthesis - review</x:v>
      </x:c>
      <x:c r="G9" s="28" t="str">
        <x:v>Development &amp; presentation; Recognition &amp; diagnosis; Family &amp; education; Social &amp; structural; Environmental &amp; lifestyle</x:v>
      </x:c>
      <x:c r="H9" s="28" t="str">
        <x:v>Childhood; Adolescence</x:v>
      </x:c>
      <x:c r="I9" s="28" t="str">
        <x:v>not reported/not verified</x:v>
      </x:c>
      <x:c r="J9" s="28" t="str">
        <x:v>not reported</x:v>
      </x:c>
      <x:c r="K9" s="28" t="str">
        <x:v>The present paper critiques the current diagnostic criteria from the DSM-III-R and the draft criteria proposed for the ICD-10 for attention deficit hyperactivity disorder (ADHD).</x:v>
      </x:c>
      <x:c r="L9" s="28" t="str">
        <x:v>not reported</x:v>
      </x:c>
      <x:c r="M9" s="28" t="str">
        <x:v>2289969</x:v>
      </x:c>
      <x:c r="N9" s="31" t="e">
        <x:f>HYPERLINK("https://pubmed.ncbi.nlm.nih.gov/"&amp;M9&amp;"/","Open PubMed")</x:f>
        <x:v>HYPERLINK is not implemented. linkLocation=https://pubmed.ncbi.nlm.nih.gov/2289969/, friendlyName=Open PubMed</x:v>
      </x:c>
      <x:c r="O9" s="31" t="str">
        <x:v>not reported</x:v>
      </x:c>
      <x:c r="P9" s="28" t="str">
        <x:v>abstract only</x:v>
      </x:c>
      <x:c r="Q9" s="28" t="str">
        <x:v>PubMed/MEDLINE export supplied by user | query: "Attention Deficit Disorder with Hyperactivity"[MeSH Terms] AND 1990[Publication Date]</x:v>
      </x:c>
      <x:c r="R9" s="28" t="str">
        <x:v>Batch 1 core</x:v>
      </x:c>
      <x:c r="S9" s="28" t="str">
        <x:v>Direct historical-period ADHD/hyperkinesis/minimal-brain-dysfunction focus with human relevance.</x:v>
      </x:c>
      <x:c r="T9" s="28" t="str">
        <x:v>not apparent from accessed abstract/metadata</x:v>
      </x:c>
      <x:c r="U9" s="28" t="str">
        <x:v>none identified in MEDLINE record</x:v>
      </x:c>
      <x:c r="V9" s="26" t="str">
        <x:v>not reported</x:v>
      </x:c>
      <x:c r="W9" s="28" t="str">
        <x:v>No direct PDF/full-text identifier found in PubMed metadata</x:v>
      </x:c>
      <x:c r="X9" s="28" t="str">
        <x:v>Not verified</x:v>
      </x:c>
      <x:c r="Y9" s="31" t="str">
        <x:f>IF(V9="not reported","not reported",HYPERLINK("https://pmc.ncbi.nlm.nih.gov/articles/"&amp;V9&amp;"/","Open Full Text"))</x:f>
        <x:v>not reported</x:v>
      </x:c>
      <x:c r="Z9" s="31" t="str">
        <x:f>IF(L9="not reported","not reported",HYPERLINK("https://doi.org/"&amp;L9,"Open Publisher"))</x:f>
        <x:v>not reported</x:v>
      </x:c>
      <x:c r="AA9" s="28" t="str">
        <x:v>No PMCID or DOI present in the supplied PubMed/MEDLINE record.</x:v>
      </x:c>
      <x:c r="AB9" s="28" t="str">
        <x:v>Search the exact title/PMID in Stony Brook Library; if unavailable, request via interlibrary loan/document delivery.</x:v>
      </x:c>
      <x:c r="AC9" s="26" t="str">
        <x:v>2026-09-20</x:v>
      </x:c>
    </x:row>
    <x:row r="10">
      <x:c r="A10" s="26" t="str">
        <x:v>PUBMED-2342842</x:v>
      </x:c>
      <x:c r="B10" s="28" t="str">
        <x:v>The relationship between continuous performance tasks and neuropsychological tests in children with attention-deficit hyperactivity disorder.</x:v>
      </x:c>
      <x:c r="C10" s="28" t="str">
        <x:v>Grant, M L; Ilai, D; Nussbaum, N L; Bigler, E D</x:v>
      </x:c>
      <x:c r="D10" s="28" t="n">
        <x:v>1990</x:v>
      </x:c>
      <x:c r="E10" s="28" t="str">
        <x:v>Perceptual and motor skills</x:v>
      </x:c>
      <x:c r="F10" s="28" t="str">
        <x:v>Primary/contextual journal article</x:v>
      </x:c>
      <x:c r="G10" s="28" t="str">
        <x:v>Development &amp; presentation; Recognition &amp; diagnosis; Social &amp; structural; Life outcomes &amp; lived experience</x:v>
      </x:c>
      <x:c r="H10" s="28" t="str">
        <x:v>Childhood</x:v>
      </x:c>
      <x:c r="I10" s="28" t="str">
        <x:v>not reported/not verified</x:v>
      </x:c>
      <x:c r="J10" s="28" t="str">
        <x:v>not reported</x:v>
      </x:c>
      <x:c r="K10" s="28" t="str">
        <x:v>We examined the relationship between measures of sustained attention and impulsivity, as obtained by computerized continuous performance tasks of the Gordon Diagnostic System and a battery of intellectual, achievement, and neuropsychological tests.</x:v>
      </x:c>
      <x:c r="L10" s="28" t="str">
        <x:v>10.2466/pms.1990.70.2.435</x:v>
      </x:c>
      <x:c r="M10" s="28" t="str">
        <x:v>2342842</x:v>
      </x:c>
      <x:c r="N10" s="31" t="e">
        <x:f>HYPERLINK("https://pubmed.ncbi.nlm.nih.gov/"&amp;M10&amp;"/","Open PubMed")</x:f>
        <x:v>HYPERLINK is not implemented. linkLocation=https://pubmed.ncbi.nlm.nih.gov/2342842/, friendlyName=Open PubMed</x:v>
      </x:c>
      <x:c r="O10" s="31" t="str">
        <x:v>not reported</x:v>
      </x:c>
      <x:c r="P10" s="28" t="str">
        <x:v>abstract only</x:v>
      </x:c>
      <x:c r="Q10" s="28" t="str">
        <x:v>PubMed/MEDLINE export supplied by user | query: "Attention Deficit Disorder with Hyperactivity"[MeSH Terms] AND 1990[Publication Date]</x:v>
      </x:c>
      <x:c r="R10" s="28" t="str">
        <x:v>Batch 1 core</x:v>
      </x:c>
      <x:c r="S10" s="28" t="str">
        <x:v>Direct historical-period ADHD/hyperkinesis/minimal-brain-dysfunction focus with human relevance.</x:v>
      </x:c>
      <x:c r="T10" s="28" t="str">
        <x:v>not apparent from accessed abstract/metadata</x:v>
      </x:c>
      <x:c r="U10" s="28" t="str">
        <x:v>none identified in MEDLINE record</x:v>
      </x:c>
      <x:c r="V10" s="26" t="str">
        <x:v>not reported</x:v>
      </x:c>
      <x:c r="W10" s="28" t="str">
        <x:v>No PMC copy identified; publisher PDF/access must be checked</x:v>
      </x:c>
      <x:c r="X10" s="28" t="str">
        <x:v>Not verified</x:v>
      </x:c>
      <x:c r="Y10" s="31" t="str">
        <x:f>IF(V10="not reported","not reported",HYPERLINK("https://pmc.ncbi.nlm.nih.gov/articles/"&amp;V10&amp;"/","Open Full Text"))</x:f>
        <x:v>not reported</x:v>
      </x:c>
      <x:c r="Z10" s="31" t="e">
        <x:f>IF(L10="not reported","not reported",HYPERLINK("https://doi.org/"&amp;L10,"Open Publisher"))</x:f>
        <x:v>HYPERLINK is not implemented. linkLocation=https://doi.org/10.2466/pms.1990.70.2.435, friendlyName=Open Publisher</x:v>
      </x:c>
      <x:c r="AA10" s="28" t="str">
        <x:v>DOI present in PubMed/MEDLINE; no PMCID present.</x:v>
      </x:c>
      <x:c r="AB10" s="28" t="str">
        <x:v>Open the DOI/publisher page. If PDF is paywalled, try Stony Brook Library access, Article Galaxy, or interlibrary loan.</x:v>
      </x:c>
      <x:c r="AC10" s="26" t="str">
        <x:v>2026-09-20</x:v>
      </x:c>
    </x:row>
    <x:row r="11">
      <x:c r="A11" s="26" t="str">
        <x:v>PUBMED-2236435</x:v>
      </x:c>
      <x:c r="B11" s="28" t="str">
        <x:v>Effects of methylphenidate on processing negativities in patients with attention-deficit hyperactivity disorder.</x:v>
      </x:c>
      <x:c r="C11" s="28" t="str">
        <x:v>Klorman, R; Brumaghim, J T; Salzman, L F; Strauss, J; Borgstedt, A D; McBride, M C; Loeb, S</x:v>
      </x:c>
      <x:c r="D11" s="28" t="n">
        <x:v>1990</x:v>
      </x:c>
      <x:c r="E11" s="28" t="str">
        <x:v>Psychophysiology</x:v>
      </x:c>
      <x:c r="F11" s="28" t="str">
        <x:v>Primary study - randomized controlled trial</x:v>
      </x:c>
      <x:c r="G11" s="28" t="str">
        <x:v>Development &amp; presentation; Social &amp; structural; Treatment &amp; support</x:v>
      </x:c>
      <x:c r="H11" s="28" t="str">
        <x:v>Childhood</x:v>
      </x:c>
      <x:c r="I11" s="28" t="str">
        <x:v>not reported/not verified</x:v>
      </x:c>
      <x:c r="J11" s="28" t="str">
        <x:v>not reported</x:v>
      </x:c>
      <x:c r="K11" s="28" t="str">
        <x:v>This study compared the impact of methylphenidate on patients with Attention-deficit Hyperactivity Disorder (ADHD) with and without aggressive/noncompliant features in an oddball test consisting of a randomly ordered series of loud (frequent) tones, soft (rare) tones, bright (frequent) lights, and dim (rare) lights.</x:v>
      </x:c>
      <x:c r="L11" s="28" t="str">
        <x:v>10.1111/j.1469-8986.1990.tb00391.x</x:v>
      </x:c>
      <x:c r="M11" s="28" t="str">
        <x:v>2236435</x:v>
      </x:c>
      <x:c r="N11" s="31" t="e">
        <x:f>HYPERLINK("https://pubmed.ncbi.nlm.nih.gov/"&amp;M11&amp;"/","Open PubMed")</x:f>
        <x:v>HYPERLINK is not implemented. linkLocation=https://pubmed.ncbi.nlm.nih.gov/2236435/, friendlyName=Open PubMed</x:v>
      </x:c>
      <x:c r="O11" s="31" t="str">
        <x:v>not reported</x:v>
      </x:c>
      <x:c r="P11" s="28" t="str">
        <x:v>abstract only</x:v>
      </x:c>
      <x:c r="Q11" s="28" t="str">
        <x:v>PubMed/MEDLINE export supplied by user | query: "Attention Deficit Disorder with Hyperactivity"[MeSH Terms] AND 1990[Publication Date]</x:v>
      </x:c>
      <x:c r="R11" s="28" t="str">
        <x:v>Batch 1 core</x:v>
      </x:c>
      <x:c r="S11" s="28" t="str">
        <x:v>Direct historical-period ADHD/hyperkinesis/minimal-brain-dysfunction focus with human relevance.</x:v>
      </x:c>
      <x:c r="T11" s="28" t="str">
        <x:v>not apparent from accessed abstract/metadata</x:v>
      </x:c>
      <x:c r="U11" s="28" t="str">
        <x:v>none identified in MEDLINE record</x:v>
      </x:c>
      <x:c r="V11" s="26" t="str">
        <x:v>not reported</x:v>
      </x:c>
      <x:c r="W11" s="28" t="str">
        <x:v>No PMC copy identified; publisher PDF/access must be checked</x:v>
      </x:c>
      <x:c r="X11" s="28" t="str">
        <x:v>Not verified</x:v>
      </x:c>
      <x:c r="Y11" s="31" t="str">
        <x:f>IF(V11="not reported","not reported",HYPERLINK("https://pmc.ncbi.nlm.nih.gov/articles/"&amp;V11&amp;"/","Open Full Text"))</x:f>
        <x:v>not reported</x:v>
      </x:c>
      <x:c r="Z11" s="31" t="e">
        <x:f>IF(L11="not reported","not reported",HYPERLINK("https://doi.org/"&amp;L11,"Open Publisher"))</x:f>
        <x:v>HYPERLINK is not implemented. linkLocation=https://doi.org/10.1111/j.1469-8986.1990.tb00391.x, friendlyName=Open Publisher</x:v>
      </x:c>
      <x:c r="AA11" s="28" t="str">
        <x:v>DOI present in PubMed/MEDLINE; no PMCID present.</x:v>
      </x:c>
      <x:c r="AB11" s="28" t="str">
        <x:v>Open the DOI/publisher page. If PDF is paywalled, try Stony Brook Library access, Article Galaxy, or interlibrary loan.</x:v>
      </x:c>
      <x:c r="AC11" s="26" t="str">
        <x:v>2026-09-20</x:v>
      </x:c>
    </x:row>
    <x:row r="12">
      <x:c r="A12" s="26" t="str">
        <x:v>PUBMED-2258099</x:v>
      </x:c>
      <x:c r="B12" s="28" t="str">
        <x:v>[Attention deficit disorder].</x:v>
      </x:c>
      <x:c r="C12" s="28" t="str">
        <x:v>Gross, S</x:v>
      </x:c>
      <x:c r="D12" s="28" t="n">
        <x:v>1990</x:v>
      </x:c>
      <x:c r="E12" s="28" t="str">
        <x:v>Harefuah</x:v>
      </x:c>
      <x:c r="F12" s="28" t="str">
        <x:v>Evidence synthesis - review</x:v>
      </x:c>
      <x:c r="G12" s="28" t="str">
        <x:v>Development &amp; presentation; Recognition &amp; diagnosis; Treatment &amp; support</x:v>
      </x:c>
      <x:c r="H12" s="28" t="str">
        <x:v>Not specified</x:v>
      </x:c>
      <x:c r="I12" s="28" t="str">
        <x:v>not reported/not verified</x:v>
      </x:c>
      <x:c r="J12" s="28" t="str">
        <x:v>not reported</x:v>
      </x:c>
      <x:c r="K12" s="28" t="str">
        <x:v>Metadata-only record on: [Attention deficit disorder].</x:v>
      </x:c>
      <x:c r="L12" s="28" t="str">
        <x:v>not reported</x:v>
      </x:c>
      <x:c r="M12" s="28" t="str">
        <x:v>2258099</x:v>
      </x:c>
      <x:c r="N12" s="31" t="e">
        <x:f>HYPERLINK("https://pubmed.ncbi.nlm.nih.gov/"&amp;M12&amp;"/","Open PubMed")</x:f>
        <x:v>HYPERLINK is not implemented. linkLocation=https://pubmed.ncbi.nlm.nih.gov/2258099/, friendlyName=Open PubMed</x:v>
      </x:c>
      <x:c r="O12" s="31" t="str">
        <x:v>not reported</x:v>
      </x:c>
      <x:c r="P12" s="28" t="str">
        <x:v>metadata only</x:v>
      </x:c>
      <x:c r="Q12" s="28" t="str">
        <x:v>PubMed/MEDLINE export supplied by user | query: "Attention Deficit Disorder with Hyperactivity"[MeSH Terms] AND 1990[Publication Date]</x:v>
      </x:c>
      <x:c r="R12" s="28" t="str">
        <x:v>Batch 1 core</x:v>
      </x:c>
      <x:c r="S12" s="28" t="str">
        <x:v>Direct historical-period ADHD/hyperkinesis/minimal-brain-dysfunction focus with human relevance.</x:v>
      </x:c>
      <x:c r="T12" s="28" t="str">
        <x:v>not apparent from accessed abstract/metadata</x:v>
      </x:c>
      <x:c r="U12" s="28" t="str">
        <x:v>none identified in MEDLINE record</x:v>
      </x:c>
      <x:c r="V12" s="26" t="str">
        <x:v>not reported</x:v>
      </x:c>
      <x:c r="W12" s="28" t="str">
        <x:v>No direct PDF/full-text identifier found in PubMed metadata</x:v>
      </x:c>
      <x:c r="X12" s="28" t="str">
        <x:v>Not verified</x:v>
      </x:c>
      <x:c r="Y12" s="31" t="str">
        <x:f>IF(V12="not reported","not reported",HYPERLINK("https://pmc.ncbi.nlm.nih.gov/articles/"&amp;V12&amp;"/","Open Full Text"))</x:f>
        <x:v>not reported</x:v>
      </x:c>
      <x:c r="Z12" s="31" t="str">
        <x:f>IF(L12="not reported","not reported",HYPERLINK("https://doi.org/"&amp;L12,"Open Publisher"))</x:f>
        <x:v>not reported</x:v>
      </x:c>
      <x:c r="AA12" s="28" t="str">
        <x:v>No PMCID or DOI present in the supplied PubMed/MEDLINE record.</x:v>
      </x:c>
      <x:c r="AB12" s="28" t="str">
        <x:v>Search the exact title/PMID in Stony Brook Library; if unavailable, request via interlibrary loan/document delivery.</x:v>
      </x:c>
      <x:c r="AC12" s="26" t="str">
        <x:v>2026-09-20</x:v>
      </x:c>
    </x:row>
    <x:row r="13">
      <x:c r="A13" s="26" t="str">
        <x:v>PUBMED-2196520</x:v>
      </x:c>
      <x:c r="B13" s="28" t="str">
        <x:v>Side effects of methylphenidate in children with attention deficit hyperactivity disorder: a systemic, placebo-controlled evaluation.</x:v>
      </x:c>
      <x:c r="C13" s="28" t="str">
        <x:v>Barkley, R A; McMurray, M B; Edelbrock, C S; Robbins, K</x:v>
      </x:c>
      <x:c r="D13" s="28" t="n">
        <x:v>1990</x:v>
      </x:c>
      <x:c r="E13" s="28" t="str">
        <x:v>Pediatrics</x:v>
      </x:c>
      <x:c r="F13" s="28" t="str">
        <x:v>Primary study - randomized controlled trial</x:v>
      </x:c>
      <x:c r="G13" s="28" t="str">
        <x:v>Development &amp; presentation; Family &amp; education; Environmental &amp; lifestyle; Treatment &amp; support; Life outcomes &amp; lived experience</x:v>
      </x:c>
      <x:c r="H13" s="28" t="str">
        <x:v>Childhood; Adolescence</x:v>
      </x:c>
      <x:c r="I13" s="28" t="str">
        <x:v>not reported/not verified</x:v>
      </x:c>
      <x:c r="J13" s="28" t="str">
        <x:v>not reported</x:v>
      </x:c>
      <x:c r="K13" s="28" t="str">
        <x:v>The frequency and severity of 17 side effects presumably associated with stimulant medication were assessed during a rigorous, triple-blind, placebo-controlled, crossover evaluation of methylphenidate, 0.3 and 0.5 mg/kg twice a day, in 83 children with attention deficit hyperactivity disorder.</x:v>
      </x:c>
      <x:c r="L13" s="28" t="str">
        <x:v>not reported</x:v>
      </x:c>
      <x:c r="M13" s="28" t="str">
        <x:v>2196520</x:v>
      </x:c>
      <x:c r="N13" s="31" t="e">
        <x:f>HYPERLINK("https://pubmed.ncbi.nlm.nih.gov/"&amp;M13&amp;"/","Open PubMed")</x:f>
        <x:v>HYPERLINK is not implemented. linkLocation=https://pubmed.ncbi.nlm.nih.gov/2196520/, friendlyName=Open PubMed</x:v>
      </x:c>
      <x:c r="O13" s="31" t="str">
        <x:v>not reported</x:v>
      </x:c>
      <x:c r="P13" s="28" t="str">
        <x:v>abstract only</x:v>
      </x:c>
      <x:c r="Q13" s="28" t="str">
        <x:v>PubMed/MEDLINE export supplied by user | query: "Attention Deficit Disorder with Hyperactivity"[MeSH Terms] AND 1990[Publication Date]</x:v>
      </x:c>
      <x:c r="R13" s="28" t="str">
        <x:v>Batch 1 core</x:v>
      </x:c>
      <x:c r="S13" s="28" t="str">
        <x:v>Direct historical-period ADHD/hyperkinesis/minimal-brain-dysfunction focus with human relevance.</x:v>
      </x:c>
      <x:c r="T13" s="28" t="str">
        <x:v>not apparent from accessed abstract/metadata</x:v>
      </x:c>
      <x:c r="U13" s="28" t="str">
        <x:v>none identified in MEDLINE record</x:v>
      </x:c>
      <x:c r="V13" s="26" t="str">
        <x:v>not reported</x:v>
      </x:c>
      <x:c r="W13" s="28" t="str">
        <x:v>No direct PDF/full-text identifier found in PubMed metadata</x:v>
      </x:c>
      <x:c r="X13" s="28" t="str">
        <x:v>Not verified</x:v>
      </x:c>
      <x:c r="Y13" s="31" t="str">
        <x:f>IF(V13="not reported","not reported",HYPERLINK("https://pmc.ncbi.nlm.nih.gov/articles/"&amp;V13&amp;"/","Open Full Text"))</x:f>
        <x:v>not reported</x:v>
      </x:c>
      <x:c r="Z13" s="31" t="str">
        <x:f>IF(L13="not reported","not reported",HYPERLINK("https://doi.org/"&amp;L13,"Open Publisher"))</x:f>
        <x:v>not reported</x:v>
      </x:c>
      <x:c r="AA13" s="28" t="str">
        <x:v>No PMCID or DOI present in the supplied PubMed/MEDLINE record.</x:v>
      </x:c>
      <x:c r="AB13" s="28" t="str">
        <x:v>Search the exact title/PMID in Stony Brook Library; if unavailable, request via interlibrary loan/document delivery.</x:v>
      </x:c>
      <x:c r="AC13" s="26" t="str">
        <x:v>2026-09-20</x:v>
      </x:c>
    </x:row>
    <x:row r="14">
      <x:c r="A14" s="26" t="str">
        <x:v>PUBMED-2115746</x:v>
      </x:c>
      <x:c r="B14" s="28" t="str">
        <x:v>Bupropion treatment of attention-deficit hyperactivity disorder in adults.</x:v>
      </x:c>
      <x:c r="C14" s="28" t="str">
        <x:v>Wender, P H; Reimherr, F W</x:v>
      </x:c>
      <x:c r="D14" s="28" t="n">
        <x:v>1990</x:v>
      </x:c>
      <x:c r="E14" s="28" t="str">
        <x:v>The American journal of psychiatry</x:v>
      </x:c>
      <x:c r="F14" s="28" t="str">
        <x:v>Primary study - clinical trial</x:v>
      </x:c>
      <x:c r="G14" s="28" t="str">
        <x:v>Development &amp; presentation; Social &amp; structural; Treatment &amp; support</x:v>
      </x:c>
      <x:c r="H14" s="28" t="str">
        <x:v>Adulthood</x:v>
      </x:c>
      <x:c r="I14" s="28" t="str">
        <x:v>not reported/not verified</x:v>
      </x:c>
      <x:c r="J14" s="28" t="str">
        <x:v>not reported</x:v>
      </x:c>
      <x:c r="K14" s="28" t="str">
        <x:v>The authors treated 19 adults with attention-deficit hyperactivity disorder with an open trial of bupropion.</x:v>
      </x:c>
      <x:c r="L14" s="28" t="str">
        <x:v>10.1176/ajp.147.8.1018</x:v>
      </x:c>
      <x:c r="M14" s="28" t="str">
        <x:v>2115746</x:v>
      </x:c>
      <x:c r="N14" s="31" t="e">
        <x:f>HYPERLINK("https://pubmed.ncbi.nlm.nih.gov/"&amp;M14&amp;"/","Open PubMed")</x:f>
        <x:v>HYPERLINK is not implemented. linkLocation=https://pubmed.ncbi.nlm.nih.gov/2115746/, friendlyName=Open PubMed</x:v>
      </x:c>
      <x:c r="O14" s="31" t="str">
        <x:v>not reported</x:v>
      </x:c>
      <x:c r="P14" s="28" t="str">
        <x:v>abstract only</x:v>
      </x:c>
      <x:c r="Q14" s="28" t="str">
        <x:v>PubMed/MEDLINE export supplied by user | query: "Attention Deficit Disorder with Hyperactivity"[MeSH Terms] AND 1990[Publication Date]</x:v>
      </x:c>
      <x:c r="R14" s="28" t="str">
        <x:v>Batch 1 core</x:v>
      </x:c>
      <x:c r="S14" s="28" t="str">
        <x:v>Direct historical-period ADHD/hyperkinesis/minimal-brain-dysfunction focus with human relevance.</x:v>
      </x:c>
      <x:c r="T14" s="28" t="str">
        <x:v>not apparent from accessed abstract/metadata</x:v>
      </x:c>
      <x:c r="U14" s="28" t="str">
        <x:v>none identified in MEDLINE record</x:v>
      </x:c>
      <x:c r="V14" s="26" t="str">
        <x:v>not reported</x:v>
      </x:c>
      <x:c r="W14" s="28" t="str">
        <x:v>No PMC copy identified; publisher PDF/access must be checked</x:v>
      </x:c>
      <x:c r="X14" s="28" t="str">
        <x:v>Not verified</x:v>
      </x:c>
      <x:c r="Y14" s="31" t="str">
        <x:f>IF(V14="not reported","not reported",HYPERLINK("https://pmc.ncbi.nlm.nih.gov/articles/"&amp;V14&amp;"/","Open Full Text"))</x:f>
        <x:v>not reported</x:v>
      </x:c>
      <x:c r="Z14" s="31" t="e">
        <x:f>IF(L14="not reported","not reported",HYPERLINK("https://doi.org/"&amp;L14,"Open Publisher"))</x:f>
        <x:v>HYPERLINK is not implemented. linkLocation=https://doi.org/10.1176/ajp.147.8.1018, friendlyName=Open Publisher</x:v>
      </x:c>
      <x:c r="AA14" s="28" t="str">
        <x:v>DOI present in PubMed/MEDLINE; no PMCID present.</x:v>
      </x:c>
      <x:c r="AB14" s="28" t="str">
        <x:v>Open the DOI/publisher page. If PDF is paywalled, try Stony Brook Library access, Article Galaxy, or interlibrary loan.</x:v>
      </x:c>
      <x:c r="AC14" s="26" t="str">
        <x:v>2026-09-20</x:v>
      </x:c>
    </x:row>
    <x:row r="15">
      <x:c r="A15" s="26" t="str">
        <x:v>PUBMED-2308471</x:v>
      </x:c>
      <x:c r="B15" s="28" t="str">
        <x:v>Growth hormone and prolactin response to methylphenidate in children with attention deficit disorder.</x:v>
      </x:c>
      <x:c r="C15" s="28" t="str">
        <x:v>Shaywitz, B A; Shaywitz, S E; Sebrechts, M M; Anderson, G M; Cohen, D J; Jatlow, P; Young, J G</x:v>
      </x:c>
      <x:c r="D15" s="28" t="n">
        <x:v>1990</x:v>
      </x:c>
      <x:c r="E15" s="28" t="str">
        <x:v>Life sciences</x:v>
      </x:c>
      <x:c r="F15" s="28" t="str">
        <x:v>Primary study - clinical trial</x:v>
      </x:c>
      <x:c r="G15" s="28" t="str">
        <x:v>Development &amp; presentation; Recognition &amp; diagnosis; Family &amp; education; Social &amp; structural; Treatment &amp; support; Life outcomes &amp; lived experience</x:v>
      </x:c>
      <x:c r="H15" s="28" t="str">
        <x:v>Childhood; ages 7.0-12.4 years</x:v>
      </x:c>
      <x:c r="I15" s="28" t="str">
        <x:v>not reported/not verified</x:v>
      </x:c>
      <x:c r="J15" s="28" t="str">
        <x:v>not reported</x:v>
      </x:c>
      <x:c r="K15" s="28" t="str">
        <x:v>Utilizing a double-blind, drug-placebo design, we examined growth hormone (GH) and prolactin (Pro) response to oral administration of methylphenidate (MPH) in 14 boys (ages 7.0-12.4 years) with Attention Deficit Disorder (ADD).</x:v>
      </x:c>
      <x:c r="L15" s="28" t="str">
        <x:v>10.1016/0024-3205(90)90131-a</x:v>
      </x:c>
      <x:c r="M15" s="28" t="str">
        <x:v>2308471</x:v>
      </x:c>
      <x:c r="N15" s="31" t="e">
        <x:f>HYPERLINK("https://pubmed.ncbi.nlm.nih.gov/"&amp;M15&amp;"/","Open PubMed")</x:f>
        <x:v>HYPERLINK is not implemented. linkLocation=https://pubmed.ncbi.nlm.nih.gov/2308471/, friendlyName=Open PubMed</x:v>
      </x:c>
      <x:c r="O15" s="31" t="str">
        <x:v>not reported</x:v>
      </x:c>
      <x:c r="P15" s="28" t="str">
        <x:v>abstract only</x:v>
      </x:c>
      <x:c r="Q15" s="28" t="str">
        <x:v>PubMed/MEDLINE export supplied by user | query: "Attention Deficit Disorder with Hyperactivity"[MeSH Terms] AND 1990[Publication Date]</x:v>
      </x:c>
      <x:c r="R15" s="28" t="str">
        <x:v>Batch 1 core</x:v>
      </x:c>
      <x:c r="S15" s="28" t="str">
        <x:v>Direct historical-period ADHD/hyperkinesis/minimal-brain-dysfunction focus with human relevance.</x:v>
      </x:c>
      <x:c r="T15" s="28" t="str">
        <x:v>not apparent from accessed abstract/metadata</x:v>
      </x:c>
      <x:c r="U15" s="28" t="str">
        <x:v>none identified in MEDLINE record</x:v>
      </x:c>
      <x:c r="V15" s="26" t="str">
        <x:v>not reported</x:v>
      </x:c>
      <x:c r="W15" s="28" t="str">
        <x:v>No PMC copy identified; publisher PDF/access must be checked</x:v>
      </x:c>
      <x:c r="X15" s="28" t="str">
        <x:v>Not verified</x:v>
      </x:c>
      <x:c r="Y15" s="31" t="str">
        <x:f>IF(V15="not reported","not reported",HYPERLINK("https://pmc.ncbi.nlm.nih.gov/articles/"&amp;V15&amp;"/","Open Full Text"))</x:f>
        <x:v>not reported</x:v>
      </x:c>
      <x:c r="Z15" s="31" t="e">
        <x:f>IF(L15="not reported","not reported",HYPERLINK("https://doi.org/"&amp;L15,"Open Publisher"))</x:f>
        <x:v>HYPERLINK is not implemented. linkLocation=https://doi.org/10.1016/0024-3205(90)90131-a, friendlyName=Open Publisher</x:v>
      </x:c>
      <x:c r="AA15" s="28" t="str">
        <x:v>DOI present in PubMed/MEDLINE; no PMCID present.</x:v>
      </x:c>
      <x:c r="AB15" s="28" t="str">
        <x:v>Open the DOI/publisher page. If PDF is paywalled, try Stony Brook Library access, Article Galaxy, or interlibrary loan.</x:v>
      </x:c>
      <x:c r="AC15" s="26" t="str">
        <x:v>2026-09-20</x:v>
      </x:c>
    </x:row>
    <x:row r="16">
      <x:c r="A16" s="26" t="str">
        <x:v>PUBMED-2251528</x:v>
      </x:c>
      <x:c r="B16" s="28" t="str">
        <x:v>Attention deficit hyperactivity disorder: does it affect adults too?</x:v>
      </x:c>
      <x:c r="C16" s="28" t="str">
        <x:v>Heath, C T Jr; Wright, H H; Batey, S R</x:v>
      </x:c>
      <x:c r="D16" s="28" t="n">
        <x:v>1990</x:v>
      </x:c>
      <x:c r="E16" s="28" t="str">
        <x:v>Southern medical journal</x:v>
      </x:c>
      <x:c r="F16" s="28" t="str">
        <x:v>Evidence synthesis - review</x:v>
      </x:c>
      <x:c r="G16" s="28" t="str">
        <x:v>Development &amp; presentation; Recognition &amp; diagnosis; Social &amp; structural; Treatment &amp; support</x:v>
      </x:c>
      <x:c r="H16" s="28" t="str">
        <x:v>Childhood; Adolescence; Adulthood</x:v>
      </x:c>
      <x:c r="I16" s="28" t="str">
        <x:v>not reported/not verified</x:v>
      </x:c>
      <x:c r="J16" s="28" t="str">
        <x:v>not reported</x:v>
      </x:c>
      <x:c r="K16" s="28" t="str">
        <x:v>A review of the literature and our experience suggest that attention deficit hyperactivity disorder does not necessarily disappear in adolescence but may persist into adult life.</x:v>
      </x:c>
      <x:c r="L16" s="28" t="str">
        <x:v>10.1097/00007611-199012000-00007</x:v>
      </x:c>
      <x:c r="M16" s="28" t="str">
        <x:v>2251528</x:v>
      </x:c>
      <x:c r="N16" s="31" t="e">
        <x:f>HYPERLINK("https://pubmed.ncbi.nlm.nih.gov/"&amp;M16&amp;"/","Open PubMed")</x:f>
        <x:v>HYPERLINK is not implemented. linkLocation=https://pubmed.ncbi.nlm.nih.gov/2251528/, friendlyName=Open PubMed</x:v>
      </x:c>
      <x:c r="O16" s="31" t="str">
        <x:v>not reported</x:v>
      </x:c>
      <x:c r="P16" s="28" t="str">
        <x:v>abstract only</x:v>
      </x:c>
      <x:c r="Q16" s="28" t="str">
        <x:v>PubMed/MEDLINE export supplied by user | query: "Attention Deficit Disorder with Hyperactivity"[MeSH Terms] AND 1990[Publication Date]</x:v>
      </x:c>
      <x:c r="R16" s="28" t="str">
        <x:v>Batch 1 core</x:v>
      </x:c>
      <x:c r="S16" s="28" t="str">
        <x:v>Direct historical-period ADHD/hyperkinesis/minimal-brain-dysfunction focus with human relevance.</x:v>
      </x:c>
      <x:c r="T16" s="28" t="str">
        <x:v>not apparent from accessed abstract/metadata</x:v>
      </x:c>
      <x:c r="U16" s="28" t="str">
        <x:v>none identified in MEDLINE record</x:v>
      </x:c>
      <x:c r="V16" s="26" t="str">
        <x:v>not reported</x:v>
      </x:c>
      <x:c r="W16" s="28" t="str">
        <x:v>No PMC copy identified; publisher PDF/access must be checked</x:v>
      </x:c>
      <x:c r="X16" s="28" t="str">
        <x:v>Not verified</x:v>
      </x:c>
      <x:c r="Y16" s="31" t="str">
        <x:f>IF(V16="not reported","not reported",HYPERLINK("https://pmc.ncbi.nlm.nih.gov/articles/"&amp;V16&amp;"/","Open Full Text"))</x:f>
        <x:v>not reported</x:v>
      </x:c>
      <x:c r="Z16" s="31" t="e">
        <x:f>IF(L16="not reported","not reported",HYPERLINK("https://doi.org/"&amp;L16,"Open Publisher"))</x:f>
        <x:v>HYPERLINK is not implemented. linkLocation=https://doi.org/10.1097/00007611-199012000-00007, friendlyName=Open Publisher</x:v>
      </x:c>
      <x:c r="AA16" s="28" t="str">
        <x:v>DOI present in PubMed/MEDLINE; no PMCID present.</x:v>
      </x:c>
      <x:c r="AB16" s="28" t="str">
        <x:v>Open the DOI/publisher page. If PDF is paywalled, try Stony Brook Library access, Article Galaxy, or interlibrary loan.</x:v>
      </x:c>
      <x:c r="AC16" s="26" t="str">
        <x:v>2026-09-20</x:v>
      </x:c>
    </x:row>
    <x:row r="17">
      <x:c r="A17" s="26" t="str">
        <x:v>PUBMED-2135682</x:v>
      </x:c>
      <x:c r="B17" s="28" t="str">
        <x:v>Efficacy of methylphenidate among mentally retarded children with attention deficit hyperactivity disorder.</x:v>
      </x:c>
      <x:c r="C17" s="28" t="str">
        <x:v>Handen, B L; Breaux, A M; Gosling, A; Ploof, D L; Feldman, H</x:v>
      </x:c>
      <x:c r="D17" s="28" t="n">
        <x:v>1990</x:v>
      </x:c>
      <x:c r="E17" s="28" t="str">
        <x:v>Pediatrics</x:v>
      </x:c>
      <x:c r="F17" s="28" t="str">
        <x:v>Primary study - randomized controlled trial</x:v>
      </x:c>
      <x:c r="G17" s="28" t="str">
        <x:v>Development &amp; presentation; Recognition &amp; diagnosis; Family &amp; education; Social &amp; structural; Treatment &amp; support</x:v>
      </x:c>
      <x:c r="H17" s="28" t="str">
        <x:v>Childhood</x:v>
      </x:c>
      <x:c r="I17" s="28" t="str">
        <x:v>not reported/not verified</x:v>
      </x:c>
      <x:c r="J17" s="28" t="str">
        <x:v>not reported</x:v>
      </x:c>
      <x:c r="K17" s="28" t="str">
        <x:v>Twelve children with IQ scores of 50 to 74 (educable mental retardation) who met rigorous diagnostic criteria for attention deficit hyperactivity disorder participated in a double-blind crossover study of the efficacy of two doses of methylphenidate compared with placebo.</x:v>
      </x:c>
      <x:c r="L17" s="28" t="str">
        <x:v>not reported</x:v>
      </x:c>
      <x:c r="M17" s="28" t="str">
        <x:v>2135682</x:v>
      </x:c>
      <x:c r="N17" s="31" t="e">
        <x:f>HYPERLINK("https://pubmed.ncbi.nlm.nih.gov/"&amp;M17&amp;"/","Open PubMed")</x:f>
        <x:v>HYPERLINK is not implemented. linkLocation=https://pubmed.ncbi.nlm.nih.gov/2135682/, friendlyName=Open PubMed</x:v>
      </x:c>
      <x:c r="O17" s="31" t="str">
        <x:v>not reported</x:v>
      </x:c>
      <x:c r="P17" s="28" t="str">
        <x:v>abstract only</x:v>
      </x:c>
      <x:c r="Q17" s="28" t="str">
        <x:v>PubMed/MEDLINE export supplied by user | query: "Attention Deficit Disorder with Hyperactivity"[MeSH Terms] AND 1990[Publication Date]</x:v>
      </x:c>
      <x:c r="R17" s="28" t="str">
        <x:v>Batch 1 core</x:v>
      </x:c>
      <x:c r="S17" s="28" t="str">
        <x:v>Direct historical-period ADHD/hyperkinesis/minimal-brain-dysfunction focus with human relevance.</x:v>
      </x:c>
      <x:c r="T17" s="28" t="str">
        <x:v>not apparent from accessed abstract/metadata</x:v>
      </x:c>
      <x:c r="U17" s="28" t="str">
        <x:v>none identified in MEDLINE record</x:v>
      </x:c>
      <x:c r="V17" s="26" t="str">
        <x:v>not reported</x:v>
      </x:c>
      <x:c r="W17" s="28" t="str">
        <x:v>No direct PDF/full-text identifier found in PubMed metadata</x:v>
      </x:c>
      <x:c r="X17" s="28" t="str">
        <x:v>Not verified</x:v>
      </x:c>
      <x:c r="Y17" s="31" t="str">
        <x:f>IF(V17="not reported","not reported",HYPERLINK("https://pmc.ncbi.nlm.nih.gov/articles/"&amp;V17&amp;"/","Open Full Text"))</x:f>
        <x:v>not reported</x:v>
      </x:c>
      <x:c r="Z17" s="31" t="str">
        <x:f>IF(L17="not reported","not reported",HYPERLINK("https://doi.org/"&amp;L17,"Open Publisher"))</x:f>
        <x:v>not reported</x:v>
      </x:c>
      <x:c r="AA17" s="28" t="str">
        <x:v>No PMCID or DOI present in the supplied PubMed/MEDLINE record.</x:v>
      </x:c>
      <x:c r="AB17" s="28" t="str">
        <x:v>Search the exact title/PMID in Stony Brook Library; if unavailable, request via interlibrary loan/document delivery.</x:v>
      </x:c>
      <x:c r="AC17" s="26" t="str">
        <x:v>2026-09-20</x:v>
      </x:c>
    </x:row>
    <x:row r="18">
      <x:c r="A18" s="26" t="str">
        <x:v>PUBMED-2364762</x:v>
      </x:c>
      <x:c r="B18" s="28" t="str">
        <x:v>Juvenile delinquency and attention deficit disorder: boys' developmental trajectories from age 3 to age 15.</x:v>
      </x:c>
      <x:c r="C18" s="28" t="str">
        <x:v>Moffitt, T E</x:v>
      </x:c>
      <x:c r="D18" s="28" t="n">
        <x:v>1990</x:v>
      </x:c>
      <x:c r="E18" s="28" t="str">
        <x:v>Child development</x:v>
      </x:c>
      <x:c r="F18" s="28" t="str">
        <x:v>Primary study - cohort</x:v>
      </x:c>
      <x:c r="G18" s="28" t="str">
        <x:v>Development &amp; presentation; Recognition &amp; diagnosis; Family &amp; education; Social &amp; structural; Environmental &amp; lifestyle; Life outcomes &amp; lived experience</x:v>
      </x:c>
      <x:c r="H18" s="28" t="str">
        <x:v>Childhood; Adolescence</x:v>
      </x:c>
      <x:c r="I18" s="28" t="str">
        <x:v>not reported/not verified</x:v>
      </x:c>
      <x:c r="J18" s="28" t="str">
        <x:v>not reported</x:v>
      </x:c>
      <x:c r="K18" s="28" t="str">
        <x:v>This article describes a longitudinal analysis of the behavior of a birth cohort of 435 boys.</x:v>
      </x:c>
      <x:c r="L18" s="28" t="str">
        <x:v>10.1111/j.1467-8624.1990.tb02830.x</x:v>
      </x:c>
      <x:c r="M18" s="28" t="str">
        <x:v>2364762</x:v>
      </x:c>
      <x:c r="N18" s="31" t="e">
        <x:f>HYPERLINK("https://pubmed.ncbi.nlm.nih.gov/"&amp;M18&amp;"/","Open PubMed")</x:f>
        <x:v>HYPERLINK is not implemented. linkLocation=https://pubmed.ncbi.nlm.nih.gov/2364762/, friendlyName=Open PubMed</x:v>
      </x:c>
      <x:c r="O18" s="31" t="str">
        <x:v>not reported</x:v>
      </x:c>
      <x:c r="P18" s="28" t="str">
        <x:v>abstract only</x:v>
      </x:c>
      <x:c r="Q18" s="28" t="str">
        <x:v>PubMed/MEDLINE export supplied by user | query: "Attention Deficit Disorder with Hyperactivity"[MeSH Terms] AND 1990[Publication Date]</x:v>
      </x:c>
      <x:c r="R18" s="28" t="str">
        <x:v>Batch 1 core</x:v>
      </x:c>
      <x:c r="S18" s="28" t="str">
        <x:v>Direct historical-period ADHD/hyperkinesis/minimal-brain-dysfunction focus with human relevance.</x:v>
      </x:c>
      <x:c r="T18" s="28" t="str">
        <x:v>not apparent from accessed abstract/metadata</x:v>
      </x:c>
      <x:c r="U18" s="28" t="str">
        <x:v>none identified in MEDLINE record</x:v>
      </x:c>
      <x:c r="V18" s="26" t="str">
        <x:v>not reported</x:v>
      </x:c>
      <x:c r="W18" s="28" t="str">
        <x:v>No PMC copy identified; publisher PDF/access must be checked</x:v>
      </x:c>
      <x:c r="X18" s="28" t="str">
        <x:v>Not verified</x:v>
      </x:c>
      <x:c r="Y18" s="31" t="str">
        <x:f>IF(V18="not reported","not reported",HYPERLINK("https://pmc.ncbi.nlm.nih.gov/articles/"&amp;V18&amp;"/","Open Full Text"))</x:f>
        <x:v>not reported</x:v>
      </x:c>
      <x:c r="Z18" s="31" t="e">
        <x:f>IF(L18="not reported","not reported",HYPERLINK("https://doi.org/"&amp;L18,"Open Publisher"))</x:f>
        <x:v>HYPERLINK is not implemented. linkLocation=https://doi.org/10.1111/j.1467-8624.1990.tb02830.x, friendlyName=Open Publisher</x:v>
      </x:c>
      <x:c r="AA18" s="28" t="str">
        <x:v>DOI present in PubMed/MEDLINE; no PMCID present.</x:v>
      </x:c>
      <x:c r="AB18" s="28" t="str">
        <x:v>Open the DOI/publisher page. If PDF is paywalled, try Stony Brook Library access, Article Galaxy, or interlibrary loan.</x:v>
      </x:c>
      <x:c r="AC18" s="26" t="str">
        <x:v>2026-09-20</x:v>
      </x:c>
    </x:row>
    <x:row r="19">
      <x:c r="A19" s="26" t="str">
        <x:v>PUBMED-2365665</x:v>
      </x:c>
      <x:c r="B19" s="28" t="str">
        <x:v>A controlled family history study of Tourette's syndrome, I: Attention-deficit hyperactivity disorder and learning disorders.</x:v>
      </x:c>
      <x:c r="C19" s="28" t="str">
        <x:v>Comings, D E; Comings, B G</x:v>
      </x:c>
      <x:c r="D19" s="28" t="n">
        <x:v>1990</x:v>
      </x:c>
      <x:c r="E19" s="28" t="str">
        <x:v>The Journal of clinical psychiatry</x:v>
      </x:c>
      <x:c r="F19" s="28" t="str">
        <x:v>Primary/contextual journal article</x:v>
      </x:c>
      <x:c r="G19" s="28" t="str">
        <x:v>Development &amp; presentation; Recognition &amp; diagnosis; Family &amp; education; Historical &amp; contemporary context</x:v>
      </x:c>
      <x:c r="H19" s="28" t="str">
        <x:v>Childhood; Adolescence; Adulthood</x:v>
      </x:c>
      <x:c r="I19" s="28" t="str">
        <x:v>not reported/not verified</x:v>
      </x:c>
      <x:c r="J19" s="28" t="str">
        <x:v>not reported</x:v>
      </x:c>
      <x:c r="K19" s="28" t="str">
        <x:v>Gilles de la Tourette's syndrome (TS) is a common, hereditary neuropsychiatric disorder.</x:v>
      </x:c>
      <x:c r="L19" s="28" t="str">
        <x:v>not reported</x:v>
      </x:c>
      <x:c r="M19" s="28" t="str">
        <x:v>2365665</x:v>
      </x:c>
      <x:c r="N19" s="31" t="e">
        <x:f>HYPERLINK("https://pubmed.ncbi.nlm.nih.gov/"&amp;M19&amp;"/","Open PubMed")</x:f>
        <x:v>HYPERLINK is not implemented. linkLocation=https://pubmed.ncbi.nlm.nih.gov/2365665/, friendlyName=Open PubMed</x:v>
      </x:c>
      <x:c r="O19" s="31" t="str">
        <x:v>not reported</x:v>
      </x:c>
      <x:c r="P19" s="28" t="str">
        <x:v>abstract only</x:v>
      </x:c>
      <x:c r="Q19" s="28" t="str">
        <x:v>PubMed/MEDLINE export supplied by user | query: "Attention Deficit Disorder with Hyperactivity"[MeSH Terms] AND 1990[Publication Date]</x:v>
      </x:c>
      <x:c r="R19" s="28" t="str">
        <x:v>Batch 1 core</x:v>
      </x:c>
      <x:c r="S19" s="28" t="str">
        <x:v>Direct historical-period ADHD/hyperkinesis/minimal-brain-dysfunction focus with human relevance.</x:v>
      </x:c>
      <x:c r="T19" s="28" t="str">
        <x:v>not apparent from accessed abstract/metadata</x:v>
      </x:c>
      <x:c r="U19" s="28" t="str">
        <x:v>none identified in MEDLINE record</x:v>
      </x:c>
      <x:c r="V19" s="26" t="str">
        <x:v>not reported</x:v>
      </x:c>
      <x:c r="W19" s="28" t="str">
        <x:v>No direct PDF/full-text identifier found in PubMed metadata</x:v>
      </x:c>
      <x:c r="X19" s="28" t="str">
        <x:v>Not verified</x:v>
      </x:c>
      <x:c r="Y19" s="31" t="str">
        <x:f>IF(V19="not reported","not reported",HYPERLINK("https://pmc.ncbi.nlm.nih.gov/articles/"&amp;V19&amp;"/","Open Full Text"))</x:f>
        <x:v>not reported</x:v>
      </x:c>
      <x:c r="Z19" s="31" t="str">
        <x:f>IF(L19="not reported","not reported",HYPERLINK("https://doi.org/"&amp;L19,"Open Publisher"))</x:f>
        <x:v>not reported</x:v>
      </x:c>
      <x:c r="AA19" s="28" t="str">
        <x:v>No PMCID or DOI present in the supplied PubMed/MEDLINE record.</x:v>
      </x:c>
      <x:c r="AB19" s="28" t="str">
        <x:v>Search the exact title/PMID in Stony Brook Library; if unavailable, request via interlibrary loan/document delivery.</x:v>
      </x:c>
      <x:c r="AC19" s="26" t="str">
        <x:v>2026-09-20</x:v>
      </x:c>
    </x:row>
    <x:row r="20">
      <x:c r="A20" s="26" t="str">
        <x:v>PUBMED-2074343</x:v>
      </x:c>
      <x:c r="B20" s="28" t="str">
        <x:v>Intellectual, academic, and adaptive functioning of Tourette syndrome children with and without attention deficit disorder.</x:v>
      </x:c>
      <x:c r="C20" s="28" t="str">
        <x:v>Dykens, E; Leckman, J; Riddle, M; Hardin, M; Schwartz, S; Cohen, D</x:v>
      </x:c>
      <x:c r="D20" s="28" t="n">
        <x:v>1990</x:v>
      </x:c>
      <x:c r="E20" s="28" t="str">
        <x:v>Journal of abnormal child psychology</x:v>
      </x:c>
      <x:c r="F20" s="28" t="str">
        <x:v>Primary/contextual journal article</x:v>
      </x:c>
      <x:c r="G20" s="28" t="str">
        <x:v>Development &amp; presentation; Family &amp; education; Social &amp; structural; Treatment &amp; support; Life outcomes &amp; lived experience</x:v>
      </x:c>
      <x:c r="H20" s="28" t="str">
        <x:v>Childhood; Adolescence</x:v>
      </x:c>
      <x:c r="I20" s="28" t="str">
        <x:v>not reported/not verified</x:v>
      </x:c>
      <x:c r="J20" s="28" t="str">
        <x:v>not reported</x:v>
      </x:c>
      <x:c r="K20" s="28" t="str">
        <x:v>The intellectual, academic, and adaptive strengths and weaknesses of 30, medication-free children (M = 10.5 years) with Tourette syndrome (TS) were assessed with a battery of standardized psychoeducational measures and the Vineland Adaptive Behavior Scales.</x:v>
      </x:c>
      <x:c r="L20" s="28" t="str">
        <x:v>10.1007/BF01342750</x:v>
      </x:c>
      <x:c r="M20" s="28" t="str">
        <x:v>2074343</x:v>
      </x:c>
      <x:c r="N20" s="31" t="e">
        <x:f>HYPERLINK("https://pubmed.ncbi.nlm.nih.gov/"&amp;M20&amp;"/","Open PubMed")</x:f>
        <x:v>HYPERLINK is not implemented. linkLocation=https://pubmed.ncbi.nlm.nih.gov/2074343/, friendlyName=Open PubMed</x:v>
      </x:c>
      <x:c r="O20" s="31" t="str">
        <x:v>not reported</x:v>
      </x:c>
      <x:c r="P20" s="28" t="str">
        <x:v>abstract only</x:v>
      </x:c>
      <x:c r="Q20" s="28" t="str">
        <x:v>PubMed/MEDLINE export supplied by user | query: "Attention Deficit Disorder with Hyperactivity"[MeSH Terms] AND 1990[Publication Date]</x:v>
      </x:c>
      <x:c r="R20" s="28" t="str">
        <x:v>Batch 1 core</x:v>
      </x:c>
      <x:c r="S20" s="28" t="str">
        <x:v>Direct historical-period ADHD/hyperkinesis/minimal-brain-dysfunction focus with human relevance.</x:v>
      </x:c>
      <x:c r="T20" s="28" t="str">
        <x:v>not apparent from accessed abstract/metadata</x:v>
      </x:c>
      <x:c r="U20" s="28" t="str">
        <x:v>none identified in MEDLINE record</x:v>
      </x:c>
      <x:c r="V20" s="26" t="str">
        <x:v>not reported</x:v>
      </x:c>
      <x:c r="W20" s="28" t="str">
        <x:v>No PMC copy identified; publisher PDF/access must be checked</x:v>
      </x:c>
      <x:c r="X20" s="28" t="str">
        <x:v>Not verified</x:v>
      </x:c>
      <x:c r="Y20" s="31" t="str">
        <x:f>IF(V20="not reported","not reported",HYPERLINK("https://pmc.ncbi.nlm.nih.gov/articles/"&amp;V20&amp;"/","Open Full Text"))</x:f>
        <x:v>not reported</x:v>
      </x:c>
      <x:c r="Z20" s="31" t="e">
        <x:f>IF(L20="not reported","not reported",HYPERLINK("https://doi.org/"&amp;L20,"Open Publisher"))</x:f>
        <x:v>HYPERLINK is not implemented. linkLocation=https://doi.org/10.1007/BF01342750, friendlyName=Open Publisher</x:v>
      </x:c>
      <x:c r="AA20" s="28" t="str">
        <x:v>DOI present in PubMed/MEDLINE; no PMCID present.</x:v>
      </x:c>
      <x:c r="AB20" s="28" t="str">
        <x:v>Open the DOI/publisher page. If PDF is paywalled, try Stony Brook Library access, Article Galaxy, or interlibrary loan.</x:v>
      </x:c>
      <x:c r="AC20" s="26" t="str">
        <x:v>2026-09-20</x:v>
      </x:c>
    </x:row>
    <x:row r="21">
      <x:c r="A21" s="26" t="str">
        <x:v>PUBMED-2258453</x:v>
      </x:c>
      <x:c r="B21" s="28" t="str">
        <x:v>Possible influence of carbamazepine on plasma imipramine concentrations in children with attention deficit hyperactivity disorder.</x:v>
      </x:c>
      <x:c r="C21" s="28" t="str">
        <x:v>Brown, C S; Wells, B G; Cold, J A; Froemming, J H; Self, T H; Jabbour, J T</x:v>
      </x:c>
      <x:c r="D21" s="28" t="n">
        <x:v>1990</x:v>
      </x:c>
      <x:c r="E21" s="28" t="str">
        <x:v>Journal of clinical psychopharmacology</x:v>
      </x:c>
      <x:c r="F21" s="28" t="str">
        <x:v>Primary study - clinical trial</x:v>
      </x:c>
      <x:c r="G21" s="28" t="str">
        <x:v>Development &amp; presentation; Family &amp; education; Social &amp; structural; Treatment &amp; support</x:v>
      </x:c>
      <x:c r="H21" s="28" t="str">
        <x:v>Childhood; Adolescence</x:v>
      </x:c>
      <x:c r="I21" s="28" t="str">
        <x:v>not reported/not verified</x:v>
      </x:c>
      <x:c r="J21" s="28" t="str">
        <x:v>not reported</x:v>
      </x:c>
      <x:c r="K21" s="28" t="str">
        <x:v>The effect of carbamazepine on the plasma concentration of imipramine and its metabolite desipramine was examined retrospectively in 36 sex- and age-matched children with attention deficit hyperactivity disorder.</x:v>
      </x:c>
      <x:c r="L21" s="28" t="str">
        <x:v>not reported</x:v>
      </x:c>
      <x:c r="M21" s="28" t="str">
        <x:v>2258453</x:v>
      </x:c>
      <x:c r="N21" s="31" t="e">
        <x:f>HYPERLINK("https://pubmed.ncbi.nlm.nih.gov/"&amp;M21&amp;"/","Open PubMed")</x:f>
        <x:v>HYPERLINK is not implemented. linkLocation=https://pubmed.ncbi.nlm.nih.gov/2258453/, friendlyName=Open PubMed</x:v>
      </x:c>
      <x:c r="O21" s="31" t="str">
        <x:v>not reported</x:v>
      </x:c>
      <x:c r="P21" s="28" t="str">
        <x:v>abstract only</x:v>
      </x:c>
      <x:c r="Q21" s="28" t="str">
        <x:v>PubMed/MEDLINE export supplied by user | query: "Attention Deficit Disorder with Hyperactivity"[MeSH Terms] AND 1990[Publication Date]</x:v>
      </x:c>
      <x:c r="R21" s="28" t="str">
        <x:v>Batch 1 core</x:v>
      </x:c>
      <x:c r="S21" s="28" t="str">
        <x:v>Direct historical-period ADHD/hyperkinesis/minimal-brain-dysfunction focus with human relevance.</x:v>
      </x:c>
      <x:c r="T21" s="28" t="str">
        <x:v>not apparent from accessed abstract/metadata</x:v>
      </x:c>
      <x:c r="U21" s="28" t="str">
        <x:v>none identified in MEDLINE record</x:v>
      </x:c>
      <x:c r="V21" s="26" t="str">
        <x:v>not reported</x:v>
      </x:c>
      <x:c r="W21" s="28" t="str">
        <x:v>No direct PDF/full-text identifier found in PubMed metadata</x:v>
      </x:c>
      <x:c r="X21" s="28" t="str">
        <x:v>Not verified</x:v>
      </x:c>
      <x:c r="Y21" s="31" t="str">
        <x:f>IF(V21="not reported","not reported",HYPERLINK("https://pmc.ncbi.nlm.nih.gov/articles/"&amp;V21&amp;"/","Open Full Text"))</x:f>
        <x:v>not reported</x:v>
      </x:c>
      <x:c r="Z21" s="31" t="str">
        <x:f>IF(L21="not reported","not reported",HYPERLINK("https://doi.org/"&amp;L21,"Open Publisher"))</x:f>
        <x:v>not reported</x:v>
      </x:c>
      <x:c r="AA21" s="28" t="str">
        <x:v>No PMCID or DOI present in the supplied PubMed/MEDLINE record.</x:v>
      </x:c>
      <x:c r="AB21" s="28" t="str">
        <x:v>Search the exact title/PMID in Stony Brook Library; if unavailable, request via interlibrary loan/document delivery.</x:v>
      </x:c>
      <x:c r="AC21" s="26" t="str">
        <x:v>2026-09-20</x:v>
      </x:c>
    </x:row>
    <x:row r="22">
      <x:c r="A22" s="26" t="str">
        <x:v>PUBMED-2365764</x:v>
      </x:c>
      <x:c r="B22" s="28" t="str">
        <x:v>Family factors associated with aggressive symptomatology in boys with attention deficit hyperactivity disorder: a research note.</x:v>
      </x:c>
      <x:c r="C22" s="28" t="str">
        <x:v>Marshall, V G; Longwell, L; Goldstein, M J; Swanson, J M</x:v>
      </x:c>
      <x:c r="D22" s="28" t="n">
        <x:v>1990</x:v>
      </x:c>
      <x:c r="E22" s="28" t="str">
        <x:v>Journal of child psychology and psychiatry, and allied disciplines</x:v>
      </x:c>
      <x:c r="F22" s="28" t="str">
        <x:v>Primary/contextual journal article</x:v>
      </x:c>
      <x:c r="G22" s="28" t="str">
        <x:v>Development &amp; presentation; Family &amp; education; Social &amp; structural; Environmental &amp; lifestyle; Historical &amp; contemporary context</x:v>
      </x:c>
      <x:c r="H22" s="28" t="str">
        <x:v>Childhood; Adolescence</x:v>
      </x:c>
      <x:c r="I22" s="28" t="str">
        <x:v>not reported/not verified</x:v>
      </x:c>
      <x:c r="J22" s="28" t="str">
        <x:v>not reported</x:v>
      </x:c>
      <x:c r="K22" s="28" t="str">
        <x:v>This study tested whether parent and child affective attitudes and interactional behavior co-varied with the presence or absence of associated aggressive symptomatology in families with an attention deficit hyperactivity disorder (ADHD) child.</x:v>
      </x:c>
      <x:c r="L22" s="28" t="str">
        <x:v>10.1111/j.1469-7610.1990.tb00802.x</x:v>
      </x:c>
      <x:c r="M22" s="28" t="str">
        <x:v>2365764</x:v>
      </x:c>
      <x:c r="N22" s="31" t="e">
        <x:f>HYPERLINK("https://pubmed.ncbi.nlm.nih.gov/"&amp;M22&amp;"/","Open PubMed")</x:f>
        <x:v>HYPERLINK is not implemented. linkLocation=https://pubmed.ncbi.nlm.nih.gov/2365764/, friendlyName=Open PubMed</x:v>
      </x:c>
      <x:c r="O22" s="31" t="str">
        <x:v>not reported</x:v>
      </x:c>
      <x:c r="P22" s="28" t="str">
        <x:v>abstract only</x:v>
      </x:c>
      <x:c r="Q22" s="28" t="str">
        <x:v>PubMed/MEDLINE export supplied by user | query: "Attention Deficit Disorder with Hyperactivity"[MeSH Terms] AND 1990[Publication Date]</x:v>
      </x:c>
      <x:c r="R22" s="28" t="str">
        <x:v>Batch 1 core</x:v>
      </x:c>
      <x:c r="S22" s="28" t="str">
        <x:v>Direct historical-period ADHD/hyperkinesis/minimal-brain-dysfunction focus with human relevance.</x:v>
      </x:c>
      <x:c r="T22" s="28" t="str">
        <x:v>not apparent from accessed abstract/metadata</x:v>
      </x:c>
      <x:c r="U22" s="28" t="str">
        <x:v>none identified in MEDLINE record</x:v>
      </x:c>
      <x:c r="V22" s="26" t="str">
        <x:v>not reported</x:v>
      </x:c>
      <x:c r="W22" s="28" t="str">
        <x:v>No PMC copy identified; publisher PDF/access must be checked</x:v>
      </x:c>
      <x:c r="X22" s="28" t="str">
        <x:v>Not verified</x:v>
      </x:c>
      <x:c r="Y22" s="31" t="str">
        <x:f>IF(V22="not reported","not reported",HYPERLINK("https://pmc.ncbi.nlm.nih.gov/articles/"&amp;V22&amp;"/","Open Full Text"))</x:f>
        <x:v>not reported</x:v>
      </x:c>
      <x:c r="Z22" s="31" t="e">
        <x:f>IF(L22="not reported","not reported",HYPERLINK("https://doi.org/"&amp;L22,"Open Publisher"))</x:f>
        <x:v>HYPERLINK is not implemented. linkLocation=https://doi.org/10.1111/j.1469-7610.1990.tb00802.x, friendlyName=Open Publisher</x:v>
      </x:c>
      <x:c r="AA22" s="28" t="str">
        <x:v>DOI present in PubMed/MEDLINE; no PMCID present.</x:v>
      </x:c>
      <x:c r="AB22" s="28" t="str">
        <x:v>Open the DOI/publisher page. If PDF is paywalled, try Stony Brook Library access, Article Galaxy, or interlibrary loan.</x:v>
      </x:c>
      <x:c r="AC22" s="26" t="str">
        <x:v>2026-09-20</x:v>
      </x:c>
    </x:row>
    <x:row r="23">
      <x:c r="A23" s="26" t="str">
        <x:v>PUBMED-1979565</x:v>
      </x:c>
      <x:c r="B23" s="28" t="str">
        <x:v>Stimulants for ADHD in child patients with Tourette's syndrome: the issue of relative risk.</x:v>
      </x:c>
      <x:c r="C23" s="28" t="str">
        <x:v>Gadow, K D; Sverd, J</x:v>
      </x:c>
      <x:c r="D23" s="28" t="n">
        <x:v>1990</x:v>
      </x:c>
      <x:c r="E23" s="28" t="str">
        <x:v>Journal of developmental and behavioral pediatrics : JDBP</x:v>
      </x:c>
      <x:c r="F23" s="28" t="str">
        <x:v>Evidence synthesis - review</x:v>
      </x:c>
      <x:c r="G23" s="28" t="str">
        <x:v>Development &amp; presentation; Treatment &amp; support</x:v>
      </x:c>
      <x:c r="H23" s="28" t="str">
        <x:v>Childhood</x:v>
      </x:c>
      <x:c r="I23" s="28" t="str">
        <x:v>not reported/not verified</x:v>
      </x:c>
      <x:c r="J23" s="28" t="str">
        <x:v>not reported</x:v>
      </x:c>
      <x:c r="K23" s="28" t="str">
        <x:v>Metadata-only record on: Stimulants for ADHD in child patients with Tourette's syndrome: the issue of relative risk.</x:v>
      </x:c>
      <x:c r="L23" s="28" t="str">
        <x:v>not reported</x:v>
      </x:c>
      <x:c r="M23" s="28" t="str">
        <x:v>1979565</x:v>
      </x:c>
      <x:c r="N23" s="31" t="e">
        <x:f>HYPERLINK("https://pubmed.ncbi.nlm.nih.gov/"&amp;M23&amp;"/","Open PubMed")</x:f>
        <x:v>HYPERLINK is not implemented. linkLocation=https://pubmed.ncbi.nlm.nih.gov/1979565/, friendlyName=Open PubMed</x:v>
      </x:c>
      <x:c r="O23" s="31" t="str">
        <x:v>not reported</x:v>
      </x:c>
      <x:c r="P23" s="28" t="str">
        <x:v>metadata only</x:v>
      </x:c>
      <x:c r="Q23" s="28" t="str">
        <x:v>PubMed/MEDLINE export supplied by user | query: "Attention Deficit Disorder with Hyperactivity"[MeSH Terms] AND 1990[Publication Date]</x:v>
      </x:c>
      <x:c r="R23" s="28" t="str">
        <x:v>Batch 1 core</x:v>
      </x:c>
      <x:c r="S23" s="28" t="str">
        <x:v>Direct historical-period ADHD/hyperkinesis/minimal-brain-dysfunction focus with human relevance.</x:v>
      </x:c>
      <x:c r="T23" s="28" t="str">
        <x:v>not apparent from accessed abstract/metadata</x:v>
      </x:c>
      <x:c r="U23" s="28" t="str">
        <x:v>none identified in MEDLINE record</x:v>
      </x:c>
      <x:c r="V23" s="26" t="str">
        <x:v>not reported</x:v>
      </x:c>
      <x:c r="W23" s="28" t="str">
        <x:v>No direct PDF/full-text identifier found in PubMed metadata</x:v>
      </x:c>
      <x:c r="X23" s="28" t="str">
        <x:v>Not verified</x:v>
      </x:c>
      <x:c r="Y23" s="31" t="str">
        <x:f>IF(V23="not reported","not reported",HYPERLINK("https://pmc.ncbi.nlm.nih.gov/articles/"&amp;V23&amp;"/","Open Full Text"))</x:f>
        <x:v>not reported</x:v>
      </x:c>
      <x:c r="Z23" s="31" t="str">
        <x:f>IF(L23="not reported","not reported",HYPERLINK("https://doi.org/"&amp;L23,"Open Publisher"))</x:f>
        <x:v>not reported</x:v>
      </x:c>
      <x:c r="AA23" s="28" t="str">
        <x:v>No PMCID or DOI present in the supplied PubMed/MEDLINE record.</x:v>
      </x:c>
      <x:c r="AB23" s="28" t="str">
        <x:v>Search the exact title/PMID in Stony Brook Library; if unavailable, request via interlibrary loan/document delivery.</x:v>
      </x:c>
      <x:c r="AC23" s="26" t="str">
        <x:v>2026-09-20</x:v>
      </x:c>
    </x:row>
    <x:row r="24">
      <x:c r="A24" s="26" t="str">
        <x:v>PUBMED-2228922</x:v>
      </x:c>
      <x:c r="B24" s="28" t="str">
        <x:v>Clinical effects of a controlled trial of methylphenidate on adolescents with attention deficit disorder.</x:v>
      </x:c>
      <x:c r="C24" s="28" t="str">
        <x:v>Klorman, R; Brumaghim, J T; Fitzpatrick, P A; Borgstedt, A D</x:v>
      </x:c>
      <x:c r="D24" s="28" t="n">
        <x:v>1990</x:v>
      </x:c>
      <x:c r="E24" s="28" t="str">
        <x:v>Journal of the American Academy of Child and Adolescent Psychiatry</x:v>
      </x:c>
      <x:c r="F24" s="28" t="str">
        <x:v>Primary study - clinical trial</x:v>
      </x:c>
      <x:c r="G24" s="28" t="str">
        <x:v>Development &amp; presentation; Recognition &amp; diagnosis; Family &amp; education; Social &amp; structural; Treatment &amp; support</x:v>
      </x:c>
      <x:c r="H24" s="28" t="str">
        <x:v>Adolescence; 12 to 18 years old</x:v>
      </x:c>
      <x:c r="I24" s="28" t="str">
        <x:v>not reported/not verified</x:v>
      </x:c>
      <x:c r="J24" s="28" t="str">
        <x:v>not reported</x:v>
      </x:c>
      <x:c r="K24" s="28" t="str">
        <x:v>Forty-eight attention deficit disorder patients, 12 to 18 years old and without previous stimulant therapy, received a double-blind trial of methylphenidate and placebo for 3 weeks each.</x:v>
      </x:c>
      <x:c r="L24" s="28" t="str">
        <x:v>10.1097/00004583-199009000-00005</x:v>
      </x:c>
      <x:c r="M24" s="28" t="str">
        <x:v>2228922</x:v>
      </x:c>
      <x:c r="N24" s="31" t="e">
        <x:f>HYPERLINK("https://pubmed.ncbi.nlm.nih.gov/"&amp;M24&amp;"/","Open PubMed")</x:f>
        <x:v>HYPERLINK is not implemented. linkLocation=https://pubmed.ncbi.nlm.nih.gov/2228922/, friendlyName=Open PubMed</x:v>
      </x:c>
      <x:c r="O24" s="31" t="str">
        <x:v>not reported</x:v>
      </x:c>
      <x:c r="P24" s="28" t="str">
        <x:v>abstract only</x:v>
      </x:c>
      <x:c r="Q24" s="28" t="str">
        <x:v>PubMed/MEDLINE export supplied by user | query: "Attention Deficit Disorder with Hyperactivity"[MeSH Terms] AND 1990[Publication Date]</x:v>
      </x:c>
      <x:c r="R24" s="28" t="str">
        <x:v>Batch 1 core</x:v>
      </x:c>
      <x:c r="S24" s="28" t="str">
        <x:v>Direct historical-period ADHD/hyperkinesis/minimal-brain-dysfunction focus with human relevance.</x:v>
      </x:c>
      <x:c r="T24" s="28" t="str">
        <x:v>not apparent from accessed abstract/metadata</x:v>
      </x:c>
      <x:c r="U24" s="28" t="str">
        <x:v>none identified in MEDLINE record</x:v>
      </x:c>
      <x:c r="V24" s="26" t="str">
        <x:v>not reported</x:v>
      </x:c>
      <x:c r="W24" s="28" t="str">
        <x:v>No PMC copy identified; publisher PDF/access must be checked</x:v>
      </x:c>
      <x:c r="X24" s="28" t="str">
        <x:v>Not verified</x:v>
      </x:c>
      <x:c r="Y24" s="31" t="str">
        <x:f>IF(V24="not reported","not reported",HYPERLINK("https://pmc.ncbi.nlm.nih.gov/articles/"&amp;V24&amp;"/","Open Full Text"))</x:f>
        <x:v>not reported</x:v>
      </x:c>
      <x:c r="Z24" s="31" t="e">
        <x:f>IF(L24="not reported","not reported",HYPERLINK("https://doi.org/"&amp;L24,"Open Publisher"))</x:f>
        <x:v>HYPERLINK is not implemented. linkLocation=https://doi.org/10.1097/00004583-199009000-00005, friendlyName=Open Publisher</x:v>
      </x:c>
      <x:c r="AA24" s="28" t="str">
        <x:v>DOI present in PubMed/MEDLINE; no PMCID present.</x:v>
      </x:c>
      <x:c r="AB24" s="28" t="str">
        <x:v>Open the DOI/publisher page. If PDF is paywalled, try Stony Brook Library access, Article Galaxy, or interlibrary loan.</x:v>
      </x:c>
      <x:c r="AC24" s="26" t="str">
        <x:v>2026-09-20</x:v>
      </x:c>
    </x:row>
    <x:row r="25">
      <x:c r="A25" s="26" t="str">
        <x:v>PUBMED-2235277</x:v>
      </x:c>
      <x:c r="B25" s="28" t="str">
        <x:v>The diagnostic value of cerebellar-vestibular tests in detecting learning disabilities, dyslexia, and attention deficit disorder.</x:v>
      </x:c>
      <x:c r="C25" s="28" t="str">
        <x:v>Levinson, H N</x:v>
      </x:c>
      <x:c r="D25" s="28" t="n">
        <x:v>1990</x:v>
      </x:c>
      <x:c r="E25" s="28" t="str">
        <x:v>Perceptual and motor skills</x:v>
      </x:c>
      <x:c r="F25" s="28" t="str">
        <x:v>Primary/contextual journal article</x:v>
      </x:c>
      <x:c r="G25" s="28" t="str">
        <x:v>Development &amp; presentation; Recognition &amp; diagnosis; Family &amp; education; Life outcomes &amp; lived experience</x:v>
      </x:c>
      <x:c r="H25" s="28" t="str">
        <x:v>Adolescence</x:v>
      </x:c>
      <x:c r="I25" s="28" t="str">
        <x:v>not reported/not verified</x:v>
      </x:c>
      <x:c r="J25" s="28" t="str">
        <x:v>not reported</x:v>
      </x:c>
      <x:c r="K25" s="28" t="str">
        <x:v>Neurological and optokinetic measures of cerebellar-vestibular (CV) dysfunctioning were shown to be of significant diagnostic value in differentiating between learning disabled subjects and controls matched for chronological age, sex, handedness, IQ, and background (ns = 35).</x:v>
      </x:c>
      <x:c r="L25" s="28" t="str">
        <x:v>10.2466/pms.1990.71.1.67</x:v>
      </x:c>
      <x:c r="M25" s="28" t="str">
        <x:v>2235277</x:v>
      </x:c>
      <x:c r="N25" s="31" t="e">
        <x:f>HYPERLINK("https://pubmed.ncbi.nlm.nih.gov/"&amp;M25&amp;"/","Open PubMed")</x:f>
        <x:v>HYPERLINK is not implemented. linkLocation=https://pubmed.ncbi.nlm.nih.gov/2235277/, friendlyName=Open PubMed</x:v>
      </x:c>
      <x:c r="O25" s="31" t="str">
        <x:v>not reported</x:v>
      </x:c>
      <x:c r="P25" s="28" t="str">
        <x:v>abstract only</x:v>
      </x:c>
      <x:c r="Q25" s="28" t="str">
        <x:v>PubMed/MEDLINE export supplied by user | query: "Attention Deficit Disorder with Hyperactivity"[MeSH Terms] AND 1990[Publication Date]</x:v>
      </x:c>
      <x:c r="R25" s="28" t="str">
        <x:v>Batch 1 core</x:v>
      </x:c>
      <x:c r="S25" s="28" t="str">
        <x:v>Direct historical-period ADHD/hyperkinesis/minimal-brain-dysfunction focus with human relevance.</x:v>
      </x:c>
      <x:c r="T25" s="28" t="str">
        <x:v>not apparent from accessed abstract/metadata</x:v>
      </x:c>
      <x:c r="U25" s="28" t="str">
        <x:v>none identified in MEDLINE record</x:v>
      </x:c>
      <x:c r="V25" s="26" t="str">
        <x:v>not reported</x:v>
      </x:c>
      <x:c r="W25" s="28" t="str">
        <x:v>No PMC copy identified; publisher PDF/access must be checked</x:v>
      </x:c>
      <x:c r="X25" s="28" t="str">
        <x:v>Not verified</x:v>
      </x:c>
      <x:c r="Y25" s="31" t="str">
        <x:f>IF(V25="not reported","not reported",HYPERLINK("https://pmc.ncbi.nlm.nih.gov/articles/"&amp;V25&amp;"/","Open Full Text"))</x:f>
        <x:v>not reported</x:v>
      </x:c>
      <x:c r="Z25" s="31" t="e">
        <x:f>IF(L25="not reported","not reported",HYPERLINK("https://doi.org/"&amp;L25,"Open Publisher"))</x:f>
        <x:v>HYPERLINK is not implemented. linkLocation=https://doi.org/10.2466/pms.1990.71.1.67, friendlyName=Open Publisher</x:v>
      </x:c>
      <x:c r="AA25" s="28" t="str">
        <x:v>DOI present in PubMed/MEDLINE; no PMCID present.</x:v>
      </x:c>
      <x:c r="AB25" s="28" t="str">
        <x:v>Open the DOI/publisher page. If PDF is paywalled, try Stony Brook Library access, Article Galaxy, or interlibrary loan.</x:v>
      </x:c>
      <x:c r="AC25" s="26" t="str">
        <x:v>2026-09-20</x:v>
      </x:c>
    </x:row>
    <x:row r="26">
      <x:c r="A26" s="26" t="str">
        <x:v>PUBMED-2266220</x:v>
      </x:c>
      <x:c r="B26" s="28" t="str">
        <x:v>The frequency and significance of additional self-reported psychiatric diagnoses in children with attention deficit disorder.</x:v>
      </x:c>
      <x:c r="C26" s="28" t="str">
        <x:v>Livingston, R L; Dykman, R A; Ackerman, P T</x:v>
      </x:c>
      <x:c r="D26" s="28" t="n">
        <x:v>1990</x:v>
      </x:c>
      <x:c r="E26" s="28" t="str">
        <x:v>Journal of abnormal child psychology</x:v>
      </x:c>
      <x:c r="F26" s="28" t="str">
        <x:v>Primary/contextual journal article</x:v>
      </x:c>
      <x:c r="G26" s="28" t="str">
        <x:v>Development &amp; presentation; Recognition &amp; diagnosis; Family &amp; education; Social &amp; structural; Treatment &amp; support</x:v>
      </x:c>
      <x:c r="H26" s="28" t="str">
        <x:v>Childhood; Adolescence</x:v>
      </x:c>
      <x:c r="I26" s="28" t="str">
        <x:v>not reported/not verified</x:v>
      </x:c>
      <x:c r="J26" s="28" t="str">
        <x:v>not reported</x:v>
      </x:c>
      <x:c r="K26" s="28" t="str">
        <x:v>The frequency of additional self-reported diagnoses in a large, heterogeneous sample of attention deficit disorder (ADD) children (N = 182) was determined using the Diagnostic Interview for Children and Adolescents (DICA).</x:v>
      </x:c>
      <x:c r="L26" s="28" t="str">
        <x:v>10.1007/BF00911102</x:v>
      </x:c>
      <x:c r="M26" s="28" t="str">
        <x:v>2266220</x:v>
      </x:c>
      <x:c r="N26" s="31" t="e">
        <x:f>HYPERLINK("https://pubmed.ncbi.nlm.nih.gov/"&amp;M26&amp;"/","Open PubMed")</x:f>
        <x:v>HYPERLINK is not implemented. linkLocation=https://pubmed.ncbi.nlm.nih.gov/2266220/, friendlyName=Open PubMed</x:v>
      </x:c>
      <x:c r="O26" s="31" t="str">
        <x:v>not reported</x:v>
      </x:c>
      <x:c r="P26" s="28" t="str">
        <x:v>abstract only</x:v>
      </x:c>
      <x:c r="Q26" s="28" t="str">
        <x:v>PubMed/MEDLINE export supplied by user | query: "Attention Deficit Disorder with Hyperactivity"[MeSH Terms] AND 1990[Publication Date]</x:v>
      </x:c>
      <x:c r="R26" s="28" t="str">
        <x:v>Batch 1 core</x:v>
      </x:c>
      <x:c r="S26" s="28" t="str">
        <x:v>Direct historical-period ADHD/hyperkinesis/minimal-brain-dysfunction focus with human relevance.</x:v>
      </x:c>
      <x:c r="T26" s="28" t="str">
        <x:v>not apparent from accessed abstract/metadata</x:v>
      </x:c>
      <x:c r="U26" s="28" t="str">
        <x:v>none identified in MEDLINE record</x:v>
      </x:c>
      <x:c r="V26" s="26" t="str">
        <x:v>not reported</x:v>
      </x:c>
      <x:c r="W26" s="28" t="str">
        <x:v>No PMC copy identified; publisher PDF/access must be checked</x:v>
      </x:c>
      <x:c r="X26" s="28" t="str">
        <x:v>Not verified</x:v>
      </x:c>
      <x:c r="Y26" s="31" t="str">
        <x:f>IF(V26="not reported","not reported",HYPERLINK("https://pmc.ncbi.nlm.nih.gov/articles/"&amp;V26&amp;"/","Open Full Text"))</x:f>
        <x:v>not reported</x:v>
      </x:c>
      <x:c r="Z26" s="31" t="e">
        <x:f>IF(L26="not reported","not reported",HYPERLINK("https://doi.org/"&amp;L26,"Open Publisher"))</x:f>
        <x:v>HYPERLINK is not implemented. linkLocation=https://doi.org/10.1007/BF00911102, friendlyName=Open Publisher</x:v>
      </x:c>
      <x:c r="AA26" s="28" t="str">
        <x:v>DOI present in PubMed/MEDLINE; no PMCID present.</x:v>
      </x:c>
      <x:c r="AB26" s="28" t="str">
        <x:v>Open the DOI/publisher page. If PDF is paywalled, try Stony Brook Library access, Article Galaxy, or interlibrary loan.</x:v>
      </x:c>
      <x:c r="AC26" s="26" t="str">
        <x:v>2026-09-20</x:v>
      </x:c>
    </x:row>
    <x:row r="27">
      <x:c r="A27" s="26" t="str">
        <x:v>PUBMED-2387786</x:v>
      </x:c>
      <x:c r="B27" s="28" t="str">
        <x:v>Family-genetic and psychosocial risk factors in DSM-III attention deficit disorder.</x:v>
      </x:c>
      <x:c r="C27" s="28" t="str">
        <x:v>Biederman, J; Faraone, S V; Keenan, K; Knee, D; Tsuang, M T</x:v>
      </x:c>
      <x:c r="D27" s="28" t="n">
        <x:v>1990</x:v>
      </x:c>
      <x:c r="E27" s="28" t="str">
        <x:v>Journal of the American Academy of Child and Adolescent Psychiatry</x:v>
      </x:c>
      <x:c r="F27" s="28" t="str">
        <x:v>Primary/contextual journal article</x:v>
      </x:c>
      <x:c r="G27" s="28" t="str">
        <x:v>Development &amp; presentation; Recognition &amp; diagnosis; Family &amp; education; Social &amp; structural; Environmental &amp; lifestyle</x:v>
      </x:c>
      <x:c r="H27" s="28" t="str">
        <x:v>Childhood; Adolescence</x:v>
      </x:c>
      <x:c r="I27" s="28" t="str">
        <x:v>not reported/not verified</x:v>
      </x:c>
      <x:c r="J27" s="28" t="str">
        <x:v>not reported</x:v>
      </x:c>
      <x:c r="K27" s="28" t="str">
        <x:v>Using family study methodology and assessments made by blind raters, this study evaluated family-genetic and psychosocial risk factors for DSM-III attention deficit disorder (ADD) among the 457 first-degree relatives of clinically referred children and adolescents with ADD (N = 73), compared with psychiatric (N = 26) and normal controls (N = 26).</x:v>
      </x:c>
      <x:c r="L27" s="28" t="str">
        <x:v>10.1097/00004583-199007000-00004</x:v>
      </x:c>
      <x:c r="M27" s="28" t="str">
        <x:v>2387786</x:v>
      </x:c>
      <x:c r="N27" s="31" t="e">
        <x:f>HYPERLINK("https://pubmed.ncbi.nlm.nih.gov/"&amp;M27&amp;"/","Open PubMed")</x:f>
        <x:v>HYPERLINK is not implemented. linkLocation=https://pubmed.ncbi.nlm.nih.gov/2387786/, friendlyName=Open PubMed</x:v>
      </x:c>
      <x:c r="O27" s="31" t="str">
        <x:v>not reported</x:v>
      </x:c>
      <x:c r="P27" s="28" t="str">
        <x:v>abstract only</x:v>
      </x:c>
      <x:c r="Q27" s="28" t="str">
        <x:v>PubMed/MEDLINE export supplied by user | query: "Attention Deficit Disorder with Hyperactivity"[MeSH Terms] AND 1990[Publication Date]</x:v>
      </x:c>
      <x:c r="R27" s="28" t="str">
        <x:v>Batch 1 core</x:v>
      </x:c>
      <x:c r="S27" s="28" t="str">
        <x:v>Direct historical-period ADHD/hyperkinesis/minimal-brain-dysfunction focus with human relevance.</x:v>
      </x:c>
      <x:c r="T27" s="28" t="str">
        <x:v>not apparent from accessed abstract/metadata</x:v>
      </x:c>
      <x:c r="U27" s="28" t="str">
        <x:v>none identified in MEDLINE record</x:v>
      </x:c>
      <x:c r="V27" s="26" t="str">
        <x:v>not reported</x:v>
      </x:c>
      <x:c r="W27" s="28" t="str">
        <x:v>No PMC copy identified; publisher PDF/access must be checked</x:v>
      </x:c>
      <x:c r="X27" s="28" t="str">
        <x:v>Not verified</x:v>
      </x:c>
      <x:c r="Y27" s="31" t="str">
        <x:f>IF(V27="not reported","not reported",HYPERLINK("https://pmc.ncbi.nlm.nih.gov/articles/"&amp;V27&amp;"/","Open Full Text"))</x:f>
        <x:v>not reported</x:v>
      </x:c>
      <x:c r="Z27" s="31" t="e">
        <x:f>IF(L27="not reported","not reported",HYPERLINK("https://doi.org/"&amp;L27,"Open Publisher"))</x:f>
        <x:v>HYPERLINK is not implemented. linkLocation=https://doi.org/10.1097/00004583-199007000-00004, friendlyName=Open Publisher</x:v>
      </x:c>
      <x:c r="AA27" s="28" t="str">
        <x:v>DOI present in PubMed/MEDLINE; no PMCID present.</x:v>
      </x:c>
      <x:c r="AB27" s="28" t="str">
        <x:v>Open the DOI/publisher page. If PDF is paywalled, try Stony Brook Library access, Article Galaxy, or interlibrary loan.</x:v>
      </x:c>
      <x:c r="AC27" s="26" t="str">
        <x:v>2026-09-20</x:v>
      </x:c>
    </x:row>
    <x:row r="28">
      <x:c r="A28" s="26" t="str">
        <x:v>PUBMED-2326123</x:v>
      </x:c>
      <x:c r="B28" s="28" t="str">
        <x:v>Attention of hyperactive preschool children--electrodermal activity during auditory stimulation.</x:v>
      </x:c>
      <x:c r="C28" s="28" t="str">
        <x:v>Shibagaki, M; Yamanaka, T</x:v>
      </x:c>
      <x:c r="D28" s="28" t="n">
        <x:v>1990</x:v>
      </x:c>
      <x:c r="E28" s="28" t="str">
        <x:v>Perceptual and motor skills</x:v>
      </x:c>
      <x:c r="F28" s="28" t="str">
        <x:v>Primary/contextual journal article</x:v>
      </x:c>
      <x:c r="G28" s="28" t="str">
        <x:v>Development &amp; presentation; Family &amp; education</x:v>
      </x:c>
      <x:c r="H28" s="28" t="str">
        <x:v>Childhood</x:v>
      </x:c>
      <x:c r="I28" s="28" t="str">
        <x:v>not reported/not verified</x:v>
      </x:c>
      <x:c r="J28" s="28" t="str">
        <x:v>not reported</x:v>
      </x:c>
      <x:c r="K28" s="28" t="str">
        <x:v>Electrodermal activity during passive and active listening tasks for 4 hyperactive (from 3 yr., 9 mo. to 6 yr., 2 mo.) and 43 healthy preschool children (from 4 yr., 8 mo. to 6 yr., 5 mo.) was studied.</x:v>
      </x:c>
      <x:c r="L28" s="28" t="str">
        <x:v>10.2466/pms.1990.70.1.235</x:v>
      </x:c>
      <x:c r="M28" s="28" t="str">
        <x:v>2326123</x:v>
      </x:c>
      <x:c r="N28" s="31" t="e">
        <x:f>HYPERLINK("https://pubmed.ncbi.nlm.nih.gov/"&amp;M28&amp;"/","Open PubMed")</x:f>
        <x:v>HYPERLINK is not implemented. linkLocation=https://pubmed.ncbi.nlm.nih.gov/2326123/, friendlyName=Open PubMed</x:v>
      </x:c>
      <x:c r="O28" s="31" t="str">
        <x:v>not reported</x:v>
      </x:c>
      <x:c r="P28" s="28" t="str">
        <x:v>abstract only</x:v>
      </x:c>
      <x:c r="Q28" s="28" t="str">
        <x:v>PubMed/MEDLINE export supplied by user | query: "Attention Deficit Disorder with Hyperactivity"[MeSH Terms] AND 1990[Publication Date]</x:v>
      </x:c>
      <x:c r="R28" s="28" t="str">
        <x:v>Batch 1 core</x:v>
      </x:c>
      <x:c r="S28" s="28" t="str">
        <x:v>Direct historical-period ADHD/hyperkinesis/minimal-brain-dysfunction focus with human relevance.</x:v>
      </x:c>
      <x:c r="T28" s="28" t="str">
        <x:v>not apparent from accessed abstract/metadata</x:v>
      </x:c>
      <x:c r="U28" s="28" t="str">
        <x:v>none identified in MEDLINE record</x:v>
      </x:c>
      <x:c r="V28" s="26" t="str">
        <x:v>not reported</x:v>
      </x:c>
      <x:c r="W28" s="28" t="str">
        <x:v>No PMC copy identified; publisher PDF/access must be checked</x:v>
      </x:c>
      <x:c r="X28" s="28" t="str">
        <x:v>Not verified</x:v>
      </x:c>
      <x:c r="Y28" s="31" t="str">
        <x:f>IF(V28="not reported","not reported",HYPERLINK("https://pmc.ncbi.nlm.nih.gov/articles/"&amp;V28&amp;"/","Open Full Text"))</x:f>
        <x:v>not reported</x:v>
      </x:c>
      <x:c r="Z28" s="31" t="e">
        <x:f>IF(L28="not reported","not reported",HYPERLINK("https://doi.org/"&amp;L28,"Open Publisher"))</x:f>
        <x:v>HYPERLINK is not implemented. linkLocation=https://doi.org/10.2466/pms.1990.70.1.235, friendlyName=Open Publisher</x:v>
      </x:c>
      <x:c r="AA28" s="28" t="str">
        <x:v>DOI present in PubMed/MEDLINE; no PMCID present.</x:v>
      </x:c>
      <x:c r="AB28" s="28" t="str">
        <x:v>Open the DOI/publisher page. If PDF is paywalled, try Stony Brook Library access, Article Galaxy, or interlibrary loan.</x:v>
      </x:c>
      <x:c r="AC28" s="26" t="str">
        <x:v>2026-09-20</x:v>
      </x:c>
    </x:row>
    <x:row r="29">
      <x:c r="A29" s="26" t="str">
        <x:v>PUBMED-2228921</x:v>
      </x:c>
      <x:c r="B29" s="28" t="str">
        <x:v>Parent-based diagnosis of attention deficit disorder predicts a diagnosis based on teacher report.</x:v>
      </x:c>
      <x:c r="C29" s="28" t="str">
        <x:v>Biederman, J; Keenan, K; Faraone, S V</x:v>
      </x:c>
      <x:c r="D29" s="28" t="n">
        <x:v>1990</x:v>
      </x:c>
      <x:c r="E29" s="28" t="str">
        <x:v>Journal of the American Academy of Child and Adolescent Psychiatry</x:v>
      </x:c>
      <x:c r="F29" s="28" t="str">
        <x:v>Primary/contextual journal article</x:v>
      </x:c>
      <x:c r="G29" s="28" t="str">
        <x:v>Development &amp; presentation; Recognition &amp; diagnosis; Family &amp; education; Social &amp; structural; Environmental &amp; lifestyle</x:v>
      </x:c>
      <x:c r="H29" s="28" t="str">
        <x:v>Childhood; Adolescence</x:v>
      </x:c>
      <x:c r="I29" s="28" t="str">
        <x:v>not reported/not verified</x:v>
      </x:c>
      <x:c r="J29" s="28" t="str">
        <x:v>not reported</x:v>
      </x:c>
      <x:c r="K29" s="28" t="str">
        <x:v>The literature evaluating agreement between parent and teacher reports on symptoms of attention deficit disorder (ADD) has repeatedly shown only modest correlations between these two sources of information.</x:v>
      </x:c>
      <x:c r="L29" s="28" t="str">
        <x:v>10.1097/00004583-199009000-00004</x:v>
      </x:c>
      <x:c r="M29" s="28" t="str">
        <x:v>2228921</x:v>
      </x:c>
      <x:c r="N29" s="31" t="e">
        <x:f>HYPERLINK("https://pubmed.ncbi.nlm.nih.gov/"&amp;M29&amp;"/","Open PubMed")</x:f>
        <x:v>HYPERLINK is not implemented. linkLocation=https://pubmed.ncbi.nlm.nih.gov/2228921/, friendlyName=Open PubMed</x:v>
      </x:c>
      <x:c r="O29" s="31" t="str">
        <x:v>not reported</x:v>
      </x:c>
      <x:c r="P29" s="28" t="str">
        <x:v>abstract only</x:v>
      </x:c>
      <x:c r="Q29" s="28" t="str">
        <x:v>PubMed/MEDLINE export supplied by user | query: "Attention Deficit Disorder with Hyperactivity"[MeSH Terms] AND 1990[Publication Date]</x:v>
      </x:c>
      <x:c r="R29" s="28" t="str">
        <x:v>Batch 1 core</x:v>
      </x:c>
      <x:c r="S29" s="28" t="str">
        <x:v>Direct historical-period ADHD/hyperkinesis/minimal-brain-dysfunction focus with human relevance.</x:v>
      </x:c>
      <x:c r="T29" s="28" t="str">
        <x:v>not apparent from accessed abstract/metadata</x:v>
      </x:c>
      <x:c r="U29" s="28" t="str">
        <x:v>Correction/erratum noted: J Am Acad Child Adolesc Psychiatry 1991 Mar;30(2):337</x:v>
      </x:c>
      <x:c r="V29" s="26" t="str">
        <x:v>not reported</x:v>
      </x:c>
      <x:c r="W29" s="28" t="str">
        <x:v>No PMC copy identified; publisher PDF/access must be checked</x:v>
      </x:c>
      <x:c r="X29" s="28" t="str">
        <x:v>Not verified</x:v>
      </x:c>
      <x:c r="Y29" s="31" t="str">
        <x:f>IF(V29="not reported","not reported",HYPERLINK("https://pmc.ncbi.nlm.nih.gov/articles/"&amp;V29&amp;"/","Open Full Text"))</x:f>
        <x:v>not reported</x:v>
      </x:c>
      <x:c r="Z29" s="31" t="e">
        <x:f>IF(L29="not reported","not reported",HYPERLINK("https://doi.org/"&amp;L29,"Open Publisher"))</x:f>
        <x:v>HYPERLINK is not implemented. linkLocation=https://doi.org/10.1097/00004583-199009000-00004, friendlyName=Open Publisher</x:v>
      </x:c>
      <x:c r="AA29" s="28" t="str">
        <x:v>DOI present in PubMed/MEDLINE; no PMCID present.</x:v>
      </x:c>
      <x:c r="AB29" s="28" t="str">
        <x:v>Open the DOI/publisher page. If PDF is paywalled, try Stony Brook Library access, Article Galaxy, or interlibrary loan.</x:v>
      </x:c>
      <x:c r="AC29" s="26" t="str">
        <x:v>2026-09-20</x:v>
      </x:c>
    </x:row>
    <x:row r="30">
      <x:c r="A30" s="26" t="str">
        <x:v>PUBMED-2273073</x:v>
      </x:c>
      <x:c r="B30" s="28" t="str">
        <x:v>The effects of behavioral parent training on families with young hyperactive children.</x:v>
      </x:c>
      <x:c r="C30" s="28" t="str">
        <x:v>Erhardt, D; Baker, B L</x:v>
      </x:c>
      <x:c r="D30" s="28" t="n">
        <x:v>1990</x:v>
      </x:c>
      <x:c r="E30" s="28" t="str">
        <x:v>Journal of behavior therapy and experimental psychiatry</x:v>
      </x:c>
      <x:c r="F30" s="28" t="str">
        <x:v>Primary/contextual journal article</x:v>
      </x:c>
      <x:c r="G30" s="28" t="str">
        <x:v>Development &amp; presentation; Recognition &amp; diagnosis; Family &amp; education; Social &amp; structural; Environmental &amp; lifestyle; Treatment &amp; support; Life outcomes &amp; lived experience</x:v>
      </x:c>
      <x:c r="H30" s="28" t="str">
        <x:v>Childhood</x:v>
      </x:c>
      <x:c r="I30" s="28" t="str">
        <x:v>not reported/not verified</x:v>
      </x:c>
      <x:c r="J30" s="28" t="str">
        <x:v>not reported</x:v>
      </x:c>
      <x:c r="K30" s="28" t="str">
        <x:v>We sought to assess, through two case-studies, the strengths and limitations of a time-limited, family-based behavioral intervention for preschool-aged children with attention-deficit-hyperactivity disorder (ADHD).</x:v>
      </x:c>
      <x:c r="L30" s="28" t="str">
        <x:v>10.1016/0005-7916(90)90017-f</x:v>
      </x:c>
      <x:c r="M30" s="28" t="str">
        <x:v>2273073</x:v>
      </x:c>
      <x:c r="N30" s="31" t="e">
        <x:f>HYPERLINK("https://pubmed.ncbi.nlm.nih.gov/"&amp;M30&amp;"/","Open PubMed")</x:f>
        <x:v>HYPERLINK is not implemented. linkLocation=https://pubmed.ncbi.nlm.nih.gov/2273073/, friendlyName=Open PubMed</x:v>
      </x:c>
      <x:c r="O30" s="31" t="str">
        <x:v>not reported</x:v>
      </x:c>
      <x:c r="P30" s="28" t="str">
        <x:v>abstract only</x:v>
      </x:c>
      <x:c r="Q30" s="28" t="str">
        <x:v>PubMed/MEDLINE export supplied by user | query: "Attention Deficit Disorder with Hyperactivity"[MeSH Terms] AND 1990[Publication Date]</x:v>
      </x:c>
      <x:c r="R30" s="28" t="str">
        <x:v>Batch 1 core</x:v>
      </x:c>
      <x:c r="S30" s="28" t="str">
        <x:v>Direct historical-period ADHD/hyperkinesis/minimal-brain-dysfunction focus with human relevance.</x:v>
      </x:c>
      <x:c r="T30" s="28" t="str">
        <x:v>not apparent from accessed abstract/metadata</x:v>
      </x:c>
      <x:c r="U30" s="28" t="str">
        <x:v>none identified in MEDLINE record</x:v>
      </x:c>
      <x:c r="V30" s="26" t="str">
        <x:v>not reported</x:v>
      </x:c>
      <x:c r="W30" s="28" t="str">
        <x:v>No PMC copy identified; publisher PDF/access must be checked</x:v>
      </x:c>
      <x:c r="X30" s="28" t="str">
        <x:v>Not verified</x:v>
      </x:c>
      <x:c r="Y30" s="31" t="str">
        <x:f>IF(V30="not reported","not reported",HYPERLINK("https://pmc.ncbi.nlm.nih.gov/articles/"&amp;V30&amp;"/","Open Full Text"))</x:f>
        <x:v>not reported</x:v>
      </x:c>
      <x:c r="Z30" s="31" t="e">
        <x:f>IF(L30="not reported","not reported",HYPERLINK("https://doi.org/"&amp;L30,"Open Publisher"))</x:f>
        <x:v>HYPERLINK is not implemented. linkLocation=https://doi.org/10.1016/0005-7916(90)90017-f, friendlyName=Open Publisher</x:v>
      </x:c>
      <x:c r="AA30" s="28" t="str">
        <x:v>DOI present in PubMed/MEDLINE; no PMCID present.</x:v>
      </x:c>
      <x:c r="AB30" s="28" t="str">
        <x:v>Open the DOI/publisher page. If PDF is paywalled, try Stony Brook Library access, Article Galaxy, or interlibrary loan.</x:v>
      </x:c>
      <x:c r="AC30" s="26" t="str">
        <x:v>2026-09-20</x:v>
      </x:c>
    </x:row>
    <x:row r="31">
      <x:c r="A31" s="26" t="str">
        <x:v>PUBMED-2198308</x:v>
      </x:c>
      <x:c r="B31" s="28" t="str">
        <x:v>Social judgment processes in hyperactive boys: effects of methylphenidate and comparisons with normal peers.</x:v>
      </x:c>
      <x:c r="C31" s="28" t="str">
        <x:v>Whalen, C K; Henker, B; Granger, D A</x:v>
      </x:c>
      <x:c r="D31" s="28" t="n">
        <x:v>1990</x:v>
      </x:c>
      <x:c r="E31" s="28" t="str">
        <x:v>Journal of abnormal child psychology</x:v>
      </x:c>
      <x:c r="F31" s="28" t="str">
        <x:v>Primary study - clinical trial</x:v>
      </x:c>
      <x:c r="G31" s="28" t="str">
        <x:v>Development &amp; presentation; Social &amp; structural; Treatment &amp; support</x:v>
      </x:c>
      <x:c r="H31" s="28" t="str">
        <x:v>Childhood</x:v>
      </x:c>
      <x:c r="I31" s="28" t="str">
        <x:v>not reported/not verified</x:v>
      </x:c>
      <x:c r="J31" s="28" t="str">
        <x:v>not reported</x:v>
      </x:c>
      <x:c r="K31" s="28" t="str">
        <x:v>Although there is consensus that ADHD children have serious social problems, there is little understanding of the mechanisms underlying or accompanying such problems.</x:v>
      </x:c>
      <x:c r="L31" s="28" t="str">
        <x:v>10.1007/BF00916567</x:v>
      </x:c>
      <x:c r="M31" s="28" t="str">
        <x:v>2198308</x:v>
      </x:c>
      <x:c r="N31" s="31" t="e">
        <x:f>HYPERLINK("https://pubmed.ncbi.nlm.nih.gov/"&amp;M31&amp;"/","Open PubMed")</x:f>
        <x:v>HYPERLINK is not implemented. linkLocation=https://pubmed.ncbi.nlm.nih.gov/2198308/, friendlyName=Open PubMed</x:v>
      </x:c>
      <x:c r="O31" s="31" t="str">
        <x:v>not reported</x:v>
      </x:c>
      <x:c r="P31" s="28" t="str">
        <x:v>abstract only</x:v>
      </x:c>
      <x:c r="Q31" s="28" t="str">
        <x:v>PubMed/MEDLINE export supplied by user | query: "Attention Deficit Disorder with Hyperactivity"[MeSH Terms] AND 1990[Publication Date]</x:v>
      </x:c>
      <x:c r="R31" s="28" t="str">
        <x:v>Batch 1 core</x:v>
      </x:c>
      <x:c r="S31" s="28" t="str">
        <x:v>Direct historical-period ADHD/hyperkinesis/minimal-brain-dysfunction focus with human relevance.</x:v>
      </x:c>
      <x:c r="T31" s="28" t="str">
        <x:v>not apparent from accessed abstract/metadata</x:v>
      </x:c>
      <x:c r="U31" s="28" t="str">
        <x:v>none identified in MEDLINE record</x:v>
      </x:c>
      <x:c r="V31" s="26" t="str">
        <x:v>not reported</x:v>
      </x:c>
      <x:c r="W31" s="28" t="str">
        <x:v>No PMC copy identified; publisher PDF/access must be checked</x:v>
      </x:c>
      <x:c r="X31" s="28" t="str">
        <x:v>Not verified</x:v>
      </x:c>
      <x:c r="Y31" s="31" t="str">
        <x:f>IF(V31="not reported","not reported",HYPERLINK("https://pmc.ncbi.nlm.nih.gov/articles/"&amp;V31&amp;"/","Open Full Text"))</x:f>
        <x:v>not reported</x:v>
      </x:c>
      <x:c r="Z31" s="31" t="e">
        <x:f>IF(L31="not reported","not reported",HYPERLINK("https://doi.org/"&amp;L31,"Open Publisher"))</x:f>
        <x:v>HYPERLINK is not implemented. linkLocation=https://doi.org/10.1007/BF00916567, friendlyName=Open Publisher</x:v>
      </x:c>
      <x:c r="AA31" s="28" t="str">
        <x:v>DOI present in PubMed/MEDLINE; no PMCID present.</x:v>
      </x:c>
      <x:c r="AB31" s="28" t="str">
        <x:v>Open the DOI/publisher page. If PDF is paywalled, try Stony Brook Library access, Article Galaxy, or interlibrary loan.</x:v>
      </x:c>
      <x:c r="AC31" s="26" t="str">
        <x:v>2026-09-20</x:v>
      </x:c>
    </x:row>
    <x:row r="32">
      <x:c r="A32" s="26" t="str">
        <x:v>PUBMED-2228924</x:v>
      </x:c>
      <x:c r="B32" s="28" t="str">
        <x:v>Effects of methylphenidate on adolescents with aggressive conduct disorder and ADDH: a preliminary report.</x:v>
      </x:c>
      <x:c r="C32" s="28" t="str">
        <x:v>Kaplan, S L; Busner, J; Kupietz, S; Wassermann, E; Segal, B</x:v>
      </x:c>
      <x:c r="D32" s="28" t="n">
        <x:v>1990</x:v>
      </x:c>
      <x:c r="E32" s="28" t="str">
        <x:v>Journal of the American Academy of Child and Adolescent Psychiatry</x:v>
      </x:c>
      <x:c r="F32" s="28" t="str">
        <x:v>Primary study - clinical trial</x:v>
      </x:c>
      <x:c r="G32" s="28" t="str">
        <x:v>Development &amp; presentation; Recognition &amp; diagnosis; Family &amp; education; Social &amp; structural; Environmental &amp; lifestyle; Treatment &amp; support</x:v>
      </x:c>
      <x:c r="H32" s="28" t="str">
        <x:v>Adolescence</x:v>
      </x:c>
      <x:c r="I32" s="28" t="str">
        <x:v>not reported/not verified</x:v>
      </x:c>
      <x:c r="J32" s="28" t="str">
        <x:v>not reported</x:v>
      </x:c>
      <x:c r="K32" s="28" t="str">
        <x:v>The effect of methylphenidate on aggression in adolescents diagnosed with both aggressive conduct disorder and attention deficit disorder with hyperactivity was assessed in nine male adolescents.</x:v>
      </x:c>
      <x:c r="L32" s="28" t="str">
        <x:v>10.1097/00004583-199009000-00007</x:v>
      </x:c>
      <x:c r="M32" s="28" t="str">
        <x:v>2228924</x:v>
      </x:c>
      <x:c r="N32" s="31" t="e">
        <x:f>HYPERLINK("https://pubmed.ncbi.nlm.nih.gov/"&amp;M32&amp;"/","Open PubMed")</x:f>
        <x:v>HYPERLINK is not implemented. linkLocation=https://pubmed.ncbi.nlm.nih.gov/2228924/, friendlyName=Open PubMed</x:v>
      </x:c>
      <x:c r="O32" s="31" t="str">
        <x:v>not reported</x:v>
      </x:c>
      <x:c r="P32" s="28" t="str">
        <x:v>abstract only</x:v>
      </x:c>
      <x:c r="Q32" s="28" t="str">
        <x:v>PubMed/MEDLINE export supplied by user | query: "Attention Deficit Disorder with Hyperactivity"[MeSH Terms] AND 1990[Publication Date]</x:v>
      </x:c>
      <x:c r="R32" s="28" t="str">
        <x:v>Batch 1 core</x:v>
      </x:c>
      <x:c r="S32" s="28" t="str">
        <x:v>Direct historical-period ADHD/hyperkinesis/minimal-brain-dysfunction focus with human relevance.</x:v>
      </x:c>
      <x:c r="T32" s="28" t="str">
        <x:v>not apparent from accessed abstract/metadata</x:v>
      </x:c>
      <x:c r="U32" s="28" t="str">
        <x:v>none identified in MEDLINE record</x:v>
      </x:c>
      <x:c r="V32" s="26" t="str">
        <x:v>not reported</x:v>
      </x:c>
      <x:c r="W32" s="28" t="str">
        <x:v>No PMC copy identified; publisher PDF/access must be checked</x:v>
      </x:c>
      <x:c r="X32" s="28" t="str">
        <x:v>Not verified</x:v>
      </x:c>
      <x:c r="Y32" s="31" t="str">
        <x:f>IF(V32="not reported","not reported",HYPERLINK("https://pmc.ncbi.nlm.nih.gov/articles/"&amp;V32&amp;"/","Open Full Text"))</x:f>
        <x:v>not reported</x:v>
      </x:c>
      <x:c r="Z32" s="31" t="e">
        <x:f>IF(L32="not reported","not reported",HYPERLINK("https://doi.org/"&amp;L32,"Open Publisher"))</x:f>
        <x:v>HYPERLINK is not implemented. linkLocation=https://doi.org/10.1097/00004583-199009000-00007, friendlyName=Open Publisher</x:v>
      </x:c>
      <x:c r="AA32" s="28" t="str">
        <x:v>DOI present in PubMed/MEDLINE; no PMCID present.</x:v>
      </x:c>
      <x:c r="AB32" s="28" t="str">
        <x:v>Open the DOI/publisher page. If PDF is paywalled, try Stony Brook Library access, Article Galaxy, or interlibrary loan.</x:v>
      </x:c>
      <x:c r="AC32" s="26" t="str">
        <x:v>2026-09-20</x:v>
      </x:c>
    </x:row>
    <x:row r="33">
      <x:c r="A33" s="26" t="str">
        <x:v>PUBMED-2228923</x:v>
      </x:c>
      <x:c r="B33" s="28" t="str">
        <x:v>Methylphenidate in aggressive-hyperactive boys: I. Effects on peer aggression in public school settings.</x:v>
      </x:c>
      <x:c r="C33" s="28" t="str">
        <x:v>Gadow, K D; Nolan, E E; Sverd, J; Sprafkin, J; Paolicelli, L</x:v>
      </x:c>
      <x:c r="D33" s="28" t="n">
        <x:v>1990</x:v>
      </x:c>
      <x:c r="E33" s="28" t="str">
        <x:v>Journal of the American Academy of Child and Adolescent Psychiatry</x:v>
      </x:c>
      <x:c r="F33" s="28" t="str">
        <x:v>Primary study - clinical trial</x:v>
      </x:c>
      <x:c r="G33" s="28" t="str">
        <x:v>Development &amp; presentation; Family &amp; education; Social &amp; structural; Environmental &amp; lifestyle; Treatment &amp; support; Life outcomes &amp; lived experience</x:v>
      </x:c>
      <x:c r="H33" s="28" t="str">
        <x:v>Childhood</x:v>
      </x:c>
      <x:c r="I33" s="28" t="str">
        <x:v>not reported/not verified</x:v>
      </x:c>
      <x:c r="J33" s="28" t="str">
        <x:v>not reported</x:v>
      </x:c>
      <x:c r="K33" s="28" t="str">
        <x:v>In this study, 11 aggressive-hyperactive children received a low (0.3 mg/kg) and moderate (0.6 mg/kg) dose of methylphenidate and placebo for 2 weeks each under double-blind conditions.</x:v>
      </x:c>
      <x:c r="L33" s="28" t="str">
        <x:v>10.1097/00004583-199009000-00006</x:v>
      </x:c>
      <x:c r="M33" s="28" t="str">
        <x:v>2228923</x:v>
      </x:c>
      <x:c r="N33" s="31" t="e">
        <x:f>HYPERLINK("https://pubmed.ncbi.nlm.nih.gov/"&amp;M33&amp;"/","Open PubMed")</x:f>
        <x:v>HYPERLINK is not implemented. linkLocation=https://pubmed.ncbi.nlm.nih.gov/2228923/, friendlyName=Open PubMed</x:v>
      </x:c>
      <x:c r="O33" s="31" t="str">
        <x:v>not reported</x:v>
      </x:c>
      <x:c r="P33" s="28" t="str">
        <x:v>abstract only</x:v>
      </x:c>
      <x:c r="Q33" s="28" t="str">
        <x:v>PubMed/MEDLINE export supplied by user | query: "Attention Deficit Disorder with Hyperactivity"[MeSH Terms] AND 1990[Publication Date]</x:v>
      </x:c>
      <x:c r="R33" s="28" t="str">
        <x:v>Batch 1 core</x:v>
      </x:c>
      <x:c r="S33" s="28" t="str">
        <x:v>Direct historical-period ADHD/hyperkinesis/minimal-brain-dysfunction focus with human relevance.</x:v>
      </x:c>
      <x:c r="T33" s="28" t="str">
        <x:v>not apparent from accessed abstract/metadata</x:v>
      </x:c>
      <x:c r="U33" s="28" t="str">
        <x:v>none identified in MEDLINE record</x:v>
      </x:c>
      <x:c r="V33" s="26" t="str">
        <x:v>not reported</x:v>
      </x:c>
      <x:c r="W33" s="28" t="str">
        <x:v>No PMC copy identified; publisher PDF/access must be checked</x:v>
      </x:c>
      <x:c r="X33" s="28" t="str">
        <x:v>Not verified</x:v>
      </x:c>
      <x:c r="Y33" s="31" t="str">
        <x:f>IF(V33="not reported","not reported",HYPERLINK("https://pmc.ncbi.nlm.nih.gov/articles/"&amp;V33&amp;"/","Open Full Text"))</x:f>
        <x:v>not reported</x:v>
      </x:c>
      <x:c r="Z33" s="31" t="e">
        <x:f>IF(L33="not reported","not reported",HYPERLINK("https://doi.org/"&amp;L33,"Open Publisher"))</x:f>
        <x:v>HYPERLINK is not implemented. linkLocation=https://doi.org/10.1097/00004583-199009000-00006, friendlyName=Open Publisher</x:v>
      </x:c>
      <x:c r="AA33" s="28" t="str">
        <x:v>DOI present in PubMed/MEDLINE; no PMCID present.</x:v>
      </x:c>
      <x:c r="AB33" s="28" t="str">
        <x:v>Open the DOI/publisher page. If PDF is paywalled, try Stony Brook Library access, Article Galaxy, or interlibrary loan.</x:v>
      </x:c>
      <x:c r="AC33" s="26" t="str">
        <x:v>2026-09-20</x:v>
      </x:c>
    </x:row>
    <x:row r="34">
      <x:c r="A34" s="26" t="str">
        <x:v>PUBMED-1981119</x:v>
      </x:c>
      <x:c r="B34" s="28" t="str">
        <x:v>[Stimulant therapy of hyperkinetic syndrome in childhood and adolescence].</x:v>
      </x:c>
      <x:c r="C34" s="28" t="str">
        <x:v>Schulz, E; Remschmidt, H</x:v>
      </x:c>
      <x:c r="D34" s="28" t="n">
        <x:v>1990</x:v>
      </x:c>
      <x:c r="E34" s="28" t="str">
        <x:v>Zeitschrift fur Kinder- und Jugendpsychiatrie</x:v>
      </x:c>
      <x:c r="F34" s="28" t="str">
        <x:v>Evidence synthesis - review</x:v>
      </x:c>
      <x:c r="G34" s="28" t="str">
        <x:v>Development &amp; presentation; Treatment &amp; support</x:v>
      </x:c>
      <x:c r="H34" s="28" t="str">
        <x:v>Childhood; Adolescence</x:v>
      </x:c>
      <x:c r="I34" s="28" t="str">
        <x:v>not reported/not verified</x:v>
      </x:c>
      <x:c r="J34" s="28" t="str">
        <x:v>not reported</x:v>
      </x:c>
      <x:c r="K34" s="28" t="str">
        <x:v>Metadata-only record on: [Stimulant therapy of hyperkinetic syndrome in childhood and adolescence].</x:v>
      </x:c>
      <x:c r="L34" s="28" t="str">
        <x:v>not reported</x:v>
      </x:c>
      <x:c r="M34" s="28" t="str">
        <x:v>1981119</x:v>
      </x:c>
      <x:c r="N34" s="31" t="e">
        <x:f>HYPERLINK("https://pubmed.ncbi.nlm.nih.gov/"&amp;M34&amp;"/","Open PubMed")</x:f>
        <x:v>HYPERLINK is not implemented. linkLocation=https://pubmed.ncbi.nlm.nih.gov/1981119/, friendlyName=Open PubMed</x:v>
      </x:c>
      <x:c r="O34" s="31" t="str">
        <x:v>not reported</x:v>
      </x:c>
      <x:c r="P34" s="28" t="str">
        <x:v>metadata only</x:v>
      </x:c>
      <x:c r="Q34" s="28" t="str">
        <x:v>PubMed/MEDLINE export supplied by user | query: "Attention Deficit Disorder with Hyperactivity"[MeSH Terms] AND 1990[Publication Date]</x:v>
      </x:c>
      <x:c r="R34" s="28" t="str">
        <x:v>Batch 1 core</x:v>
      </x:c>
      <x:c r="S34" s="28" t="str">
        <x:v>Direct historical-period ADHD/hyperkinesis/minimal-brain-dysfunction focus with human relevance.</x:v>
      </x:c>
      <x:c r="T34" s="28" t="str">
        <x:v>not apparent from accessed abstract/metadata</x:v>
      </x:c>
      <x:c r="U34" s="28" t="str">
        <x:v>none identified in MEDLINE record</x:v>
      </x:c>
      <x:c r="V34" s="26" t="str">
        <x:v>not reported</x:v>
      </x:c>
      <x:c r="W34" s="28" t="str">
        <x:v>No direct PDF/full-text identifier found in PubMed metadata</x:v>
      </x:c>
      <x:c r="X34" s="28" t="str">
        <x:v>Not verified</x:v>
      </x:c>
      <x:c r="Y34" s="31" t="str">
        <x:f>IF(V34="not reported","not reported",HYPERLINK("https://pmc.ncbi.nlm.nih.gov/articles/"&amp;V34&amp;"/","Open Full Text"))</x:f>
        <x:v>not reported</x:v>
      </x:c>
      <x:c r="Z34" s="31" t="str">
        <x:f>IF(L34="not reported","not reported",HYPERLINK("https://doi.org/"&amp;L34,"Open Publisher"))</x:f>
        <x:v>not reported</x:v>
      </x:c>
      <x:c r="AA34" s="28" t="str">
        <x:v>No PMCID or DOI present in the supplied PubMed/MEDLINE record.</x:v>
      </x:c>
      <x:c r="AB34" s="28" t="str">
        <x:v>Search the exact title/PMID in Stony Brook Library; if unavailable, request via interlibrary loan/document delivery.</x:v>
      </x:c>
      <x:c r="AC34" s="26" t="str">
        <x:v>2026-09-20</x:v>
      </x:c>
    </x:row>
    <x:row r="35">
      <x:c r="A35" s="26" t="str">
        <x:v>PUBMED-2346989</x:v>
      </x:c>
      <x:c r="B35" s="28" t="str">
        <x:v>[Changes in the concept of minimal brain dysfunction in modern diagnostic classification and its manifestation in our theory and practice].</x:v>
      </x:c>
      <x:c r="C35" s="28" t="str">
        <x:v>Tyl, J; Pazlarová, M</x:v>
      </x:c>
      <x:c r="D35" s="28" t="n">
        <x:v>1990</x:v>
      </x:c>
      <x:c r="E35" s="28" t="str">
        <x:v>Ceskoslovenska psychiatrie</x:v>
      </x:c>
      <x:c r="F35" s="28" t="str">
        <x:v>Primary/contextual journal article</x:v>
      </x:c>
      <x:c r="G35" s="28" t="str">
        <x:v>Development &amp; presentation; Recognition &amp; diagnosis; Family &amp; education; Social &amp; structural; Life outcomes &amp; lived experience</x:v>
      </x:c>
      <x:c r="H35" s="28" t="str">
        <x:v>Childhood; Adulthood</x:v>
      </x:c>
      <x:c r="I35" s="28" t="str">
        <x:v>not reported/not verified</x:v>
      </x:c>
      <x:c r="J35" s="28" t="str">
        <x:v>not reported</x:v>
      </x:c>
      <x:c r="K35" s="28" t="str">
        <x:v>The purpose of the investigation was to give an account of changes in the concept of minimal brain dysfunction and deduce certain recommendations for professional and social practice.</x:v>
      </x:c>
      <x:c r="L35" s="28" t="str">
        <x:v>not reported</x:v>
      </x:c>
      <x:c r="M35" s="28" t="str">
        <x:v>2346989</x:v>
      </x:c>
      <x:c r="N35" s="31" t="e">
        <x:f>HYPERLINK("https://pubmed.ncbi.nlm.nih.gov/"&amp;M35&amp;"/","Open PubMed")</x:f>
        <x:v>HYPERLINK is not implemented. linkLocation=https://pubmed.ncbi.nlm.nih.gov/2346989/, friendlyName=Open PubMed</x:v>
      </x:c>
      <x:c r="O35" s="31" t="str">
        <x:v>not reported</x:v>
      </x:c>
      <x:c r="P35" s="28" t="str">
        <x:v>abstract only</x:v>
      </x:c>
      <x:c r="Q35" s="28" t="str">
        <x:v>PubMed/MEDLINE export supplied by user | query: "Attention Deficit Disorder with Hyperactivity"[MeSH Terms] AND 1990[Publication Date]</x:v>
      </x:c>
      <x:c r="R35" s="28" t="str">
        <x:v>Batch 1 core</x:v>
      </x:c>
      <x:c r="S35" s="28" t="str">
        <x:v>Direct historical-period ADHD/hyperkinesis/minimal-brain-dysfunction focus with human relevance.</x:v>
      </x:c>
      <x:c r="T35" s="28" t="str">
        <x:v>not apparent from accessed abstract/metadata</x:v>
      </x:c>
      <x:c r="U35" s="28" t="str">
        <x:v>none identified in MEDLINE record</x:v>
      </x:c>
      <x:c r="V35" s="26" t="str">
        <x:v>not reported</x:v>
      </x:c>
      <x:c r="W35" s="28" t="str">
        <x:v>No direct PDF/full-text identifier found in PubMed metadata</x:v>
      </x:c>
      <x:c r="X35" s="28" t="str">
        <x:v>Not verified</x:v>
      </x:c>
      <x:c r="Y35" s="31" t="str">
        <x:f>IF(V35="not reported","not reported",HYPERLINK("https://pmc.ncbi.nlm.nih.gov/articles/"&amp;V35&amp;"/","Open Full Text"))</x:f>
        <x:v>not reported</x:v>
      </x:c>
      <x:c r="Z35" s="31" t="str">
        <x:f>IF(L35="not reported","not reported",HYPERLINK("https://doi.org/"&amp;L35,"Open Publisher"))</x:f>
        <x:v>not reported</x:v>
      </x:c>
      <x:c r="AA35" s="28" t="str">
        <x:v>No PMCID or DOI present in the supplied PubMed/MEDLINE record.</x:v>
      </x:c>
      <x:c r="AB35" s="28" t="str">
        <x:v>Search the exact title/PMID in Stony Brook Library; if unavailable, request via interlibrary loan/document delivery.</x:v>
      </x:c>
      <x:c r="AC35" s="26" t="str">
        <x:v>2026-09-20</x:v>
      </x:c>
    </x:row>
    <x:row r="36">
      <x:c r="A36" s="26" t="str">
        <x:v>PUBMED-2288166</x:v>
      </x:c>
      <x:c r="B36" s="28" t="str">
        <x:v>[Are there sex differences in the manifestation of hyperkinetic syndrome?].</x:v>
      </x:c>
      <x:c r="C36" s="28" t="str">
        <x:v>Rieder-Uysal, D</x:v>
      </x:c>
      <x:c r="D36" s="28" t="n">
        <x:v>1990</x:v>
      </x:c>
      <x:c r="E36" s="28" t="str">
        <x:v>Zeitschrift fur Kinder- und Jugendpsychiatrie</x:v>
      </x:c>
      <x:c r="F36" s="28" t="str">
        <x:v>Primary/contextual journal article</x:v>
      </x:c>
      <x:c r="G36" s="28" t="str">
        <x:v>Development &amp; presentation; Recognition &amp; diagnosis; Family &amp; education; Social &amp; structural; Environmental &amp; lifestyle; Treatment &amp; support</x:v>
      </x:c>
      <x:c r="H36" s="28" t="str">
        <x:v>Childhood; Adolescence</x:v>
      </x:c>
      <x:c r="I36" s="28" t="str">
        <x:v>not reported/not verified</x:v>
      </x:c>
      <x:c r="J36" s="28" t="str">
        <x:v>not reported</x:v>
      </x:c>
      <x:c r="K36" s="28" t="str">
        <x:v>Thirty-nine children (14 girls and 25 boys) were compared for sex differences in the severity of the hyperactive syndrome.</x:v>
      </x:c>
      <x:c r="L36" s="28" t="str">
        <x:v>not reported</x:v>
      </x:c>
      <x:c r="M36" s="28" t="str">
        <x:v>2288166</x:v>
      </x:c>
      <x:c r="N36" s="31" t="e">
        <x:f>HYPERLINK("https://pubmed.ncbi.nlm.nih.gov/"&amp;M36&amp;"/","Open PubMed")</x:f>
        <x:v>HYPERLINK is not implemented. linkLocation=https://pubmed.ncbi.nlm.nih.gov/2288166/, friendlyName=Open PubMed</x:v>
      </x:c>
      <x:c r="O36" s="31" t="str">
        <x:v>not reported</x:v>
      </x:c>
      <x:c r="P36" s="28" t="str">
        <x:v>abstract only</x:v>
      </x:c>
      <x:c r="Q36" s="28" t="str">
        <x:v>PubMed/MEDLINE export supplied by user | query: "Attention Deficit Disorder with Hyperactivity"[MeSH Terms] AND 1990[Publication Date]</x:v>
      </x:c>
      <x:c r="R36" s="28" t="str">
        <x:v>Batch 1 core</x:v>
      </x:c>
      <x:c r="S36" s="28" t="str">
        <x:v>Direct historical-period ADHD/hyperkinesis/minimal-brain-dysfunction focus with human relevance.</x:v>
      </x:c>
      <x:c r="T36" s="28" t="str">
        <x:v>not apparent from accessed abstract/metadata</x:v>
      </x:c>
      <x:c r="U36" s="28" t="str">
        <x:v>none identified in MEDLINE record</x:v>
      </x:c>
      <x:c r="V36" s="26" t="str">
        <x:v>not reported</x:v>
      </x:c>
      <x:c r="W36" s="28" t="str">
        <x:v>No direct PDF/full-text identifier found in PubMed metadata</x:v>
      </x:c>
      <x:c r="X36" s="28" t="str">
        <x:v>Not verified</x:v>
      </x:c>
      <x:c r="Y36" s="31" t="str">
        <x:f>IF(V36="not reported","not reported",HYPERLINK("https://pmc.ncbi.nlm.nih.gov/articles/"&amp;V36&amp;"/","Open Full Text"))</x:f>
        <x:v>not reported</x:v>
      </x:c>
      <x:c r="Z36" s="31" t="str">
        <x:f>IF(L36="not reported","not reported",HYPERLINK("https://doi.org/"&amp;L36,"Open Publisher"))</x:f>
        <x:v>not reported</x:v>
      </x:c>
      <x:c r="AA36" s="28" t="str">
        <x:v>No PMCID or DOI present in the supplied PubMed/MEDLINE record.</x:v>
      </x:c>
      <x:c r="AB36" s="28" t="str">
        <x:v>Search the exact title/PMID in Stony Brook Library; if unavailable, request via interlibrary loan/document delivery.</x:v>
      </x:c>
      <x:c r="AC36" s="26" t="str">
        <x:v>2026-09-20</x:v>
      </x:c>
    </x:row>
    <x:row r="37">
      <x:c r="A37" s="26" t="str">
        <x:v>PUBMED-2212053</x:v>
      </x:c>
      <x:c r="B37" s="28" t="str">
        <x:v>Situational variability in boys and girls identified as ADHD.</x:v>
      </x:c>
      <x:c r="C37" s="28" t="str">
        <x:v>Breen, M J; Altepeter, T S</x:v>
      </x:c>
      <x:c r="D37" s="28" t="n">
        <x:v>1990</x:v>
      </x:c>
      <x:c r="E37" s="28" t="str">
        <x:v>Journal of clinical psychology</x:v>
      </x:c>
      <x:c r="F37" s="28" t="str">
        <x:v>Primary/contextual journal article</x:v>
      </x:c>
      <x:c r="G37" s="28" t="str">
        <x:v>Development &amp; presentation; Recognition &amp; diagnosis; Family &amp; education; Social &amp; structural; Environmental &amp; lifestyle</x:v>
      </x:c>
      <x:c r="H37" s="28" t="str">
        <x:v>Childhood</x:v>
      </x:c>
      <x:c r="I37" s="28" t="str">
        <x:v>not reported/not verified</x:v>
      </x:c>
      <x:c r="J37" s="28" t="str">
        <x:v>not reported</x:v>
      </x:c>
      <x:c r="K37" s="28" t="str">
        <x:v>The purpose was to assess the degree to which situational variability in behavior may prove sensitive to sex differences in ADHD children.</x:v>
      </x:c>
      <x:c r="L37" s="28" t="str">
        <x:v>not reported</x:v>
      </x:c>
      <x:c r="M37" s="28" t="str">
        <x:v>2212053</x:v>
      </x:c>
      <x:c r="N37" s="31" t="e">
        <x:f>HYPERLINK("https://pubmed.ncbi.nlm.nih.gov/"&amp;M37&amp;"/","Open PubMed")</x:f>
        <x:v>HYPERLINK is not implemented. linkLocation=https://pubmed.ncbi.nlm.nih.gov/2212053/, friendlyName=Open PubMed</x:v>
      </x:c>
      <x:c r="O37" s="31" t="str">
        <x:v>not reported</x:v>
      </x:c>
      <x:c r="P37" s="28" t="str">
        <x:v>abstract only</x:v>
      </x:c>
      <x:c r="Q37" s="28" t="str">
        <x:v>PubMed/MEDLINE export supplied by user | query: "Attention Deficit Disorder with Hyperactivity"[MeSH Terms] AND 1990[Publication Date]</x:v>
      </x:c>
      <x:c r="R37" s="28" t="str">
        <x:v>Batch 1 core</x:v>
      </x:c>
      <x:c r="S37" s="28" t="str">
        <x:v>Direct historical-period ADHD/hyperkinesis/minimal-brain-dysfunction focus with human relevance.</x:v>
      </x:c>
      <x:c r="T37" s="28" t="str">
        <x:v>not apparent from accessed abstract/metadata</x:v>
      </x:c>
      <x:c r="U37" s="28" t="str">
        <x:v>none identified in MEDLINE record</x:v>
      </x:c>
      <x:c r="V37" s="26" t="str">
        <x:v>not reported</x:v>
      </x:c>
      <x:c r="W37" s="28" t="str">
        <x:v>No direct PDF/full-text identifier found in PubMed metadata</x:v>
      </x:c>
      <x:c r="X37" s="28" t="str">
        <x:v>Not verified</x:v>
      </x:c>
      <x:c r="Y37" s="31" t="str">
        <x:f>IF(V37="not reported","not reported",HYPERLINK("https://pmc.ncbi.nlm.nih.gov/articles/"&amp;V37&amp;"/","Open Full Text"))</x:f>
        <x:v>not reported</x:v>
      </x:c>
      <x:c r="Z37" s="31" t="str">
        <x:f>IF(L37="not reported","not reported",HYPERLINK("https://doi.org/"&amp;L37,"Open Publisher"))</x:f>
        <x:v>not reported</x:v>
      </x:c>
      <x:c r="AA37" s="28" t="str">
        <x:v>No PMCID or DOI present in the supplied PubMed/MEDLINE record.</x:v>
      </x:c>
      <x:c r="AB37" s="28" t="str">
        <x:v>Search the exact title/PMID in Stony Brook Library; if unavailable, request via interlibrary loan/document delivery.</x:v>
      </x:c>
      <x:c r="AC37" s="26" t="str">
        <x:v>2026-09-20</x:v>
      </x:c>
    </x:row>
    <x:row r="38">
      <x:c r="A38" s="26" t="str">
        <x:v>PUBMED-2319047</x:v>
      </x:c>
      <x:c r="B38" s="28" t="str">
        <x:v>Methylphenidate and baseball playing in ADHD children: who's on first?</x:v>
      </x:c>
      <x:c r="C38" s="28" t="str">
        <x:v>Pelham, William E; McBurnett, Keith; Harper, Gary W; Milich, Richard; Murphy, Debra A; Clinton, Joseph; Thiele, Cathy</x:v>
      </x:c>
      <x:c r="D38" s="28" t="n">
        <x:v>1990</x:v>
      </x:c>
      <x:c r="E38" s="28" t="str">
        <x:v>Journal of consulting and clinical psychology</x:v>
      </x:c>
      <x:c r="F38" s="28" t="str">
        <x:v>Primary study - randomized controlled trial</x:v>
      </x:c>
      <x:c r="G38" s="28" t="str">
        <x:v>Development &amp; presentation; Social &amp; structural; Treatment &amp; support</x:v>
      </x:c>
      <x:c r="H38" s="28" t="str">
        <x:v>Childhood; ages 7.8-9.9 years</x:v>
      </x:c>
      <x:c r="I38" s="28" t="str">
        <x:v>not reported/not verified</x:v>
      </x:c>
      <x:c r="J38" s="28" t="str">
        <x:v>not reported</x:v>
      </x:c>
      <x:c r="K38" s="28" t="str">
        <x:v>The effects of 0.3 and 0.6 mg/kg methylphenidate were analyzed in a double-blind, placebo-controlled, cross-over study in which 17 boys (ages 7.8-9.9 years) with attention deficit hyperactivity disorder (ADHD) played in baseball games.</x:v>
      </x:c>
      <x:c r="L38" s="28" t="str">
        <x:v>10.1037/0022-006X.58.1.130</x:v>
      </x:c>
      <x:c r="M38" s="28" t="str">
        <x:v>2319047</x:v>
      </x:c>
      <x:c r="N38" s="31" t="e">
        <x:f>HYPERLINK("https://pubmed.ncbi.nlm.nih.gov/"&amp;M38&amp;"/","Open PubMed")</x:f>
        <x:v>HYPERLINK is not implemented. linkLocation=https://pubmed.ncbi.nlm.nih.gov/2319047/, friendlyName=Open PubMed</x:v>
      </x:c>
      <x:c r="O38" s="31" t="str">
        <x:v>not reported</x:v>
      </x:c>
      <x:c r="P38" s="28" t="str">
        <x:v>abstract only</x:v>
      </x:c>
      <x:c r="Q38" s="28" t="str">
        <x:v>PubMed/MEDLINE export supplied by user | query: "Attention Deficit Disorder with Hyperactivity"[MeSH Terms] AND 1990[Publication Date]</x:v>
      </x:c>
      <x:c r="R38" s="28" t="str">
        <x:v>Batch 1 core</x:v>
      </x:c>
      <x:c r="S38" s="28" t="str">
        <x:v>Direct historical-period ADHD/hyperkinesis/minimal-brain-dysfunction focus with human relevance.</x:v>
      </x:c>
      <x:c r="T38" s="28" t="str">
        <x:v>not apparent from accessed abstract/metadata</x:v>
      </x:c>
      <x:c r="U38" s="28" t="str">
        <x:v>none identified in MEDLINE record</x:v>
      </x:c>
      <x:c r="V38" s="26" t="str">
        <x:v>not reported</x:v>
      </x:c>
      <x:c r="W38" s="28" t="str">
        <x:v>No PMC copy identified; publisher PDF/access must be checked</x:v>
      </x:c>
      <x:c r="X38" s="28" t="str">
        <x:v>Not verified</x:v>
      </x:c>
      <x:c r="Y38" s="31" t="str">
        <x:f>IF(V38="not reported","not reported",HYPERLINK("https://pmc.ncbi.nlm.nih.gov/articles/"&amp;V38&amp;"/","Open Full Text"))</x:f>
        <x:v>not reported</x:v>
      </x:c>
      <x:c r="Z38" s="31" t="e">
        <x:f>IF(L38="not reported","not reported",HYPERLINK("https://doi.org/"&amp;L38,"Open Publisher"))</x:f>
        <x:v>HYPERLINK is not implemented. linkLocation=https://doi.org/10.1037/0022-006X.58.1.130, friendlyName=Open Publisher</x:v>
      </x:c>
      <x:c r="AA38" s="28" t="str">
        <x:v>DOI present in PubMed/MEDLINE; no PMCID present.</x:v>
      </x:c>
      <x:c r="AB38" s="28" t="str">
        <x:v>Open the DOI/publisher page. If PDF is paywalled, try Stony Brook Library access, Article Galaxy, or interlibrary loan.</x:v>
      </x:c>
      <x:c r="AC38" s="26" t="str">
        <x:v>2026-09-20</x:v>
      </x:c>
    </x:row>
    <x:row r="39">
      <x:c r="A39" s="26" t="str">
        <x:v>PUBMED-2254504</x:v>
      </x:c>
      <x:c r="B39" s="28" t="str">
        <x:v>The adolescent outcome of hyperactive children diagnosed by research criteria: II. Academic, attentional, and neuropsychological status.</x:v>
      </x:c>
      <x:c r="C39" s="28" t="str">
        <x:v>Fischer, M; Barkley, R A; Edelbrock, C S; Smallish, L</x:v>
      </x:c>
      <x:c r="D39" s="28" t="n">
        <x:v>1990</x:v>
      </x:c>
      <x:c r="E39" s="28" t="str">
        <x:v>Journal of consulting and clinical psychology</x:v>
      </x:c>
      <x:c r="F39" s="28" t="str">
        <x:v>Primary/contextual journal article</x:v>
      </x:c>
      <x:c r="G39" s="28" t="str">
        <x:v>Development &amp; presentation; Recognition &amp; diagnosis; Family &amp; education; Social &amp; structural; Treatment &amp; support; Life outcomes &amp; lived experience</x:v>
      </x:c>
      <x:c r="H39" s="28" t="str">
        <x:v>Childhood; Adolescence</x:v>
      </x:c>
      <x:c r="I39" s="28" t="str">
        <x:v>not reported/not verified</x:v>
      </x:c>
      <x:c r="J39" s="28" t="str">
        <x:v>not reported</x:v>
      </x:c>
      <x:c r="K39" s="28" t="str">
        <x:v>One hundred hyperactive children meeting research diagnostic criteria and 60 community control children were followed prospectively over an 8-year period into adolescence.</x:v>
      </x:c>
      <x:c r="L39" s="28" t="str">
        <x:v>10.1037//0022-006x.58.5.580</x:v>
      </x:c>
      <x:c r="M39" s="28" t="str">
        <x:v>2254504</x:v>
      </x:c>
      <x:c r="N39" s="31" t="e">
        <x:f>HYPERLINK("https://pubmed.ncbi.nlm.nih.gov/"&amp;M39&amp;"/","Open PubMed")</x:f>
        <x:v>HYPERLINK is not implemented. linkLocation=https://pubmed.ncbi.nlm.nih.gov/2254504/, friendlyName=Open PubMed</x:v>
      </x:c>
      <x:c r="O39" s="31" t="str">
        <x:v>not reported</x:v>
      </x:c>
      <x:c r="P39" s="28" t="str">
        <x:v>abstract only</x:v>
      </x:c>
      <x:c r="Q39" s="28" t="str">
        <x:v>PubMed/MEDLINE export supplied by user | query: "Attention Deficit Disorder with Hyperactivity"[MeSH Terms] AND 1990[Publication Date]</x:v>
      </x:c>
      <x:c r="R39" s="28" t="str">
        <x:v>Batch 1 core</x:v>
      </x:c>
      <x:c r="S39" s="28" t="str">
        <x:v>Direct historical-period ADHD/hyperkinesis/minimal-brain-dysfunction focus with human relevance.</x:v>
      </x:c>
      <x:c r="T39" s="28" t="str">
        <x:v>not apparent from accessed abstract/metadata</x:v>
      </x:c>
      <x:c r="U39" s="28" t="str">
        <x:v>none identified in MEDLINE record</x:v>
      </x:c>
      <x:c r="V39" s="26" t="str">
        <x:v>not reported</x:v>
      </x:c>
      <x:c r="W39" s="28" t="str">
        <x:v>No PMC copy identified; publisher PDF/access must be checked</x:v>
      </x:c>
      <x:c r="X39" s="28" t="str">
        <x:v>Not verified</x:v>
      </x:c>
      <x:c r="Y39" s="31" t="str">
        <x:f>IF(V39="not reported","not reported",HYPERLINK("https://pmc.ncbi.nlm.nih.gov/articles/"&amp;V39&amp;"/","Open Full Text"))</x:f>
        <x:v>not reported</x:v>
      </x:c>
      <x:c r="Z39" s="31" t="e">
        <x:f>IF(L39="not reported","not reported",HYPERLINK("https://doi.org/"&amp;L39,"Open Publisher"))</x:f>
        <x:v>HYPERLINK is not implemented. linkLocation=https://doi.org/10.1037//0022-006x.58.5.580, friendlyName=Open Publisher</x:v>
      </x:c>
      <x:c r="AA39" s="28" t="str">
        <x:v>DOI present in PubMed/MEDLINE; no PMCID present.</x:v>
      </x:c>
      <x:c r="AB39" s="28" t="str">
        <x:v>Open the DOI/publisher page. If PDF is paywalled, try Stony Brook Library access, Article Galaxy, or interlibrary loan.</x:v>
      </x:c>
      <x:c r="AC39" s="26" t="str">
        <x:v>2026-09-20</x:v>
      </x:c>
    </x:row>
    <x:row r="40">
      <x:c r="A40" s="26" t="str">
        <x:v>PUBMED-2346992</x:v>
      </x:c>
      <x:c r="B40" s="28" t="str">
        <x:v>[The importance of nonverbal motor examination methods in screening for minimal brain dysfunction].</x:v>
      </x:c>
      <x:c r="C40" s="28" t="str">
        <x:v>Míka, J</x:v>
      </x:c>
      <x:c r="D40" s="28" t="n">
        <x:v>1990</x:v>
      </x:c>
      <x:c r="E40" s="28" t="str">
        <x:v>Ceskoslovenska psychiatrie</x:v>
      </x:c>
      <x:c r="F40" s="28" t="str">
        <x:v>Primary/contextual journal article</x:v>
      </x:c>
      <x:c r="G40" s="28" t="str">
        <x:v>Development &amp; presentation; Recognition &amp; diagnosis; Family &amp; education; Social &amp; structural; Life outcomes &amp; lived experience</x:v>
      </x:c>
      <x:c r="H40" s="28" t="str">
        <x:v>Childhood</x:v>
      </x:c>
      <x:c r="I40" s="28" t="str">
        <x:v>not reported/not verified</x:v>
      </x:c>
      <x:c r="J40" s="28" t="str">
        <x:v>not reported</x:v>
      </x:c>
      <x:c r="K40" s="28" t="str">
        <x:v>During screening of disorders of activities ascribed among others to the effect of minimal brain dysfunction (MBD) by means of indirect, questionnaire methods the influence of social conditioning, e.g. overprotection by parents or neglected education, cannot be ruled out.</x:v>
      </x:c>
      <x:c r="L40" s="28" t="str">
        <x:v>not reported</x:v>
      </x:c>
      <x:c r="M40" s="28" t="str">
        <x:v>2346992</x:v>
      </x:c>
      <x:c r="N40" s="31" t="e">
        <x:f>HYPERLINK("https://pubmed.ncbi.nlm.nih.gov/"&amp;M40&amp;"/","Open PubMed")</x:f>
        <x:v>HYPERLINK is not implemented. linkLocation=https://pubmed.ncbi.nlm.nih.gov/2346992/, friendlyName=Open PubMed</x:v>
      </x:c>
      <x:c r="O40" s="31" t="str">
        <x:v>not reported</x:v>
      </x:c>
      <x:c r="P40" s="28" t="str">
        <x:v>abstract only</x:v>
      </x:c>
      <x:c r="Q40" s="28" t="str">
        <x:v>PubMed/MEDLINE export supplied by user | query: "Attention Deficit Disorder with Hyperactivity"[MeSH Terms] AND 1990[Publication Date]</x:v>
      </x:c>
      <x:c r="R40" s="28" t="str">
        <x:v>Batch 1 core</x:v>
      </x:c>
      <x:c r="S40" s="28" t="str">
        <x:v>Direct historical-period ADHD/hyperkinesis/minimal-brain-dysfunction focus with human relevance.</x:v>
      </x:c>
      <x:c r="T40" s="28" t="str">
        <x:v>not apparent from accessed abstract/metadata</x:v>
      </x:c>
      <x:c r="U40" s="28" t="str">
        <x:v>none identified in MEDLINE record</x:v>
      </x:c>
      <x:c r="V40" s="26" t="str">
        <x:v>not reported</x:v>
      </x:c>
      <x:c r="W40" s="28" t="str">
        <x:v>No direct PDF/full-text identifier found in PubMed metadata</x:v>
      </x:c>
      <x:c r="X40" s="28" t="str">
        <x:v>Not verified</x:v>
      </x:c>
      <x:c r="Y40" s="31" t="str">
        <x:f>IF(V40="not reported","not reported",HYPERLINK("https://pmc.ncbi.nlm.nih.gov/articles/"&amp;V40&amp;"/","Open Full Text"))</x:f>
        <x:v>not reported</x:v>
      </x:c>
      <x:c r="Z40" s="31" t="str">
        <x:f>IF(L40="not reported","not reported",HYPERLINK("https://doi.org/"&amp;L40,"Open Publisher"))</x:f>
        <x:v>not reported</x:v>
      </x:c>
      <x:c r="AA40" s="28" t="str">
        <x:v>No PMCID or DOI present in the supplied PubMed/MEDLINE record.</x:v>
      </x:c>
      <x:c r="AB40" s="28" t="str">
        <x:v>Search the exact title/PMID in Stony Brook Library; if unavailable, request via interlibrary loan/document delivery.</x:v>
      </x:c>
      <x:c r="AC40" s="26" t="str">
        <x:v>2026-09-20</x:v>
      </x:c>
    </x:row>
    <x:row r="41">
      <x:c r="A41" s="26" t="str">
        <x:v>PUBMED-2397543</x:v>
      </x:c>
      <x:c r="B41" s="28" t="str">
        <x:v>[Preliminary study of traditional Chinese medicine treatment of minimal brain dysfunction: analysis of 100 cases].</x:v>
      </x:c>
      <x:c r="C41" s="28" t="str">
        <x:v>Zhang, H; Huang, J</x:v>
      </x:c>
      <x:c r="D41" s="28" t="n">
        <x:v>1990</x:v>
      </x:c>
      <x:c r="E41" s="28" t="str">
        <x:v>Zhong xi yi jie he za zhi = Chinese journal of modern developments in traditional medicine</x:v>
      </x:c>
      <x:c r="F41" s="28" t="str">
        <x:v>Primary study - randomized controlled trial</x:v>
      </x:c>
      <x:c r="G41" s="28" t="str">
        <x:v>Development &amp; presentation; Recognition &amp; diagnosis; Social &amp; structural; Treatment &amp; support</x:v>
      </x:c>
      <x:c r="H41" s="28" t="str">
        <x:v>Childhood; Adolescence</x:v>
      </x:c>
      <x:c r="I41" s="28" t="str">
        <x:v>not reported/not verified</x:v>
      </x:c>
      <x:c r="J41" s="28" t="str">
        <x:v>not reported</x:v>
      </x:c>
      <x:c r="K41" s="28" t="str">
        <x:v>This paper reports the clinical treatment of 100 patients with minimal brain dysfunction (MBD), their age ranged from 7-14.2 years, and the average age was 10.5.</x:v>
      </x:c>
      <x:c r="L41" s="28" t="str">
        <x:v>not reported</x:v>
      </x:c>
      <x:c r="M41" s="28" t="str">
        <x:v>2397543</x:v>
      </x:c>
      <x:c r="N41" s="31" t="e">
        <x:f>HYPERLINK("https://pubmed.ncbi.nlm.nih.gov/"&amp;M41&amp;"/","Open PubMed")</x:f>
        <x:v>HYPERLINK is not implemented. linkLocation=https://pubmed.ncbi.nlm.nih.gov/2397543/, friendlyName=Open PubMed</x:v>
      </x:c>
      <x:c r="O41" s="31" t="str">
        <x:v>not reported</x:v>
      </x:c>
      <x:c r="P41" s="28" t="str">
        <x:v>abstract only</x:v>
      </x:c>
      <x:c r="Q41" s="28" t="str">
        <x:v>PubMed/MEDLINE export supplied by user | query: "Attention Deficit Disorder with Hyperactivity"[MeSH Terms] AND 1990[Publication Date]</x:v>
      </x:c>
      <x:c r="R41" s="28" t="str">
        <x:v>Batch 1 core</x:v>
      </x:c>
      <x:c r="S41" s="28" t="str">
        <x:v>Direct historical-period ADHD/hyperkinesis/minimal-brain-dysfunction focus with human relevance.</x:v>
      </x:c>
      <x:c r="T41" s="28" t="str">
        <x:v>not apparent from accessed abstract/metadata</x:v>
      </x:c>
      <x:c r="U41" s="28" t="str">
        <x:v>none identified in MEDLINE record</x:v>
      </x:c>
      <x:c r="V41" s="26" t="str">
        <x:v>not reported</x:v>
      </x:c>
      <x:c r="W41" s="28" t="str">
        <x:v>No direct PDF/full-text identifier found in PubMed metadata</x:v>
      </x:c>
      <x:c r="X41" s="28" t="str">
        <x:v>Not verified</x:v>
      </x:c>
      <x:c r="Y41" s="31" t="str">
        <x:f>IF(V41="not reported","not reported",HYPERLINK("https://pmc.ncbi.nlm.nih.gov/articles/"&amp;V41&amp;"/","Open Full Text"))</x:f>
        <x:v>not reported</x:v>
      </x:c>
      <x:c r="Z41" s="31" t="str">
        <x:f>IF(L41="not reported","not reported",HYPERLINK("https://doi.org/"&amp;L41,"Open Publisher"))</x:f>
        <x:v>not reported</x:v>
      </x:c>
      <x:c r="AA41" s="28" t="str">
        <x:v>No PMCID or DOI present in the supplied PubMed/MEDLINE record.</x:v>
      </x:c>
      <x:c r="AB41" s="28" t="str">
        <x:v>Search the exact title/PMID in Stony Brook Library; if unavailable, request via interlibrary loan/document delivery.</x:v>
      </x:c>
      <x:c r="AC41" s="26" t="str">
        <x:v>2026-09-20</x:v>
      </x:c>
    </x:row>
    <x:row r="42">
      <x:c r="A42" s="26" t="str">
        <x:v>PUBMED-21117844</x:v>
      </x:c>
      <x:c r="B42" s="28" t="str">
        <x:v>Review of attention-deficit/hyperactivity disorder comorbid with oppositional defiant disorder.</x:v>
      </x:c>
      <x:c r="C42" s="28" t="str">
        <x:v>Hazell, Philip</x:v>
      </x:c>
      <x:c r="D42" s="28" t="n">
        <x:v>2010</x:v>
      </x:c>
      <x:c r="E42" s="28" t="str">
        <x:v>Australasian psychiatry : bulletin of Royal Australian and New Zealand College of Psychiatrists</x:v>
      </x:c>
      <x:c r="F42" s="28" t="str">
        <x:v>Evidence synthesis - review</x:v>
      </x:c>
      <x:c r="G42" s="28" t="str">
        <x:v>Development &amp; presentation; Recognition &amp; diagnosis; Social &amp; structural; Treatment &amp; support; Life outcomes &amp; lived experience</x:v>
      </x:c>
      <x:c r="H42" s="28" t="str">
        <x:v>Adolescence</x:v>
      </x:c>
      <x:c r="I42" s="28" t="str">
        <x:v>not reported/not verified</x:v>
      </x:c>
      <x:c r="J42" s="28" t="str">
        <x:v>not reported</x:v>
      </x:c>
      <x:c r="K42" s="28" t="str">
        <x:v>OBJECTIVE: The aim of this paper was to conduct a practitioner review of attention-deficit/hyperactivity disorder (ADHD) co-occurring with oppositional defiant disorder (ODD) encompassing aetiological factors, associated factors, assessment, treatment and prognosis.</x:v>
      </x:c>
      <x:c r="L42" s="28" t="str">
        <x:v>10.3109/10398562.2010.498049</x:v>
      </x:c>
      <x:c r="M42" s="28" t="str">
        <x:v>21117844</x:v>
      </x:c>
      <x:c r="N42" s="31" t="e">
        <x:f>HYPERLINK("https://pubmed.ncbi.nlm.nih.gov/"&amp;M42&amp;"/","Open PubMed")</x:f>
        <x:v>HYPERLINK is not implemented. linkLocation=https://pubmed.ncbi.nlm.nih.gov/21117844/, friendlyName=Open PubMed</x:v>
      </x:c>
      <x:c r="O42" s="31" t="str">
        <x:v>not reported</x:v>
      </x:c>
      <x:c r="P42" s="28" t="str">
        <x:v>abstract only</x:v>
      </x:c>
      <x:c r="Q42" s="28" t="str">
        <x:v>PubMed/MEDLINE export supplied by user | query: not verified from export; see Protocol sheet for reproducible recommended query</x:v>
      </x:c>
      <x:c r="R42" s="28" t="str">
        <x:v>Batch 1 core</x:v>
      </x:c>
      <x:c r="S42" s="28" t="str">
        <x:v>Direct ADHD evidence synthesis/guideline with broad multi-topic relevance.</x:v>
      </x:c>
      <x:c r="T42" s="28" t="str">
        <x:v>not apparent from accessed abstract/metadata</x:v>
      </x:c>
      <x:c r="U42" s="28" t="str">
        <x:v>none identified in MEDLINE record</x:v>
      </x:c>
      <x:c r="V42" s="26" t="str">
        <x:v>not reported</x:v>
      </x:c>
      <x:c r="W42" s="28" t="str">
        <x:v>No PMC copy identified; publisher PDF/access must be checked</x:v>
      </x:c>
      <x:c r="X42" s="28" t="str">
        <x:v>Not verified</x:v>
      </x:c>
      <x:c r="Y42" s="31" t="str">
        <x:f>IF(V42="not reported","not reported",HYPERLINK("https://pmc.ncbi.nlm.nih.gov/articles/"&amp;V42&amp;"/","Open Full Text"))</x:f>
        <x:v>not reported</x:v>
      </x:c>
      <x:c r="Z42" s="31" t="e">
        <x:f>IF(L42="not reported","not reported",HYPERLINK("https://doi.org/"&amp;L42,"Open Publisher"))</x:f>
        <x:v>HYPERLINK is not implemented. linkLocation=https://doi.org/10.3109/10398562.2010.498049, friendlyName=Open Publisher</x:v>
      </x:c>
      <x:c r="AA42" s="28" t="str">
        <x:v>DOI present in PubMed/MEDLINE; no PMCID present.</x:v>
      </x:c>
      <x:c r="AB42" s="28" t="str">
        <x:v>Open the DOI/publisher page. If PDF is paywalled, try Stony Brook Library access, Article Galaxy, or interlibrary loan.</x:v>
      </x:c>
      <x:c r="AC42" s="26" t="str">
        <x:v>2026-09-20</x:v>
      </x:c>
    </x:row>
    <x:row r="43">
      <x:c r="A43" s="26" t="str">
        <x:v>PUBMED-20981766</x:v>
      </x:c>
      <x:c r="B43" s="28" t="str">
        <x:v>Review of pharmacotherapy options for the treatment of attention-deficit/hyperactivity disorder (ADHD) and ADHD-like symptoms in children and adolescents with developmental disorders.</x:v>
      </x:c>
      <x:c r="C43" s="28" t="str">
        <x:v>Rowles, Brieana M; Findling, Robert L</x:v>
      </x:c>
      <x:c r="D43" s="28" t="n">
        <x:v>2010</x:v>
      </x:c>
      <x:c r="E43" s="28" t="str">
        <x:v>Developmental disabilities research reviews</x:v>
      </x:c>
      <x:c r="F43" s="28" t="str">
        <x:v>Evidence synthesis - review</x:v>
      </x:c>
      <x:c r="G43" s="28" t="str">
        <x:v>Development &amp; presentation; Recognition &amp; diagnosis; Family &amp; education; Social &amp; structural; Environmental &amp; lifestyle; Treatment &amp; support; Life outcomes &amp; lived experience</x:v>
      </x:c>
      <x:c r="H43" s="28" t="str">
        <x:v>Childhood; Adolescence</x:v>
      </x:c>
      <x:c r="I43" s="28" t="str">
        <x:v>not reported/not verified</x:v>
      </x:c>
      <x:c r="J43" s="28" t="str">
        <x:v>not reported</x:v>
      </x:c>
      <x:c r="K43" s="28" t="str">
        <x:v>Developmental disorders such as subaverage intelligence, pervasive developmental disorders, and genetic syndromes are frequently associated with comorbid attention-deficit/hyperactivity disorder (ADHD) or ADHD-like symptoms.</x:v>
      </x:c>
      <x:c r="L43" s="28" t="str">
        <x:v>10.1002/ddrr.120</x:v>
      </x:c>
      <x:c r="M43" s="28" t="str">
        <x:v>20981766</x:v>
      </x:c>
      <x:c r="N43" s="31" t="e">
        <x:f>HYPERLINK("https://pubmed.ncbi.nlm.nih.gov/"&amp;M43&amp;"/","Open PubMed")</x:f>
        <x:v>HYPERLINK is not implemented. linkLocation=https://pubmed.ncbi.nlm.nih.gov/20981766/, friendlyName=Open PubMed</x:v>
      </x:c>
      <x:c r="O43" s="31" t="str">
        <x:v>not reported</x:v>
      </x:c>
      <x:c r="P43" s="28" t="str">
        <x:v>abstract only</x:v>
      </x:c>
      <x:c r="Q43" s="28" t="str">
        <x:v>PubMed/MEDLINE export supplied by user | query: not verified from export; see Protocol sheet for reproducible recommended query</x:v>
      </x:c>
      <x:c r="R43" s="28" t="str">
        <x:v>Batch 1 core</x:v>
      </x:c>
      <x:c r="S43" s="28" t="str">
        <x:v>Direct ADHD evidence synthesis/guideline with broad multi-topic relevance.</x:v>
      </x:c>
      <x:c r="T43" s="28" t="str">
        <x:v>not apparent from accessed abstract/metadata</x:v>
      </x:c>
      <x:c r="U43" s="28" t="str">
        <x:v>none identified in MEDLINE record</x:v>
      </x:c>
      <x:c r="V43" s="26" t="str">
        <x:v>not reported</x:v>
      </x:c>
      <x:c r="W43" s="28" t="str">
        <x:v>No PMC copy identified; publisher PDF/access must be checked</x:v>
      </x:c>
      <x:c r="X43" s="28" t="str">
        <x:v>Not verified</x:v>
      </x:c>
      <x:c r="Y43" s="31" t="str">
        <x:f>IF(V43="not reported","not reported",HYPERLINK("https://pmc.ncbi.nlm.nih.gov/articles/"&amp;V43&amp;"/","Open Full Text"))</x:f>
        <x:v>not reported</x:v>
      </x:c>
      <x:c r="Z43" s="31" t="e">
        <x:f>IF(L43="not reported","not reported",HYPERLINK("https://doi.org/"&amp;L43,"Open Publisher"))</x:f>
        <x:v>HYPERLINK is not implemented. linkLocation=https://doi.org/10.1002/ddrr.120, friendlyName=Open Publisher</x:v>
      </x:c>
      <x:c r="AA43" s="28" t="str">
        <x:v>DOI present in PubMed/MEDLINE; no PMCID present.</x:v>
      </x:c>
      <x:c r="AB43" s="28" t="str">
        <x:v>Open the DOI/publisher page. If PDF is paywalled, try Stony Brook Library access, Article Galaxy, or interlibrary loan.</x:v>
      </x:c>
      <x:c r="AC43" s="26" t="str">
        <x:v>2026-09-20</x:v>
      </x:c>
    </x:row>
    <x:row r="44">
      <x:c r="A44" s="26" t="str">
        <x:v>PUBMED-21432586</x:v>
      </x:c>
      <x:c r="B44" s="28" t="str">
        <x:v>Animal models of attention deficit/hyperactivity disorder (ADHD): a critical review.</x:v>
      </x:c>
      <x:c r="C44" s="28" t="str">
        <x:v>Sontag, Thomas A; Tucha, Oliver; Walitza, Susanne; Lange, Klaus W</x:v>
      </x:c>
      <x:c r="D44" s="28" t="n">
        <x:v>2010</x:v>
      </x:c>
      <x:c r="E44" s="28" t="str">
        <x:v>Attention deficit and hyperactivity disorders</x:v>
      </x:c>
      <x:c r="F44" s="28" t="str">
        <x:v>Evidence synthesis - review</x:v>
      </x:c>
      <x:c r="G44" s="28" t="str">
        <x:v>Development &amp; presentation; Social &amp; structural; Treatment &amp; support</x:v>
      </x:c>
      <x:c r="H44" s="28" t="str">
        <x:v>Not specified</x:v>
      </x:c>
      <x:c r="I44" s="28" t="str">
        <x:v>not reported/not verified</x:v>
      </x:c>
      <x:c r="J44" s="28" t="str">
        <x:v>not reported</x:v>
      </x:c>
      <x:c r="K44" s="28" t="str">
        <x:v>Attention deficit/hyperactivity disorder (ADHD) involves clinically heterogeneous problems including attention deficits, behavioural hyperactivity and impulsivity.</x:v>
      </x:c>
      <x:c r="L44" s="28" t="str">
        <x:v>10.1007/s12402-010-0019-x</x:v>
      </x:c>
      <x:c r="M44" s="28" t="str">
        <x:v>21432586</x:v>
      </x:c>
      <x:c r="N44" s="31" t="e">
        <x:f>HYPERLINK("https://pubmed.ncbi.nlm.nih.gov/"&amp;M44&amp;"/","Open PubMed")</x:f>
        <x:v>HYPERLINK is not implemented. linkLocation=https://pubmed.ncbi.nlm.nih.gov/21432586/, friendlyName=Open PubMed</x:v>
      </x:c>
      <x:c r="O44" s="31" t="str">
        <x:v>not reported</x:v>
      </x:c>
      <x:c r="P44" s="28" t="str">
        <x:v>abstract only</x:v>
      </x:c>
      <x:c r="Q44" s="28" t="str">
        <x:v>PubMed/MEDLINE export supplied by user | query: not verified from export; see Protocol sheet for reproducible recommended query</x:v>
      </x:c>
      <x:c r="R44" s="28" t="str">
        <x:v>Batch 1 core</x:v>
      </x:c>
      <x:c r="S44" s="28" t="str">
        <x:v>Direct ADHD evidence synthesis/guideline with broad multi-topic relevance.</x:v>
      </x:c>
      <x:c r="T44" s="28" t="str">
        <x:v>not apparent from accessed abstract/metadata</x:v>
      </x:c>
      <x:c r="U44" s="28" t="str">
        <x:v>none identified in MEDLINE record</x:v>
      </x:c>
      <x:c r="V44" s="26" t="str">
        <x:v>not reported</x:v>
      </x:c>
      <x:c r="W44" s="28" t="str">
        <x:v>No PMC copy identified; publisher PDF/access must be checked</x:v>
      </x:c>
      <x:c r="X44" s="28" t="str">
        <x:v>Not verified</x:v>
      </x:c>
      <x:c r="Y44" s="31" t="str">
        <x:f>IF(V44="not reported","not reported",HYPERLINK("https://pmc.ncbi.nlm.nih.gov/articles/"&amp;V44&amp;"/","Open Full Text"))</x:f>
        <x:v>not reported</x:v>
      </x:c>
      <x:c r="Z44" s="31" t="e">
        <x:f>IF(L44="not reported","not reported",HYPERLINK("https://doi.org/"&amp;L44,"Open Publisher"))</x:f>
        <x:v>HYPERLINK is not implemented. linkLocation=https://doi.org/10.1007/s12402-010-0019-x, friendlyName=Open Publisher</x:v>
      </x:c>
      <x:c r="AA44" s="28" t="str">
        <x:v>DOI present in PubMed/MEDLINE; no PMCID present.</x:v>
      </x:c>
      <x:c r="AB44" s="28" t="str">
        <x:v>Open the DOI/publisher page. If PDF is paywalled, try Stony Brook Library access, Article Galaxy, or interlibrary loan.</x:v>
      </x:c>
      <x:c r="AC44" s="26" t="str">
        <x:v>2026-09-20</x:v>
      </x:c>
    </x:row>
    <x:row r="45">
      <x:c r="A45" s="26" t="str">
        <x:v>PUBMED-20876182</x:v>
      </x:c>
      <x:c r="B45" s="28" t="str">
        <x:v>Gender, attention-deficit/hyperactivity disorder, and reading disability in a population-based birth cohort.</x:v>
      </x:c>
      <x:c r="C45" s="28" t="str">
        <x:v>Yoshimasu, Kouichi; Barbaresi, William J; Colligan, Robert C; Killian, Jill M; Voigt, Robert G; Weaver, Amy L; Katusic, Slavica K</x:v>
      </x:c>
      <x:c r="D45" s="28" t="n">
        <x:v>2010</x:v>
      </x:c>
      <x:c r="E45" s="28" t="str">
        <x:v>Pediatrics</x:v>
      </x:c>
      <x:c r="F45" s="28" t="str">
        <x:v>Primary study - cohort</x:v>
      </x:c>
      <x:c r="G45" s="28" t="str">
        <x:v>Development &amp; presentation; Recognition &amp; diagnosis; Family &amp; education; Social &amp; structural; Environmental &amp; lifestyle</x:v>
      </x:c>
      <x:c r="H45" s="28" t="str">
        <x:v>Childhood</x:v>
      </x:c>
      <x:c r="I45" s="28" t="str">
        <x:v>not reported/not verified</x:v>
      </x:c>
      <x:c r="J45" s="28" t="str">
        <x:v>1976-1982</x:v>
      </x:c>
      <x:c r="K45" s="28" t="str">
        <x:v>OBJECTIVE: To determine the incidence of reading disability (RD) among children with and without research-identified attention-deficit/hyperactivity disorder (ADHD), separately according to gender, in a population-based birth cohort.</x:v>
      </x:c>
      <x:c r="L45" s="28" t="str">
        <x:v>10.1542/peds.2010-1187</x:v>
      </x:c>
      <x:c r="M45" s="28" t="str">
        <x:v>20876182</x:v>
      </x:c>
      <x:c r="N45" s="31" t="e">
        <x:f>HYPERLINK("https://pubmed.ncbi.nlm.nih.gov/"&amp;M45&amp;"/","Open PubMed")</x:f>
        <x:v>HYPERLINK is not implemented. linkLocation=https://pubmed.ncbi.nlm.nih.gov/20876182/, friendlyName=Open PubMed</x:v>
      </x:c>
      <x:c r="O45" s="31" t="e">
        <x:f>HYPERLINK("https://pmc.ncbi.nlm.nih.gov/articles/PMC2995945/","Open Full Text")</x:f>
        <x:v>HYPERLINK is not implemented. linkLocation=https://pmc.ncbi.nlm.nih.gov/articles/PMC2995945/, friendlyName=Open Full Text</x:v>
      </x:c>
      <x:c r="P45" s="28" t="str">
        <x:v>abstract only</x:v>
      </x:c>
      <x:c r="Q45" s="28" t="str">
        <x:v>PubMed/MEDLINE export supplied by user | query: not verified from export; see Protocol sheet for reproducible recommended query</x:v>
      </x:c>
      <x:c r="R45" s="28" t="str">
        <x:v>Batch 1 core</x:v>
      </x:c>
      <x:c r="S45" s="28" t="str">
        <x:v>Direct ADHD primary study on diagnosis, family/education, structural conditions, lived experience/outcomes, or environment/lifestyle.</x:v>
      </x:c>
      <x:c r="T45" s="28" t="str">
        <x:v>not apparent from accessed abstract/metadata</x:v>
      </x:c>
      <x:c r="U45" s="28" t="str">
        <x:v>none identified in MEDLINE record</x:v>
      </x:c>
      <x:c r="V45" s="26" t="str">
        <x:v>PMC2995945</x:v>
      </x:c>
      <x:c r="W45" s="28" t="str">
        <x:v>PDF available via PMC (verified free full text)</x:v>
      </x:c>
      <x:c r="X45" s="28" t="str">
        <x:v>Yes — PMC</x:v>
      </x:c>
      <x:c r="Y45" s="31" t="e">
        <x:f>IF(V45="not reported","not reported",HYPERLINK("https://pmc.ncbi.nlm.nih.gov/articles/"&amp;V45&amp;"/","Open Full Text"))</x:f>
        <x:v>HYPERLINK is not implemented. linkLocation=https://pmc.ncbi.nlm.nih.gov/articles/PMC2995945/, friendlyName=Open Full Text</x:v>
      </x:c>
      <x:c r="Z45" s="31" t="e">
        <x:f>IF(L45="not reported","not reported",HYPERLINK("https://doi.org/"&amp;L45,"Open Publisher"))</x:f>
        <x:v>HYPERLINK is not implemented. linkLocation=https://doi.org/10.1542/peds.2010-1187, friendlyName=Open Publisher</x:v>
      </x:c>
      <x:c r="AA45" s="28" t="str">
        <x:v>PMCID PMC2995945 present in the PubMed/MEDLINE record.</x:v>
      </x:c>
      <x:c r="AB45" s="28" t="str">
        <x:v>Open the PMC full-text page and use its PDF button/download option.</x:v>
      </x:c>
      <x:c r="AC45" s="26" t="str">
        <x:v>2026-09-20</x:v>
      </x:c>
    </x:row>
    <x:row r="46">
      <x:c r="A46" s="26" t="str">
        <x:v>PUBMED-21206548</x:v>
      </x:c>
      <x:c r="B46" s="28" t="str">
        <x:v>Differences between objective and subjective sleep measures in children with attention deficit hyperactivity disorder.</x:v>
      </x:c>
      <x:c r="C46" s="28" t="str">
        <x:v>Choi, Jiae; Yoon, In-Young; Kim, Hyo-Won; Chung, Seockhoon; Yoo, Hee Jeong</x:v>
      </x:c>
      <x:c r="D46" s="28" t="n">
        <x:v>2010</x:v>
      </x:c>
      <x:c r="E46" s="28" t="str">
        <x:v>Journal of clinical sleep medicine : JCSM : official publication of the American Academy of Sleep Medicine</x:v>
      </x:c>
      <x:c r="F46" s="28" t="str">
        <x:v>Primary study - case-control</x:v>
      </x:c>
      <x:c r="G46" s="28" t="str">
        <x:v>Development &amp; presentation; Recognition &amp; diagnosis; Family &amp; education; Social &amp; structural; Environmental &amp; lifestyle; Treatment &amp; support; Life outcomes &amp; lived experience</x:v>
      </x:c>
      <x:c r="H46" s="28" t="str">
        <x:v>Childhood; aged 7 to 12 years</x:v>
      </x:c>
      <x:c r="I46" s="28" t="str">
        <x:v>not reported/not verified</x:v>
      </x:c>
      <x:c r="J46" s="28" t="str">
        <x:v>not reported</x:v>
      </x:c>
      <x:c r="K46" s="28" t="str">
        <x:v>STUDY OBJECTIVES: To assess sleep characteristics in children with ADHD through polysomnographic recordings and parental reports of sleep problems.</x:v>
      </x:c>
      <x:c r="L46" s="28" t="str">
        <x:v>not reported</x:v>
      </x:c>
      <x:c r="M46" s="28" t="str">
        <x:v>21206548</x:v>
      </x:c>
      <x:c r="N46" s="31" t="e">
        <x:f>HYPERLINK("https://pubmed.ncbi.nlm.nih.gov/"&amp;M46&amp;"/","Open PubMed")</x:f>
        <x:v>HYPERLINK is not implemented. linkLocation=https://pubmed.ncbi.nlm.nih.gov/21206548/, friendlyName=Open PubMed</x:v>
      </x:c>
      <x:c r="O46" s="31" t="e">
        <x:f>HYPERLINK("https://pmc.ncbi.nlm.nih.gov/articles/PMC3014246/","Open Full Text")</x:f>
        <x:v>HYPERLINK is not implemented. linkLocation=https://pmc.ncbi.nlm.nih.gov/articles/PMC3014246/, friendlyName=Open Full Text</x:v>
      </x:c>
      <x:c r="P46" s="28" t="str">
        <x:v>abstract only</x:v>
      </x:c>
      <x:c r="Q46" s="28" t="str">
        <x:v>PubMed/MEDLINE export supplied by user | query: not verified from export; see Protocol sheet for reproducible recommended query</x:v>
      </x:c>
      <x:c r="R46" s="28" t="str">
        <x:v>Batch 1 core</x:v>
      </x:c>
      <x:c r="S46" s="28" t="str">
        <x:v>Direct ADHD primary study on diagnosis, family/education, structural conditions, lived experience/outcomes, or environment/lifestyle.</x:v>
      </x:c>
      <x:c r="T46" s="28" t="str">
        <x:v>not apparent from accessed abstract/metadata</x:v>
      </x:c>
      <x:c r="U46" s="28" t="str">
        <x:v>none identified in MEDLINE record</x:v>
      </x:c>
      <x:c r="V46" s="26" t="str">
        <x:v>PMC3014246</x:v>
      </x:c>
      <x:c r="W46" s="28" t="str">
        <x:v>PDF available via PMC (verified free full text)</x:v>
      </x:c>
      <x:c r="X46" s="28" t="str">
        <x:v>Yes — PMC</x:v>
      </x:c>
      <x:c r="Y46" s="31" t="e">
        <x:f>IF(V46="not reported","not reported",HYPERLINK("https://pmc.ncbi.nlm.nih.gov/articles/"&amp;V46&amp;"/","Open Full Text"))</x:f>
        <x:v>HYPERLINK is not implemented. linkLocation=https://pmc.ncbi.nlm.nih.gov/articles/PMC3014246/, friendlyName=Open Full Text</x:v>
      </x:c>
      <x:c r="Z46" s="31" t="str">
        <x:f>IF(L46="not reported","not reported",HYPERLINK("https://doi.org/"&amp;L46,"Open Publisher"))</x:f>
        <x:v>not reported</x:v>
      </x:c>
      <x:c r="AA46" s="28" t="str">
        <x:v>PMCID PMC3014246 present in the PubMed/MEDLINE record.</x:v>
      </x:c>
      <x:c r="AB46" s="28" t="str">
        <x:v>Open the PMC full-text page and use its PDF button/download option.</x:v>
      </x:c>
      <x:c r="AC46" s="26" t="str">
        <x:v>2026-09-20</x:v>
      </x:c>
    </x:row>
    <x:row r="47">
      <x:c r="A47" s="26" t="str">
        <x:v>PUBMED-20861590</x:v>
      </x:c>
      <x:c r="B47" s="28" t="str">
        <x:v>Clinical practice guidelines for attention-deficit/hyperactivity disorder: a review.</x:v>
      </x:c>
      <x:c r="C47" s="28" t="str">
        <x:v>Bukstein, Oscar G</x:v>
      </x:c>
      <x:c r="D47" s="28" t="n">
        <x:v>2010</x:v>
      </x:c>
      <x:c r="E47" s="28" t="str">
        <x:v>Postgraduate medicine</x:v>
      </x:c>
      <x:c r="F47" s="28" t="str">
        <x:v>Evidence synthesis - review</x:v>
      </x:c>
      <x:c r="G47" s="28" t="str">
        <x:v>Development &amp; presentation; Recognition &amp; diagnosis; Social &amp; structural; Treatment &amp; support</x:v>
      </x:c>
      <x:c r="H47" s="28" t="str">
        <x:v>Not specified</x:v>
      </x:c>
      <x:c r="I47" s="28" t="str">
        <x:v>not reported/not verified</x:v>
      </x:c>
      <x:c r="J47" s="28" t="str">
        <x:v>not reported</x:v>
      </x:c>
      <x:c r="K47" s="28" t="str">
        <x:v>The prevalence and public health importance of attention-deficit/hyperactivity disorder (ADHD) as well as its impact on public health has led various groups to develop clinical practice guidelines (CPGs).</x:v>
      </x:c>
      <x:c r="L47" s="28" t="str">
        <x:v>10.3810/pgm.2010.09.2203</x:v>
      </x:c>
      <x:c r="M47" s="28" t="str">
        <x:v>20861590</x:v>
      </x:c>
      <x:c r="N47" s="31" t="e">
        <x:f>HYPERLINK("https://pubmed.ncbi.nlm.nih.gov/"&amp;M47&amp;"/","Open PubMed")</x:f>
        <x:v>HYPERLINK is not implemented. linkLocation=https://pubmed.ncbi.nlm.nih.gov/20861590/, friendlyName=Open PubMed</x:v>
      </x:c>
      <x:c r="O47" s="31" t="str">
        <x:v>not reported</x:v>
      </x:c>
      <x:c r="P47" s="28" t="str">
        <x:v>abstract only</x:v>
      </x:c>
      <x:c r="Q47" s="28" t="str">
        <x:v>PubMed/MEDLINE export supplied by user | query: not verified from export; see Protocol sheet for reproducible recommended query</x:v>
      </x:c>
      <x:c r="R47" s="28" t="str">
        <x:v>Batch 1 core</x:v>
      </x:c>
      <x:c r="S47" s="28" t="str">
        <x:v>Direct ADHD evidence synthesis/guideline with broad multi-topic relevance.</x:v>
      </x:c>
      <x:c r="T47" s="28" t="str">
        <x:v>not apparent from accessed abstract/metadata</x:v>
      </x:c>
      <x:c r="U47" s="28" t="str">
        <x:v>none identified in MEDLINE record</x:v>
      </x:c>
      <x:c r="V47" s="26" t="str">
        <x:v>not reported</x:v>
      </x:c>
      <x:c r="W47" s="28" t="str">
        <x:v>No PMC copy identified; publisher PDF/access must be checked</x:v>
      </x:c>
      <x:c r="X47" s="28" t="str">
        <x:v>Not verified</x:v>
      </x:c>
      <x:c r="Y47" s="31" t="str">
        <x:f>IF(V47="not reported","not reported",HYPERLINK("https://pmc.ncbi.nlm.nih.gov/articles/"&amp;V47&amp;"/","Open Full Text"))</x:f>
        <x:v>not reported</x:v>
      </x:c>
      <x:c r="Z47" s="31" t="e">
        <x:f>IF(L47="not reported","not reported",HYPERLINK("https://doi.org/"&amp;L47,"Open Publisher"))</x:f>
        <x:v>HYPERLINK is not implemented. linkLocation=https://doi.org/10.3810/pgm.2010.09.2203, friendlyName=Open Publisher</x:v>
      </x:c>
      <x:c r="AA47" s="28" t="str">
        <x:v>DOI present in PubMed/MEDLINE; no PMCID present.</x:v>
      </x:c>
      <x:c r="AB47" s="28" t="str">
        <x:v>Open the DOI/publisher page. If PDF is paywalled, try Stony Brook Library access, Article Galaxy, or interlibrary loan.</x:v>
      </x:c>
      <x:c r="AC47" s="26" t="str">
        <x:v>2026-09-20</x:v>
      </x:c>
    </x:row>
    <x:row r="48">
      <x:c r="A48" s="26" t="str">
        <x:v>PUBMED-20839896</x:v>
      </x:c>
      <x:c r="B48" s="28" t="str">
        <x:v>The impact of medications on quality of life in attention-deficit hyperactivity disorder: a systematic review.</x:v>
      </x:c>
      <x:c r="C48" s="28" t="str">
        <x:v>Coghill, David</x:v>
      </x:c>
      <x:c r="D48" s="28" t="n">
        <x:v>2010</x:v>
      </x:c>
      <x:c r="E48" s="28" t="str">
        <x:v>CNS drugs</x:v>
      </x:c>
      <x:c r="F48" s="28" t="str">
        <x:v>Evidence synthesis - systematic review</x:v>
      </x:c>
      <x:c r="G48" s="28" t="str">
        <x:v>Development &amp; presentation; Social &amp; structural; Treatment &amp; support; Life outcomes &amp; lived experience</x:v>
      </x:c>
      <x:c r="H48" s="28" t="str">
        <x:v>Childhood; Adolescence; Adulthood</x:v>
      </x:c>
      <x:c r="I48" s="28" t="str">
        <x:v>not reported/not verified</x:v>
      </x:c>
      <x:c r="J48" s="28" t="str">
        <x:v>not reported</x:v>
      </x:c>
      <x:c r="K48" s="28" t="str">
        <x:v>Quality of life (QOL) describes an individual's subjective perception of their position in life as evidenced by their physical, psychological and social functioning.</x:v>
      </x:c>
      <x:c r="L48" s="28" t="str">
        <x:v>10.2165/11537450-000000000-00000</x:v>
      </x:c>
      <x:c r="M48" s="28" t="str">
        <x:v>20839896</x:v>
      </x:c>
      <x:c r="N48" s="31" t="e">
        <x:f>HYPERLINK("https://pubmed.ncbi.nlm.nih.gov/"&amp;M48&amp;"/","Open PubMed")</x:f>
        <x:v>HYPERLINK is not implemented. linkLocation=https://pubmed.ncbi.nlm.nih.gov/20839896/, friendlyName=Open PubMed</x:v>
      </x:c>
      <x:c r="O48" s="31" t="str">
        <x:v>not reported</x:v>
      </x:c>
      <x:c r="P48" s="28" t="str">
        <x:v>abstract only</x:v>
      </x:c>
      <x:c r="Q48" s="28" t="str">
        <x:v>PubMed/MEDLINE export supplied by user | query: not verified from export; see Protocol sheet for reproducible recommended query</x:v>
      </x:c>
      <x:c r="R48" s="28" t="str">
        <x:v>Batch 1 core</x:v>
      </x:c>
      <x:c r="S48" s="28" t="str">
        <x:v>Direct ADHD evidence synthesis/guideline with broad multi-topic relevance.</x:v>
      </x:c>
      <x:c r="T48" s="28" t="str">
        <x:v>not apparent from accessed abstract/metadata</x:v>
      </x:c>
      <x:c r="U48" s="28" t="str">
        <x:v>none identified in MEDLINE record</x:v>
      </x:c>
      <x:c r="V48" s="26" t="str">
        <x:v>not reported</x:v>
      </x:c>
      <x:c r="W48" s="28" t="str">
        <x:v>No PMC copy identified; publisher PDF/access must be checked</x:v>
      </x:c>
      <x:c r="X48" s="28" t="str">
        <x:v>Not verified</x:v>
      </x:c>
      <x:c r="Y48" s="31" t="str">
        <x:f>IF(V48="not reported","not reported",HYPERLINK("https://pmc.ncbi.nlm.nih.gov/articles/"&amp;V48&amp;"/","Open Full Text"))</x:f>
        <x:v>not reported</x:v>
      </x:c>
      <x:c r="Z48" s="31" t="e">
        <x:f>IF(L48="not reported","not reported",HYPERLINK("https://doi.org/"&amp;L48,"Open Publisher"))</x:f>
        <x:v>HYPERLINK is not implemented. linkLocation=https://doi.org/10.2165/11537450-000000000-00000, friendlyName=Open Publisher</x:v>
      </x:c>
      <x:c r="AA48" s="28" t="str">
        <x:v>DOI present in PubMed/MEDLINE; no PMCID present.</x:v>
      </x:c>
      <x:c r="AB48" s="28" t="str">
        <x:v>Open the DOI/publisher page. If PDF is paywalled, try Stony Brook Library access, Article Galaxy, or interlibrary loan.</x:v>
      </x:c>
      <x:c r="AC48" s="26" t="str">
        <x:v>2026-09-20</x:v>
      </x:c>
    </x:row>
    <x:row r="49">
      <x:c r="A49" s="26" t="str">
        <x:v>PUBMED-21432591</x:v>
      </x:c>
      <x:c r="B49" s="28" t="str">
        <x:v>Therapy-relevant factors in adult ADHD from a cognitive behavioural perspective.</x:v>
      </x:c>
      <x:c r="C49" s="28" t="str">
        <x:v>Newark, Patricia Elizabeth; Stieglitz, Rolf-Dieter</x:v>
      </x:c>
      <x:c r="D49" s="28" t="n">
        <x:v>2010</x:v>
      </x:c>
      <x:c r="E49" s="28" t="str">
        <x:v>Attention deficit and hyperactivity disorders</x:v>
      </x:c>
      <x:c r="F49" s="28" t="str">
        <x:v>Evidence synthesis - review</x:v>
      </x:c>
      <x:c r="G49" s="28" t="str">
        <x:v>Development &amp; presentation; Social &amp; structural; Environmental &amp; lifestyle; Treatment &amp; support; Life outcomes &amp; lived experience</x:v>
      </x:c>
      <x:c r="H49" s="28" t="str">
        <x:v>Childhood; Adulthood</x:v>
      </x:c>
      <x:c r="I49" s="28" t="str">
        <x:v>not reported/not verified</x:v>
      </x:c>
      <x:c r="J49" s="28" t="str">
        <x:v>not reported</x:v>
      </x:c>
      <x:c r="K49" s="28" t="str">
        <x:v>The purpose of this paper is to illuminate these interactive factors that influence the aforementioned cycle in order to emphasize the cognitive behavioural interventions tailored to those factors on the basis of latest research.</x:v>
      </x:c>
      <x:c r="L49" s="28" t="str">
        <x:v>10.1007/s12402-010-0023-1</x:v>
      </x:c>
      <x:c r="M49" s="28" t="str">
        <x:v>21432591</x:v>
      </x:c>
      <x:c r="N49" s="31" t="e">
        <x:f>HYPERLINK("https://pubmed.ncbi.nlm.nih.gov/"&amp;M49&amp;"/","Open PubMed")</x:f>
        <x:v>HYPERLINK is not implemented. linkLocation=https://pubmed.ncbi.nlm.nih.gov/21432591/, friendlyName=Open PubMed</x:v>
      </x:c>
      <x:c r="O49" s="31" t="str">
        <x:v>not reported</x:v>
      </x:c>
      <x:c r="P49" s="28" t="str">
        <x:v>abstract only</x:v>
      </x:c>
      <x:c r="Q49" s="28" t="str">
        <x:v>PubMed/MEDLINE export supplied by user | query: not verified from export; see Protocol sheet for reproducible recommended query</x:v>
      </x:c>
      <x:c r="R49" s="28" t="str">
        <x:v>Batch 1 core</x:v>
      </x:c>
      <x:c r="S49" s="28" t="str">
        <x:v>Direct ADHD evidence synthesis/guideline with broad multi-topic relevance.</x:v>
      </x:c>
      <x:c r="T49" s="28" t="str">
        <x:v>not apparent from accessed abstract/metadata</x:v>
      </x:c>
      <x:c r="U49" s="28" t="str">
        <x:v>none identified in MEDLINE record</x:v>
      </x:c>
      <x:c r="V49" s="26" t="str">
        <x:v>not reported</x:v>
      </x:c>
      <x:c r="W49" s="28" t="str">
        <x:v>No PMC copy identified; publisher PDF/access must be checked</x:v>
      </x:c>
      <x:c r="X49" s="28" t="str">
        <x:v>Not verified</x:v>
      </x:c>
      <x:c r="Y49" s="31" t="str">
        <x:f>IF(V49="not reported","not reported",HYPERLINK("https://pmc.ncbi.nlm.nih.gov/articles/"&amp;V49&amp;"/","Open Full Text"))</x:f>
        <x:v>not reported</x:v>
      </x:c>
      <x:c r="Z49" s="31" t="e">
        <x:f>IF(L49="not reported","not reported",HYPERLINK("https://doi.org/"&amp;L49,"Open Publisher"))</x:f>
        <x:v>HYPERLINK is not implemented. linkLocation=https://doi.org/10.1007/s12402-010-0023-1, friendlyName=Open Publisher</x:v>
      </x:c>
      <x:c r="AA49" s="28" t="str">
        <x:v>DOI present in PubMed/MEDLINE; no PMCID present.</x:v>
      </x:c>
      <x:c r="AB49" s="28" t="str">
        <x:v>Open the DOI/publisher page. If PDF is paywalled, try Stony Brook Library access, Article Galaxy, or interlibrary loan.</x:v>
      </x:c>
      <x:c r="AC49" s="26" t="str">
        <x:v>2026-09-20</x:v>
      </x:c>
    </x:row>
    <x:row r="50">
      <x:c r="A50" s="26" t="str">
        <x:v>PUBMED-20817551</x:v>
      </x:c>
      <x:c r="B50" s="28" t="str">
        <x:v>Sleep disorders and daytime sleepiness in children with attention-deficit/hyperactivity disorder: a two-night polysomnographic study with a multiple sleep latency test.</x:v>
      </x:c>
      <x:c r="C50" s="28" t="str">
        <x:v>Prihodova, Iva; Paclt, Ivo; Kemlink, David; Skibova, Jelena; Ptacek, Radek; Nevsimalova, Sona</x:v>
      </x:c>
      <x:c r="D50" s="28" t="n">
        <x:v>2010</x:v>
      </x:c>
      <x:c r="E50" s="28" t="str">
        <x:v>Sleep medicine</x:v>
      </x:c>
      <x:c r="F50" s="28" t="str">
        <x:v>Primary study - case-control</x:v>
      </x:c>
      <x:c r="G50" s="28" t="str">
        <x:v>Development &amp; presentation; Recognition &amp; diagnosis; Family &amp; education; Social &amp; structural; Environmental &amp; lifestyle; Treatment &amp; support</x:v>
      </x:c>
      <x:c r="H50" s="28" t="str">
        <x:v>Childhood; age range 6-12 years</x:v>
      </x:c>
      <x:c r="I50" s="28" t="str">
        <x:v>not reported/not verified</x:v>
      </x:c>
      <x:c r="J50" s="28" t="str">
        <x:v>not reported</x:v>
      </x:c>
      <x:c r="K50" s="28" t="str">
        <x:v>OBJECTIVE: To evaluate sleep macrostructure, sleep disorders incidence and daytime sleepiness in attention-deficit/hyperactivity disorder (ADHD) affected children compared with controls.</x:v>
      </x:c>
      <x:c r="L50" s="28" t="str">
        <x:v>10.1016/j.sleep.2010.03.017</x:v>
      </x:c>
      <x:c r="M50" s="28" t="str">
        <x:v>20817551</x:v>
      </x:c>
      <x:c r="N50" s="31" t="e">
        <x:f>HYPERLINK("https://pubmed.ncbi.nlm.nih.gov/"&amp;M50&amp;"/","Open PubMed")</x:f>
        <x:v>HYPERLINK is not implemented. linkLocation=https://pubmed.ncbi.nlm.nih.gov/20817551/, friendlyName=Open PubMed</x:v>
      </x:c>
      <x:c r="O50" s="31" t="str">
        <x:v>not reported</x:v>
      </x:c>
      <x:c r="P50" s="28" t="str">
        <x:v>abstract only</x:v>
      </x:c>
      <x:c r="Q50" s="28" t="str">
        <x:v>PubMed/MEDLINE export supplied by user | query: not verified from export; see Protocol sheet for reproducible recommended query</x:v>
      </x:c>
      <x:c r="R50" s="28" t="str">
        <x:v>Batch 1 core</x:v>
      </x:c>
      <x:c r="S50" s="28" t="str">
        <x:v>Direct ADHD primary study on diagnosis, family/education, structural conditions, lived experience/outcomes, or environment/lifestyle.</x:v>
      </x:c>
      <x:c r="T50" s="28" t="str">
        <x:v>not apparent from accessed abstract/metadata</x:v>
      </x:c>
      <x:c r="U50" s="28" t="str">
        <x:v>none identified in MEDLINE record</x:v>
      </x:c>
      <x:c r="V50" s="26" t="str">
        <x:v>not reported</x:v>
      </x:c>
      <x:c r="W50" s="28" t="str">
        <x:v>No PMC copy identified; publisher PDF/access must be checked</x:v>
      </x:c>
      <x:c r="X50" s="28" t="str">
        <x:v>Not verified</x:v>
      </x:c>
      <x:c r="Y50" s="31" t="str">
        <x:f>IF(V50="not reported","not reported",HYPERLINK("https://pmc.ncbi.nlm.nih.gov/articles/"&amp;V50&amp;"/","Open Full Text"))</x:f>
        <x:v>not reported</x:v>
      </x:c>
      <x:c r="Z50" s="31" t="e">
        <x:f>IF(L50="not reported","not reported",HYPERLINK("https://doi.org/"&amp;L50,"Open Publisher"))</x:f>
        <x:v>HYPERLINK is not implemented. linkLocation=https://doi.org/10.1016/j.sleep.2010.03.017, friendlyName=Open Publisher</x:v>
      </x:c>
      <x:c r="AA50" s="28" t="str">
        <x:v>DOI present in PubMed/MEDLINE; no PMCID present.</x:v>
      </x:c>
      <x:c r="AB50" s="28" t="str">
        <x:v>Open the DOI/publisher page. If PDF is paywalled, try Stony Brook Library access, Article Galaxy, or interlibrary loan.</x:v>
      </x:c>
      <x:c r="AC50" s="26" t="str">
        <x:v>2026-09-20</x:v>
      </x:c>
    </x:row>
    <x:row r="51">
      <x:c r="A51" s="26" t="str">
        <x:v>PUBMED-20925475</x:v>
      </x:c>
      <x:c r="B51" s="28" t="str">
        <x:v>An 'integrative neuroscience' perspective on ADHD: linking cognition, emotion, brain and genetic measures with implications for clinical support.</x:v>
      </x:c>
      <x:c r="C51" s="28" t="str">
        <x:v>Williams, Leanne M; Tsang, Tracey W; Clarke, Simon; Kohn, Michael</x:v>
      </x:c>
      <x:c r="D51" s="28" t="n">
        <x:v>2010</x:v>
      </x:c>
      <x:c r="E51" s="28" t="str">
        <x:v>Expert review of neurotherapeutics</x:v>
      </x:c>
      <x:c r="F51" s="28" t="str">
        <x:v>Evidence synthesis - review</x:v>
      </x:c>
      <x:c r="G51" s="28" t="str">
        <x:v>Development &amp; presentation; Recognition &amp; diagnosis; Social &amp; structural; Treatment &amp; support; Life outcomes &amp; lived experience</x:v>
      </x:c>
      <x:c r="H51" s="28" t="str">
        <x:v>Childhood; Adolescence; Adulthood</x:v>
      </x:c>
      <x:c r="I51" s="28" t="str">
        <x:v>not reported/not verified</x:v>
      </x:c>
      <x:c r="J51" s="28" t="str">
        <x:v>not reported</x:v>
      </x:c>
      <x:c r="K51" s="28" t="str">
        <x:v>There remains a translational gap between research findings and their implementation in clinical practice that applies to attention-deficit/hyperactivity disorder (ADHD), as well as to other major disorders of brain health in childhood, adolescence and adulthood.</x:v>
      </x:c>
      <x:c r="L51" s="28" t="str">
        <x:v>10.1586/ern.10.140</x:v>
      </x:c>
      <x:c r="M51" s="28" t="str">
        <x:v>20925475</x:v>
      </x:c>
      <x:c r="N51" s="31" t="e">
        <x:f>HYPERLINK("https://pubmed.ncbi.nlm.nih.gov/"&amp;M51&amp;"/","Open PubMed")</x:f>
        <x:v>HYPERLINK is not implemented. linkLocation=https://pubmed.ncbi.nlm.nih.gov/20925475/, friendlyName=Open PubMed</x:v>
      </x:c>
      <x:c r="O51" s="31" t="str">
        <x:v>not reported</x:v>
      </x:c>
      <x:c r="P51" s="28" t="str">
        <x:v>abstract only</x:v>
      </x:c>
      <x:c r="Q51" s="28" t="str">
        <x:v>PubMed/MEDLINE export supplied by user | query: not verified from export; see Protocol sheet for reproducible recommended query</x:v>
      </x:c>
      <x:c r="R51" s="28" t="str">
        <x:v>Batch 1 core</x:v>
      </x:c>
      <x:c r="S51" s="28" t="str">
        <x:v>Direct ADHD evidence synthesis/guideline with broad multi-topic relevance.</x:v>
      </x:c>
      <x:c r="T51" s="28" t="str">
        <x:v>not apparent from accessed abstract/metadata</x:v>
      </x:c>
      <x:c r="U51" s="28" t="str">
        <x:v>none identified in MEDLINE record</x:v>
      </x:c>
      <x:c r="V51" s="26" t="str">
        <x:v>not reported</x:v>
      </x:c>
      <x:c r="W51" s="28" t="str">
        <x:v>No PMC copy identified; publisher PDF/access must be checked</x:v>
      </x:c>
      <x:c r="X51" s="28" t="str">
        <x:v>Not verified</x:v>
      </x:c>
      <x:c r="Y51" s="31" t="str">
        <x:f>IF(V51="not reported","not reported",HYPERLINK("https://pmc.ncbi.nlm.nih.gov/articles/"&amp;V51&amp;"/","Open Full Text"))</x:f>
        <x:v>not reported</x:v>
      </x:c>
      <x:c r="Z51" s="31" t="e">
        <x:f>IF(L51="not reported","not reported",HYPERLINK("https://doi.org/"&amp;L51,"Open Publisher"))</x:f>
        <x:v>HYPERLINK is not implemented. linkLocation=https://doi.org/10.1586/ern.10.140, friendlyName=Open Publisher</x:v>
      </x:c>
      <x:c r="AA51" s="28" t="str">
        <x:v>DOI present in PubMed/MEDLINE; no PMCID present.</x:v>
      </x:c>
      <x:c r="AB51" s="28" t="str">
        <x:v>Open the DOI/publisher page. If PDF is paywalled, try Stony Brook Library access, Article Galaxy, or interlibrary loan.</x:v>
      </x:c>
      <x:c r="AC51" s="26" t="str">
        <x:v>2026-09-20</x:v>
      </x:c>
    </x:row>
    <x:row r="52">
      <x:c r="A52" s="26" t="str">
        <x:v>PUBMED-21766545</x:v>
      </x:c>
      <x:c r="B52" s="28" t="str">
        <x:v>Effectiveness of nutritional interventions on the functioning of children with ADHD and/or ASD. An updated review of research evidence.</x:v>
      </x:c>
      <x:c r="C52" s="28" t="str">
        <x:v>Martí, Luis F</x:v>
      </x:c>
      <x:c r="D52" s="28" t="n">
        <x:v>2010</x:v>
      </x:c>
      <x:c r="E52" s="28" t="str">
        <x:v>Boletin de la Asociacion Medica de Puerto Rico</x:v>
      </x:c>
      <x:c r="F52" s="28" t="str">
        <x:v>Evidence synthesis - review</x:v>
      </x:c>
      <x:c r="G52" s="28" t="str">
        <x:v>Development &amp; presentation; Family &amp; education; Social &amp; structural; Environmental &amp; lifestyle; Treatment &amp; support; Life outcomes &amp; lived experience</x:v>
      </x:c>
      <x:c r="H52" s="28" t="str">
        <x:v>Childhood; Adolescence</x:v>
      </x:c>
      <x:c r="I52" s="28" t="str">
        <x:v>not reported/not verified</x:v>
      </x:c>
      <x:c r="J52" s="28" t="str">
        <x:v>not reported</x:v>
      </x:c>
      <x:c r="K52" s="28" t="str">
        <x:v>Attention deficit - hyperactivity disorder (ADHD) is the most common neurodevelopmental disorder of childhood and comprises a range of behavioral problems, including inattention, impulsivity and hyperactivity.</x:v>
      </x:c>
      <x:c r="L52" s="28" t="str">
        <x:v>not reported</x:v>
      </x:c>
      <x:c r="M52" s="28" t="str">
        <x:v>21766545</x:v>
      </x:c>
      <x:c r="N52" s="31" t="e">
        <x:f>HYPERLINK("https://pubmed.ncbi.nlm.nih.gov/"&amp;M52&amp;"/","Open PubMed")</x:f>
        <x:v>HYPERLINK is not implemented. linkLocation=https://pubmed.ncbi.nlm.nih.gov/21766545/, friendlyName=Open PubMed</x:v>
      </x:c>
      <x:c r="O52" s="31" t="str">
        <x:v>not reported</x:v>
      </x:c>
      <x:c r="P52" s="28" t="str">
        <x:v>abstract only</x:v>
      </x:c>
      <x:c r="Q52" s="28" t="str">
        <x:v>PubMed/MEDLINE export supplied by user | query: not verified from export; see Protocol sheet for reproducible recommended query</x:v>
      </x:c>
      <x:c r="R52" s="28" t="str">
        <x:v>Batch 1 core</x:v>
      </x:c>
      <x:c r="S52" s="28" t="str">
        <x:v>Direct ADHD evidence synthesis/guideline with broad multi-topic relevance.</x:v>
      </x:c>
      <x:c r="T52" s="28" t="str">
        <x:v>not apparent from accessed abstract/metadata</x:v>
      </x:c>
      <x:c r="U52" s="28" t="str">
        <x:v>none identified in MEDLINE record</x:v>
      </x:c>
      <x:c r="V52" s="26" t="str">
        <x:v>not reported</x:v>
      </x:c>
      <x:c r="W52" s="28" t="str">
        <x:v>No direct PDF/full-text identifier found in PubMed metadata</x:v>
      </x:c>
      <x:c r="X52" s="28" t="str">
        <x:v>Not verified</x:v>
      </x:c>
      <x:c r="Y52" s="31" t="str">
        <x:f>IF(V52="not reported","not reported",HYPERLINK("https://pmc.ncbi.nlm.nih.gov/articles/"&amp;V52&amp;"/","Open Full Text"))</x:f>
        <x:v>not reported</x:v>
      </x:c>
      <x:c r="Z52" s="31" t="str">
        <x:f>IF(L52="not reported","not reported",HYPERLINK("https://doi.org/"&amp;L52,"Open Publisher"))</x:f>
        <x:v>not reported</x:v>
      </x:c>
      <x:c r="AA52" s="28" t="str">
        <x:v>No PMCID or DOI present in the supplied PubMed/MEDLINE record.</x:v>
      </x:c>
      <x:c r="AB52" s="28" t="str">
        <x:v>Search the exact title/PMID in Stony Brook Library; if unavailable, request via interlibrary loan/document delivery.</x:v>
      </x:c>
      <x:c r="AC52" s="26" t="str">
        <x:v>2026-09-20</x:v>
      </x:c>
    </x:row>
    <x:row r="53">
      <x:c r="A53" s="26" t="str">
        <x:v>PUBMED-21133329</x:v>
      </x:c>
      <x:c r="B53" s="28" t="str">
        <x:v>Speeding through the frat house: a qualitative exploration of nonmedical ADHD stimulant use in fraternities.</x:v>
      </x:c>
      <x:c r="C53" s="28" t="str">
        <x:v>DeSantis, Alan; Noar, Seth M; Webb, Elizabeth M</x:v>
      </x:c>
      <x:c r="D53" s="28" t="n">
        <x:v>2010</x:v>
      </x:c>
      <x:c r="E53" s="28" t="str">
        <x:v>Journal of drug education</x:v>
      </x:c>
      <x:c r="F53" s="28" t="str">
        <x:v>Primary study - qualitative</x:v>
      </x:c>
      <x:c r="G53" s="28" t="str">
        <x:v>Development &amp; presentation; Family &amp; education; Social &amp; structural; Environmental &amp; lifestyle; Treatment &amp; support; Life outcomes &amp; lived experience</x:v>
      </x:c>
      <x:c r="H53" s="28" t="str">
        <x:v>Not specified</x:v>
      </x:c>
      <x:c r="I53" s="28" t="str">
        <x:v>not reported/not verified</x:v>
      </x:c>
      <x:c r="J53" s="28" t="str">
        <x:v>not reported</x:v>
      </x:c>
      <x:c r="K53" s="28" t="str">
        <x:v>Qualitative methods were used to investigate the use of nonmedical Attention Deficit Hyperactivity Disorder (ADHD) stimulants by fraternity members.</x:v>
      </x:c>
      <x:c r="L53" s="28" t="str">
        <x:v>10.2190/DE.40.2.d</x:v>
      </x:c>
      <x:c r="M53" s="28" t="str">
        <x:v>21133329</x:v>
      </x:c>
      <x:c r="N53" s="31" t="e">
        <x:f>HYPERLINK("https://pubmed.ncbi.nlm.nih.gov/"&amp;M53&amp;"/","Open PubMed")</x:f>
        <x:v>HYPERLINK is not implemented. linkLocation=https://pubmed.ncbi.nlm.nih.gov/21133329/, friendlyName=Open PubMed</x:v>
      </x:c>
      <x:c r="O53" s="31" t="str">
        <x:v>not reported</x:v>
      </x:c>
      <x:c r="P53" s="28" t="str">
        <x:v>abstract only</x:v>
      </x:c>
      <x:c r="Q53" s="28" t="str">
        <x:v>PubMed/MEDLINE export supplied by user | query: not verified from export; see Protocol sheet for reproducible recommended query</x:v>
      </x:c>
      <x:c r="R53" s="28" t="str">
        <x:v>Batch 1 core</x:v>
      </x:c>
      <x:c r="S53" s="28" t="str">
        <x:v>Direct ADHD primary study on diagnosis, family/education, structural conditions, lived experience/outcomes, or environment/lifestyle.</x:v>
      </x:c>
      <x:c r="T53" s="28" t="str">
        <x:v>not apparent from accessed abstract/metadata</x:v>
      </x:c>
      <x:c r="U53" s="28" t="str">
        <x:v>none identified in MEDLINE record</x:v>
      </x:c>
      <x:c r="V53" s="26" t="str">
        <x:v>not reported</x:v>
      </x:c>
      <x:c r="W53" s="28" t="str">
        <x:v>No PMC copy identified; publisher PDF/access must be checked</x:v>
      </x:c>
      <x:c r="X53" s="28" t="str">
        <x:v>Not verified</x:v>
      </x:c>
      <x:c r="Y53" s="31" t="str">
        <x:f>IF(V53="not reported","not reported",HYPERLINK("https://pmc.ncbi.nlm.nih.gov/articles/"&amp;V53&amp;"/","Open Full Text"))</x:f>
        <x:v>not reported</x:v>
      </x:c>
      <x:c r="Z53" s="31" t="e">
        <x:f>IF(L53="not reported","not reported",HYPERLINK("https://doi.org/"&amp;L53,"Open Publisher"))</x:f>
        <x:v>HYPERLINK is not implemented. linkLocation=https://doi.org/10.2190/DE.40.2.d, friendlyName=Open Publisher</x:v>
      </x:c>
      <x:c r="AA53" s="28" t="str">
        <x:v>DOI present in PubMed/MEDLINE; no PMCID present.</x:v>
      </x:c>
      <x:c r="AB53" s="28" t="str">
        <x:v>Open the DOI/publisher page. If PDF is paywalled, try Stony Brook Library access, Article Galaxy, or interlibrary loan.</x:v>
      </x:c>
      <x:c r="AC53" s="26" t="str">
        <x:v>2026-09-20</x:v>
      </x:c>
    </x:row>
    <x:row r="54">
      <x:c r="A54" s="26" t="str">
        <x:v>PUBMED-21432603</x:v>
      </x:c>
      <x:c r="B54" s="28" t="str">
        <x:v>The quality of life of children and adolescents with ADHD undergoing outpatient psychiatric treatment: simple disorders of activity and attention and hyperkinetic conduct disorders in comparison with each other and with other diagnostic groups.</x:v>
      </x:c>
      <x:c r="C54" s="28" t="str">
        <x:v>Remschmidt, Helmut; Mattejat, Fritz</x:v>
      </x:c>
      <x:c r="D54" s="28" t="n">
        <x:v>2010</x:v>
      </x:c>
      <x:c r="E54" s="28" t="str">
        <x:v>Attention deficit and hyperactivity disorders</x:v>
      </x:c>
      <x:c r="F54" s="28" t="str">
        <x:v>Primary study - cross-sectional</x:v>
      </x:c>
      <x:c r="G54" s="28" t="str">
        <x:v>Development &amp; presentation; Recognition &amp; diagnosis; Family &amp; education; Social &amp; structural; Environmental &amp; lifestyle; Treatment &amp; support; Life outcomes &amp; lived experience</x:v>
      </x:c>
      <x:c r="H54" s="28" t="str">
        <x:v>Childhood; Adolescence</x:v>
      </x:c>
      <x:c r="I54" s="28" t="str">
        <x:v>Setting (MeSH): Outpatients</x:v>
      </x:c>
      <x:c r="J54" s="28" t="str">
        <x:v>not reported</x:v>
      </x:c>
      <x:c r="K54" s="28" t="str">
        <x:v>(1) How does the quality of life of patients with ADHD treated in an ambulatory care setting compare to that of other patient groups in child and adolescent psychiatry? (2) Can differences in the quality of life be demonstrated between patients with simple disorders of activity and attention and those with hyperkinetic conduct disorders? (3) How does the quality of life in these patient groups change over one year of treatment?</x:v>
      </x:c>
      <x:c r="L54" s="28" t="str">
        <x:v>10.1007/s12402-010-0036-9</x:v>
      </x:c>
      <x:c r="M54" s="28" t="str">
        <x:v>21432603</x:v>
      </x:c>
      <x:c r="N54" s="31" t="e">
        <x:f>HYPERLINK("https://pubmed.ncbi.nlm.nih.gov/"&amp;M54&amp;"/","Open PubMed")</x:f>
        <x:v>HYPERLINK is not implemented. linkLocation=https://pubmed.ncbi.nlm.nih.gov/21432603/, friendlyName=Open PubMed</x:v>
      </x:c>
      <x:c r="O54" s="31" t="str">
        <x:v>not reported</x:v>
      </x:c>
      <x:c r="P54" s="28" t="str">
        <x:v>abstract only</x:v>
      </x:c>
      <x:c r="Q54" s="28" t="str">
        <x:v>PubMed/MEDLINE export supplied by user | query: not verified from export; see Protocol sheet for reproducible recommended query</x:v>
      </x:c>
      <x:c r="R54" s="28" t="str">
        <x:v>Batch 1 core</x:v>
      </x:c>
      <x:c r="S54" s="28" t="str">
        <x:v>Direct ADHD primary study on diagnosis, family/education, structural conditions, lived experience/outcomes, or environment/lifestyle.</x:v>
      </x:c>
      <x:c r="T54" s="28" t="str">
        <x:v>not apparent from accessed abstract/metadata</x:v>
      </x:c>
      <x:c r="U54" s="28" t="str">
        <x:v>none identified in MEDLINE record</x:v>
      </x:c>
      <x:c r="V54" s="26" t="str">
        <x:v>not reported</x:v>
      </x:c>
      <x:c r="W54" s="28" t="str">
        <x:v>No PMC copy identified; publisher PDF/access must be checked</x:v>
      </x:c>
      <x:c r="X54" s="28" t="str">
        <x:v>Not verified</x:v>
      </x:c>
      <x:c r="Y54" s="31" t="str">
        <x:f>IF(V54="not reported","not reported",HYPERLINK("https://pmc.ncbi.nlm.nih.gov/articles/"&amp;V54&amp;"/","Open Full Text"))</x:f>
        <x:v>not reported</x:v>
      </x:c>
      <x:c r="Z54" s="31" t="e">
        <x:f>IF(L54="not reported","not reported",HYPERLINK("https://doi.org/"&amp;L54,"Open Publisher"))</x:f>
        <x:v>HYPERLINK is not implemented. linkLocation=https://doi.org/10.1007/s12402-010-0036-9, friendlyName=Open Publisher</x:v>
      </x:c>
      <x:c r="AA54" s="28" t="str">
        <x:v>DOI present in PubMed/MEDLINE; no PMCID present.</x:v>
      </x:c>
      <x:c r="AB54" s="28" t="str">
        <x:v>Open the DOI/publisher page. If PDF is paywalled, try Stony Brook Library access, Article Galaxy, or interlibrary loan.</x:v>
      </x:c>
      <x:c r="AC54" s="26" t="str">
        <x:v>2026-09-20</x:v>
      </x:c>
    </x:row>
    <x:row r="55">
      <x:c r="A55" s="26" t="str">
        <x:v>PUBMED-21095960</x:v>
      </x:c>
      <x:c r="B55" s="28" t="str">
        <x:v>Assisted diagnosis of attention-deficit hyperactivity disorder through EEG bandpower clustering with self-organizing maps.</x:v>
      </x:c>
      <x:c r="C55" s="28" t="str">
        <x:v>Alba-Sanchez, Federico; Yanez-Suarez, Oscar; Brust-Carmona, Hector</x:v>
      </x:c>
      <x:c r="D55" s="28" t="n">
        <x:v>2010</x:v>
      </x:c>
      <x:c r="E55" s="28" t="str">
        <x:v>Annual International Conference of the IEEE Engineering in Medicine and Biology Society. IEEE Engineering in Medicine and Biology Society. Annual International Conference</x:v>
      </x:c>
      <x:c r="F55" s="28" t="str">
        <x:v>Primary study - case-control</x:v>
      </x:c>
      <x:c r="G55" s="28" t="str">
        <x:v>Development &amp; presentation; Recognition &amp; diagnosis; Social &amp; structural</x:v>
      </x:c>
      <x:c r="H55" s="28" t="str">
        <x:v>Childhood</x:v>
      </x:c>
      <x:c r="I55" s="28" t="str">
        <x:v>not reported/not verified</x:v>
      </x:c>
      <x:c r="J55" s="28" t="str">
        <x:v>not reported</x:v>
      </x:c>
      <x:c r="K55" s="28" t="str">
        <x:v>This paper focuses in the design and implementation of a computer-aided diagnostic tool for establishing the likelihood of presence of Attention-Deficit Hyperactivity Disorder in children, out of routine electroencephalographic recordings obtained during a specific visual stimulation protocol.</x:v>
      </x:c>
      <x:c r="L55" s="28" t="str">
        <x:v>10.1109/IEMBS.2010.5626360</x:v>
      </x:c>
      <x:c r="M55" s="28" t="str">
        <x:v>21095960</x:v>
      </x:c>
      <x:c r="N55" s="31" t="e">
        <x:f>HYPERLINK("https://pubmed.ncbi.nlm.nih.gov/"&amp;M55&amp;"/","Open PubMed")</x:f>
        <x:v>HYPERLINK is not implemented. linkLocation=https://pubmed.ncbi.nlm.nih.gov/21095960/, friendlyName=Open PubMed</x:v>
      </x:c>
      <x:c r="O55" s="31" t="str">
        <x:v>not reported</x:v>
      </x:c>
      <x:c r="P55" s="28" t="str">
        <x:v>abstract only</x:v>
      </x:c>
      <x:c r="Q55" s="28" t="str">
        <x:v>PubMed/MEDLINE export supplied by user | query: not verified from export; see Protocol sheet for reproducible recommended query</x:v>
      </x:c>
      <x:c r="R55" s="28" t="str">
        <x:v>Batch 1 core</x:v>
      </x:c>
      <x:c r="S55" s="28" t="str">
        <x:v>Direct ADHD primary study on diagnosis, family/education, structural conditions, lived experience/outcomes, or environment/lifestyle.</x:v>
      </x:c>
      <x:c r="T55" s="28" t="str">
        <x:v>not apparent from accessed abstract/metadata</x:v>
      </x:c>
      <x:c r="U55" s="28" t="str">
        <x:v>none identified in MEDLINE record</x:v>
      </x:c>
      <x:c r="V55" s="26" t="str">
        <x:v>not reported</x:v>
      </x:c>
      <x:c r="W55" s="28" t="str">
        <x:v>No PMC copy identified; publisher PDF/access must be checked</x:v>
      </x:c>
      <x:c r="X55" s="28" t="str">
        <x:v>Not verified</x:v>
      </x:c>
      <x:c r="Y55" s="31" t="str">
        <x:f>IF(V55="not reported","not reported",HYPERLINK("https://pmc.ncbi.nlm.nih.gov/articles/"&amp;V55&amp;"/","Open Full Text"))</x:f>
        <x:v>not reported</x:v>
      </x:c>
      <x:c r="Z55" s="31" t="e">
        <x:f>IF(L55="not reported","not reported",HYPERLINK("https://doi.org/"&amp;L55,"Open Publisher"))</x:f>
        <x:v>HYPERLINK is not implemented. linkLocation=https://doi.org/10.1109/IEMBS.2010.5626360, friendlyName=Open Publisher</x:v>
      </x:c>
      <x:c r="AA55" s="28" t="str">
        <x:v>DOI present in PubMed/MEDLINE; no PMCID present.</x:v>
      </x:c>
      <x:c r="AB55" s="28" t="str">
        <x:v>Open the DOI/publisher page. If PDF is paywalled, try Stony Brook Library access, Article Galaxy, or interlibrary loan.</x:v>
      </x:c>
      <x:c r="AC55" s="26" t="str">
        <x:v>2026-09-20</x:v>
      </x:c>
    </x:row>
    <x:row r="56">
      <x:c r="A56" s="26" t="str">
        <x:v>PUBMED-20814340</x:v>
      </x:c>
      <x:c r="B56" s="28" t="str">
        <x:v>Associations between sleep and inattentive/hyperactive problem behavior among foster and community children.</x:v>
      </x:c>
      <x:c r="C56" s="28" t="str">
        <x:v>Tininenko, Jennifer R; Fisher, Philip A; Bruce, Jacqueline; Pears, Katherine C</x:v>
      </x:c>
      <x:c r="D56" s="28" t="n">
        <x:v>2010</x:v>
      </x:c>
      <x:c r="E56" s="28" t="str">
        <x:v>Journal of developmental and behavioral pediatrics : JDBP</x:v>
      </x:c>
      <x:c r="F56" s="28" t="str">
        <x:v>Primary study - case-control</x:v>
      </x:c>
      <x:c r="G56" s="28" t="str">
        <x:v>Development &amp; presentation; Recognition &amp; diagnosis; Family &amp; education; Social &amp; structural; Environmental &amp; lifestyle; Treatment &amp; support; Life outcomes &amp; lived experience</x:v>
      </x:c>
      <x:c r="H56" s="28" t="str">
        <x:v>Childhood; aged 5-7 years</x:v>
      </x:c>
      <x:c r="I56" s="28" t="str">
        <x:v>not reported/not verified</x:v>
      </x:c>
      <x:c r="J56" s="28" t="str">
        <x:v>not reported</x:v>
      </x:c>
      <x:c r="K56" s="28" t="str">
        <x:v>OBJECTIVE: Sleep disruption has been linked to numerous neural regulatory problems and problems with social emotional and behavioral functioning, and researchers have shown that sleep disruption is prominent in children with symptoms of attention-deficit hyperactivity disorder.</x:v>
      </x:c>
      <x:c r="L56" s="28" t="str">
        <x:v>10.1097/DBP.0b013e3181f1773b</x:v>
      </x:c>
      <x:c r="M56" s="28" t="str">
        <x:v>20814340</x:v>
      </x:c>
      <x:c r="N56" s="31" t="e">
        <x:f>HYPERLINK("https://pubmed.ncbi.nlm.nih.gov/"&amp;M56&amp;"/","Open PubMed")</x:f>
        <x:v>HYPERLINK is not implemented. linkLocation=https://pubmed.ncbi.nlm.nih.gov/20814340/, friendlyName=Open PubMed</x:v>
      </x:c>
      <x:c r="O56" s="31" t="e">
        <x:f>HYPERLINK("https://pmc.ncbi.nlm.nih.gov/articles/PMC3467199/","Open Full Text")</x:f>
        <x:v>HYPERLINK is not implemented. linkLocation=https://pmc.ncbi.nlm.nih.gov/articles/PMC3467199/, friendlyName=Open Full Text</x:v>
      </x:c>
      <x:c r="P56" s="28" t="str">
        <x:v>abstract only</x:v>
      </x:c>
      <x:c r="Q56" s="28" t="str">
        <x:v>PubMed/MEDLINE export supplied by user | query: not verified from export; see Protocol sheet for reproducible recommended query</x:v>
      </x:c>
      <x:c r="R56" s="28" t="str">
        <x:v>Batch 1 core</x:v>
      </x:c>
      <x:c r="S56" s="28" t="str">
        <x:v>Direct ADHD primary study on diagnosis, family/education, structural conditions, lived experience/outcomes, or environment/lifestyle.</x:v>
      </x:c>
      <x:c r="T56" s="28" t="str">
        <x:v>not apparent from accessed abstract/metadata</x:v>
      </x:c>
      <x:c r="U56" s="28" t="str">
        <x:v>none identified in MEDLINE record</x:v>
      </x:c>
      <x:c r="V56" s="26" t="str">
        <x:v>PMC3467199</x:v>
      </x:c>
      <x:c r="W56" s="28" t="str">
        <x:v>PDF available via PMC (verified free full text)</x:v>
      </x:c>
      <x:c r="X56" s="28" t="str">
        <x:v>Yes — PMC</x:v>
      </x:c>
      <x:c r="Y56" s="31" t="e">
        <x:f>IF(V56="not reported","not reported",HYPERLINK("https://pmc.ncbi.nlm.nih.gov/articles/"&amp;V56&amp;"/","Open Full Text"))</x:f>
        <x:v>HYPERLINK is not implemented. linkLocation=https://pmc.ncbi.nlm.nih.gov/articles/PMC3467199/, friendlyName=Open Full Text</x:v>
      </x:c>
      <x:c r="Z56" s="31" t="e">
        <x:f>IF(L56="not reported","not reported",HYPERLINK("https://doi.org/"&amp;L56,"Open Publisher"))</x:f>
        <x:v>HYPERLINK is not implemented. linkLocation=https://doi.org/10.1097/DBP.0b013e3181f1773b, friendlyName=Open Publisher</x:v>
      </x:c>
      <x:c r="AA56" s="28" t="str">
        <x:v>PMCID PMC3467199 present in the PubMed/MEDLINE record.</x:v>
      </x:c>
      <x:c r="AB56" s="28" t="str">
        <x:v>Open the PMC full-text page and use its PDF button/download option.</x:v>
      </x:c>
      <x:c r="AC56" s="26" t="str">
        <x:v>2026-09-20</x:v>
      </x:c>
    </x:row>
    <x:row r="57">
      <x:c r="A57" s="26" t="str">
        <x:v>PUBMED-20580842</x:v>
      </x:c>
      <x:c r="B57" s="28" t="str">
        <x:v>Assessment of stigma associated with attention-deficit hyperactivity disorder: psychometric evaluation of the ADHD stigma questionnaire.</x:v>
      </x:c>
      <x:c r="C57" s="28" t="str">
        <x:v>Kellison, Ida; Bussing, Regina; Bell, Lindsay; Garvan, Cynthia</x:v>
      </x:c>
      <x:c r="D57" s="28" t="n">
        <x:v>2010</x:v>
      </x:c>
      <x:c r="E57" s="28" t="str">
        <x:v>Psychiatry research</x:v>
      </x:c>
      <x:c r="F57" s="28" t="str">
        <x:v>Primary study - cohort</x:v>
      </x:c>
      <x:c r="G57" s="28" t="str">
        <x:v>Development &amp; presentation; Recognition &amp; diagnosis; Family &amp; education; Social &amp; structural; Life outcomes &amp; lived experience; Historical &amp; contemporary context</x:v>
      </x:c>
      <x:c r="H57" s="28" t="str">
        <x:v>Childhood; Adolescence; ages 11-19 years</x:v>
      </x:c>
      <x:c r="I57" s="28" t="str">
        <x:v>not reported/not verified</x:v>
      </x:c>
      <x:c r="J57" s="28" t="str">
        <x:v>not reported</x:v>
      </x:c>
      <x:c r="K57" s="28" t="str">
        <x:v>This study evaluated the psychometric properties of the attention deficit hyperactivity disorder (ADHD) Stigma Questionnaire (ASQ) among a community sample of 301 adolescents ages 11-19 years at high (n=192) and low risks (n=109) for ADHD.</x:v>
      </x:c>
      <x:c r="L57" s="28" t="str">
        <x:v>10.1016/j.psychres.2009.04.022</x:v>
      </x:c>
      <x:c r="M57" s="28" t="str">
        <x:v>20580842</x:v>
      </x:c>
      <x:c r="N57" s="31" t="e">
        <x:f>HYPERLINK("https://pubmed.ncbi.nlm.nih.gov/"&amp;M57&amp;"/","Open PubMed")</x:f>
        <x:v>HYPERLINK is not implemented. linkLocation=https://pubmed.ncbi.nlm.nih.gov/20580842/, friendlyName=Open PubMed</x:v>
      </x:c>
      <x:c r="O57" s="31" t="e">
        <x:f>HYPERLINK("https://pmc.ncbi.nlm.nih.gov/articles/PMC2902633/","Open Full Text")</x:f>
        <x:v>HYPERLINK is not implemented. linkLocation=https://pmc.ncbi.nlm.nih.gov/articles/PMC2902633/, friendlyName=Open Full Text</x:v>
      </x:c>
      <x:c r="P57" s="28" t="str">
        <x:v>abstract only</x:v>
      </x:c>
      <x:c r="Q57" s="28" t="str">
        <x:v>PubMed/MEDLINE export supplied by user | query: not verified from export; see Protocol sheet for reproducible recommended query</x:v>
      </x:c>
      <x:c r="R57" s="28" t="str">
        <x:v>Batch 1 core</x:v>
      </x:c>
      <x:c r="S57" s="28" t="str">
        <x:v>Direct ADHD primary study on diagnosis, family/education, structural conditions, lived experience/outcomes, or environment/lifestyle.</x:v>
      </x:c>
      <x:c r="T57" s="28" t="str">
        <x:v>not apparent from accessed abstract/metadata</x:v>
      </x:c>
      <x:c r="U57" s="28" t="str">
        <x:v>none identified in MEDLINE record</x:v>
      </x:c>
      <x:c r="V57" s="26" t="str">
        <x:v>PMC2902633</x:v>
      </x:c>
      <x:c r="W57" s="28" t="str">
        <x:v>PDF available via PMC (verified free full text)</x:v>
      </x:c>
      <x:c r="X57" s="28" t="str">
        <x:v>Yes — PMC</x:v>
      </x:c>
      <x:c r="Y57" s="31" t="e">
        <x:f>IF(V57="not reported","not reported",HYPERLINK("https://pmc.ncbi.nlm.nih.gov/articles/"&amp;V57&amp;"/","Open Full Text"))</x:f>
        <x:v>HYPERLINK is not implemented. linkLocation=https://pmc.ncbi.nlm.nih.gov/articles/PMC2902633/, friendlyName=Open Full Text</x:v>
      </x:c>
      <x:c r="Z57" s="31" t="e">
        <x:f>IF(L57="not reported","not reported",HYPERLINK("https://doi.org/"&amp;L57,"Open Publisher"))</x:f>
        <x:v>HYPERLINK is not implemented. linkLocation=https://doi.org/10.1016/j.psychres.2009.04.022, friendlyName=Open Publisher</x:v>
      </x:c>
      <x:c r="AA57" s="28" t="str">
        <x:v>PMCID PMC2902633 present in the PubMed/MEDLINE record.</x:v>
      </x:c>
      <x:c r="AB57" s="28" t="str">
        <x:v>Open the PMC full-text page and use its PDF button/download option.</x:v>
      </x:c>
      <x:c r="AC57" s="26" t="str">
        <x:v>2026-09-20</x:v>
      </x:c>
    </x:row>
    <x:row r="58">
      <x:c r="A58" s="26" t="str">
        <x:v>PUBMED-20535081</x:v>
      </x:c>
      <x:c r="B58" s="28" t="str">
        <x:v>A review of attention-deficit/hyperactivity disorder complicated by symptoms of oppositional defiant disorder or conduct disorder.</x:v>
      </x:c>
      <x:c r="C58" s="28" t="str">
        <x:v>Connor, Daniel F; Steeber, Jennifer; McBurnett, Keith</x:v>
      </x:c>
      <x:c r="D58" s="28" t="n">
        <x:v>2010</x:v>
      </x:c>
      <x:c r="E58" s="28" t="str">
        <x:v>Journal of developmental and behavioral pediatrics : JDBP</x:v>
      </x:c>
      <x:c r="F58" s="28" t="str">
        <x:v>Evidence synthesis - review</x:v>
      </x:c>
      <x:c r="G58" s="28" t="str">
        <x:v>Development &amp; presentation; Recognition &amp; diagnosis; Family &amp; education; Social &amp; structural; Environmental &amp; lifestyle; Treatment &amp; support; Life outcomes &amp; lived experience</x:v>
      </x:c>
      <x:c r="H58" s="28" t="str">
        <x:v>Not specified</x:v>
      </x:c>
      <x:c r="I58" s="28" t="str">
        <x:v>not reported/not verified</x:v>
      </x:c>
      <x:c r="J58" s="28" t="str">
        <x:v>not reported</x:v>
      </x:c>
      <x:c r="K58" s="28" t="str">
        <x:v>This review addresses the impact of oppositional symptoms on ADHD, disease course, functional impairment, clinical management, and treatment response.</x:v>
      </x:c>
      <x:c r="L58" s="28" t="str">
        <x:v>10.1097/DBP.0b013e3181e121bd</x:v>
      </x:c>
      <x:c r="M58" s="28" t="str">
        <x:v>20535081</x:v>
      </x:c>
      <x:c r="N58" s="31" t="e">
        <x:f>HYPERLINK("https://pubmed.ncbi.nlm.nih.gov/"&amp;M58&amp;"/","Open PubMed")</x:f>
        <x:v>HYPERLINK is not implemented. linkLocation=https://pubmed.ncbi.nlm.nih.gov/20535081/, friendlyName=Open PubMed</x:v>
      </x:c>
      <x:c r="O58" s="31" t="str">
        <x:v>not reported</x:v>
      </x:c>
      <x:c r="P58" s="28" t="str">
        <x:v>abstract only</x:v>
      </x:c>
      <x:c r="Q58" s="28" t="str">
        <x:v>PubMed/MEDLINE export supplied by user | query: not verified from export; see Protocol sheet for reproducible recommended query</x:v>
      </x:c>
      <x:c r="R58" s="28" t="str">
        <x:v>Batch 1 core</x:v>
      </x:c>
      <x:c r="S58" s="28" t="str">
        <x:v>Direct ADHD evidence synthesis/guideline with broad multi-topic relevance.</x:v>
      </x:c>
      <x:c r="T58" s="28" t="str">
        <x:v>not apparent from accessed abstract/metadata</x:v>
      </x:c>
      <x:c r="U58" s="28" t="str">
        <x:v>none identified in MEDLINE record</x:v>
      </x:c>
      <x:c r="V58" s="26" t="str">
        <x:v>not reported</x:v>
      </x:c>
      <x:c r="W58" s="28" t="str">
        <x:v>No PMC copy identified; publisher PDF/access must be checked</x:v>
      </x:c>
      <x:c r="X58" s="28" t="str">
        <x:v>Not verified</x:v>
      </x:c>
      <x:c r="Y58" s="31" t="str">
        <x:f>IF(V58="not reported","not reported",HYPERLINK("https://pmc.ncbi.nlm.nih.gov/articles/"&amp;V58&amp;"/","Open Full Text"))</x:f>
        <x:v>not reported</x:v>
      </x:c>
      <x:c r="Z58" s="31" t="e">
        <x:f>IF(L58="not reported","not reported",HYPERLINK("https://doi.org/"&amp;L58,"Open Publisher"))</x:f>
        <x:v>HYPERLINK is not implemented. linkLocation=https://doi.org/10.1097/DBP.0b013e3181e121bd, friendlyName=Open Publisher</x:v>
      </x:c>
      <x:c r="AA58" s="28" t="str">
        <x:v>DOI present in PubMed/MEDLINE; no PMCID present.</x:v>
      </x:c>
      <x:c r="AB58" s="28" t="str">
        <x:v>Open the DOI/publisher page. If PDF is paywalled, try Stony Brook Library access, Article Galaxy, or interlibrary loan.</x:v>
      </x:c>
      <x:c r="AC58" s="26" t="str">
        <x:v>2026-09-20</x:v>
      </x:c>
    </x:row>
    <x:row r="59">
      <x:c r="A59" s="26" t="str">
        <x:v>PUBMED-20496381</x:v>
      </x:c>
      <x:c r="B59" s="28" t="str">
        <x:v>Is the ADHD brain wired differently? A review on structural and functional connectivity in attention deficit hyperactivity disorder.</x:v>
      </x:c>
      <x:c r="C59" s="28" t="str">
        <x:v>Konrad, Kerstin; Eickhoff, Simon B</x:v>
      </x:c>
      <x:c r="D59" s="28" t="n">
        <x:v>2010</x:v>
      </x:c>
      <x:c r="E59" s="28" t="str">
        <x:v>Human brain mapping</x:v>
      </x:c>
      <x:c r="F59" s="28" t="str">
        <x:v>Evidence synthesis - review</x:v>
      </x:c>
      <x:c r="G59" s="28" t="str">
        <x:v>Development &amp; presentation; Social &amp; structural; Environmental &amp; lifestyle; Treatment &amp; support</x:v>
      </x:c>
      <x:c r="H59" s="28" t="str">
        <x:v>Not specified</x:v>
      </x:c>
      <x:c r="I59" s="28" t="str">
        <x:v>not reported/not verified</x:v>
      </x:c>
      <x:c r="J59" s="28" t="str">
        <x:v>not reported</x:v>
      </x:c>
      <x:c r="K59" s="28" t="str">
        <x:v>In the current contribution, we report findings from functional connectivity studies during resting and task states, as well as from studies on structural connectivity using diffusion tensor imaging, in subjects with ADHD.</x:v>
      </x:c>
      <x:c r="L59" s="28" t="str">
        <x:v>10.1002/hbm.21058</x:v>
      </x:c>
      <x:c r="M59" s="28" t="str">
        <x:v>20496381</x:v>
      </x:c>
      <x:c r="N59" s="31" t="e">
        <x:f>HYPERLINK("https://pubmed.ncbi.nlm.nih.gov/"&amp;M59&amp;"/","Open PubMed")</x:f>
        <x:v>HYPERLINK is not implemented. linkLocation=https://pubmed.ncbi.nlm.nih.gov/20496381/, friendlyName=Open PubMed</x:v>
      </x:c>
      <x:c r="O59" s="31" t="e">
        <x:f>HYPERLINK("https://pmc.ncbi.nlm.nih.gov/articles/PMC6871159/","Open Full Text")</x:f>
        <x:v>HYPERLINK is not implemented. linkLocation=https://pmc.ncbi.nlm.nih.gov/articles/PMC6871159/, friendlyName=Open Full Text</x:v>
      </x:c>
      <x:c r="P59" s="28" t="str">
        <x:v>abstract only</x:v>
      </x:c>
      <x:c r="Q59" s="28" t="str">
        <x:v>PubMed/MEDLINE export supplied by user | query: not verified from export; see Protocol sheet for reproducible recommended query</x:v>
      </x:c>
      <x:c r="R59" s="28" t="str">
        <x:v>Batch 1 core</x:v>
      </x:c>
      <x:c r="S59" s="28" t="str">
        <x:v>Direct ADHD evidence synthesis/guideline with broad multi-topic relevance.</x:v>
      </x:c>
      <x:c r="T59" s="28" t="str">
        <x:v>not apparent from accessed abstract/metadata</x:v>
      </x:c>
      <x:c r="U59" s="28" t="str">
        <x:v>none identified in MEDLINE record</x:v>
      </x:c>
      <x:c r="V59" s="26" t="str">
        <x:v>PMC6871159</x:v>
      </x:c>
      <x:c r="W59" s="28" t="str">
        <x:v>PDF available via PMC (verified free full text)</x:v>
      </x:c>
      <x:c r="X59" s="28" t="str">
        <x:v>Yes — PMC</x:v>
      </x:c>
      <x:c r="Y59" s="31" t="e">
        <x:f>IF(V59="not reported","not reported",HYPERLINK("https://pmc.ncbi.nlm.nih.gov/articles/"&amp;V59&amp;"/","Open Full Text"))</x:f>
        <x:v>HYPERLINK is not implemented. linkLocation=https://pmc.ncbi.nlm.nih.gov/articles/PMC6871159/, friendlyName=Open Full Text</x:v>
      </x:c>
      <x:c r="Z59" s="31" t="e">
        <x:f>IF(L59="not reported","not reported",HYPERLINK("https://doi.org/"&amp;L59,"Open Publisher"))</x:f>
        <x:v>HYPERLINK is not implemented. linkLocation=https://doi.org/10.1002/hbm.21058, friendlyName=Open Publisher</x:v>
      </x:c>
      <x:c r="AA59" s="28" t="str">
        <x:v>PMCID PMC6871159 present in the PubMed/MEDLINE record.</x:v>
      </x:c>
      <x:c r="AB59" s="28" t="str">
        <x:v>Open the PMC full-text page and use its PDF button/download option.</x:v>
      </x:c>
      <x:c r="AC59" s="26" t="str">
        <x:v>2026-09-20</x:v>
      </x:c>
    </x:row>
    <x:row r="60">
      <x:c r="A60" s="26" t="str">
        <x:v>PUBMED-20410701</x:v>
      </x:c>
      <x:c r="B60" s="28" t="str">
        <x:v>Relationships between child-reported activity level and task orientation and parental attention-deficit/hyperactivity disorder symptom ratings.</x:v>
      </x:c>
      <x:c r="C60" s="28" t="str">
        <x:v>Bell, Lindsay; Kellison, Ida; Garvan, Cynthia W; Bussing, Regina</x:v>
      </x:c>
      <x:c r="D60" s="28" t="n">
        <x:v>2010</x:v>
      </x:c>
      <x:c r="E60" s="28" t="str">
        <x:v>Journal of developmental and behavioral pediatrics : JDBP</x:v>
      </x:c>
      <x:c r="F60" s="28" t="str">
        <x:v>Primary study - cohort</x:v>
      </x:c>
      <x:c r="G60" s="28" t="str">
        <x:v>Development &amp; presentation; Recognition &amp; diagnosis; Family &amp; education; Social &amp; structural; Life outcomes &amp; lived experience</x:v>
      </x:c>
      <x:c r="H60" s="28" t="str">
        <x:v>Childhood; aged 6 to 12 years</x:v>
      </x:c>
      <x:c r="I60" s="28" t="str">
        <x:v>not reported/not verified</x:v>
      </x:c>
      <x:c r="J60" s="28" t="str">
        <x:v>not reported</x:v>
      </x:c>
      <x:c r="K60" s="28" t="str">
        <x:v>OBJECTIVE: This study examines whether elementary school-aged children can report behaviors relevant to assessing symptoms of attention-deficit/hyperactivity disorder (ADHD).</x:v>
      </x:c>
      <x:c r="L60" s="28" t="str">
        <x:v>10.1097/DBP.0b013e3181d5a328</x:v>
      </x:c>
      <x:c r="M60" s="28" t="str">
        <x:v>20410701</x:v>
      </x:c>
      <x:c r="N60" s="31" t="e">
        <x:f>HYPERLINK("https://pubmed.ncbi.nlm.nih.gov/"&amp;M60&amp;"/","Open PubMed")</x:f>
        <x:v>HYPERLINK is not implemented. linkLocation=https://pubmed.ncbi.nlm.nih.gov/20410701/, friendlyName=Open PubMed</x:v>
      </x:c>
      <x:c r="O60" s="31" t="e">
        <x:f>HYPERLINK("https://pmc.ncbi.nlm.nih.gov/articles/PMC2890222/","Open Full Text")</x:f>
        <x:v>HYPERLINK is not implemented. linkLocation=https://pmc.ncbi.nlm.nih.gov/articles/PMC2890222/, friendlyName=Open Full Text</x:v>
      </x:c>
      <x:c r="P60" s="28" t="str">
        <x:v>abstract only</x:v>
      </x:c>
      <x:c r="Q60" s="28" t="str">
        <x:v>PubMed/MEDLINE export supplied by user | query: not verified from export; see Protocol sheet for reproducible recommended query</x:v>
      </x:c>
      <x:c r="R60" s="28" t="str">
        <x:v>Batch 1 core</x:v>
      </x:c>
      <x:c r="S60" s="28" t="str">
        <x:v>Direct ADHD primary study on diagnosis, family/education, structural conditions, lived experience/outcomes, or environment/lifestyle.</x:v>
      </x:c>
      <x:c r="T60" s="28" t="str">
        <x:v>not apparent from accessed abstract/metadata</x:v>
      </x:c>
      <x:c r="U60" s="28" t="str">
        <x:v>none identified in MEDLINE record</x:v>
      </x:c>
      <x:c r="V60" s="26" t="str">
        <x:v>PMC2890222</x:v>
      </x:c>
      <x:c r="W60" s="28" t="str">
        <x:v>PDF available via PMC (verified free full text)</x:v>
      </x:c>
      <x:c r="X60" s="28" t="str">
        <x:v>Yes — PMC</x:v>
      </x:c>
      <x:c r="Y60" s="31" t="e">
        <x:f>IF(V60="not reported","not reported",HYPERLINK("https://pmc.ncbi.nlm.nih.gov/articles/"&amp;V60&amp;"/","Open Full Text"))</x:f>
        <x:v>HYPERLINK is not implemented. linkLocation=https://pmc.ncbi.nlm.nih.gov/articles/PMC2890222/, friendlyName=Open Full Text</x:v>
      </x:c>
      <x:c r="Z60" s="31" t="e">
        <x:f>IF(L60="not reported","not reported",HYPERLINK("https://doi.org/"&amp;L60,"Open Publisher"))</x:f>
        <x:v>HYPERLINK is not implemented. linkLocation=https://doi.org/10.1097/DBP.0b013e3181d5a328, friendlyName=Open Publisher</x:v>
      </x:c>
      <x:c r="AA60" s="28" t="str">
        <x:v>PMCID PMC2890222 present in the PubMed/MEDLINE record.</x:v>
      </x:c>
      <x:c r="AB60" s="28" t="str">
        <x:v>Open the PMC full-text page and use its PDF button/download option.</x:v>
      </x:c>
      <x:c r="AC60" s="26" t="str">
        <x:v>2026-09-20</x:v>
      </x:c>
    </x:row>
    <x:row r="61">
      <x:c r="A61" s="26" t="str">
        <x:v>PUBMED-20218799</x:v>
      </x:c>
      <x:c r="B61" s="28" t="str">
        <x:v>Neurochemical alterations in women with borderline personality disorder and comorbid attention-deficit hyperactivity disorder.</x:v>
      </x:c>
      <x:c r="C61" s="28" t="str">
        <x:v>Rüsch, Nicolas; Boeker, Miriam; Büchert, Martin; Glauche, Volkmar; Bohrmann, Carl; Ebert, Dieter; Lieb, Klaus; Hennig, Jürgen; Tebartz Van Elst, Ludger</x:v>
      </x:c>
      <x:c r="D61" s="28" t="n">
        <x:v>2010</x:v>
      </x:c>
      <x:c r="E61" s="28" t="str">
        <x:v>The world journal of biological psychiatry : the official journal of the World Federation of Societies of Biological Psychiatry</x:v>
      </x:c>
      <x:c r="F61" s="28" t="str">
        <x:v>Primary study - case-control</x:v>
      </x:c>
      <x:c r="G61" s="28" t="str">
        <x:v>Development &amp; presentation; Family &amp; education; Social &amp; structural; Treatment &amp; support</x:v>
      </x:c>
      <x:c r="H61" s="28" t="str">
        <x:v>Adulthood</x:v>
      </x:c>
      <x:c r="I61" s="28" t="str">
        <x:v>not reported/not verified</x:v>
      </x:c>
      <x:c r="J61" s="28" t="str">
        <x:v>not reported</x:v>
      </x:c>
      <x:c r="K61" s="28" t="str">
        <x:v>BACKGROUND: Borderline personality disorder (BPD) is associated with structural and functional brain changes.</x:v>
      </x:c>
      <x:c r="L61" s="28" t="str">
        <x:v>10.3109/15622970801958331</x:v>
      </x:c>
      <x:c r="M61" s="28" t="str">
        <x:v>20218799</x:v>
      </x:c>
      <x:c r="N61" s="31" t="e">
        <x:f>HYPERLINK("https://pubmed.ncbi.nlm.nih.gov/"&amp;M61&amp;"/","Open PubMed")</x:f>
        <x:v>HYPERLINK is not implemented. linkLocation=https://pubmed.ncbi.nlm.nih.gov/20218799/, friendlyName=Open PubMed</x:v>
      </x:c>
      <x:c r="O61" s="31" t="str">
        <x:v>not reported</x:v>
      </x:c>
      <x:c r="P61" s="28" t="str">
        <x:v>abstract only</x:v>
      </x:c>
      <x:c r="Q61" s="28" t="str">
        <x:v>PubMed/MEDLINE export supplied by user | query: not verified from export; see Protocol sheet for reproducible recommended query</x:v>
      </x:c>
      <x:c r="R61" s="28" t="str">
        <x:v>Batch 1 core</x:v>
      </x:c>
      <x:c r="S61" s="28" t="str">
        <x:v>Direct ADHD primary study on diagnosis, family/education, structural conditions, lived experience/outcomes, or environment/lifestyle.</x:v>
      </x:c>
      <x:c r="T61" s="28" t="str">
        <x:v>not apparent from accessed abstract/metadata</x:v>
      </x:c>
      <x:c r="U61" s="28" t="str">
        <x:v>none identified in MEDLINE record</x:v>
      </x:c>
      <x:c r="V61" s="26" t="str">
        <x:v>not reported</x:v>
      </x:c>
      <x:c r="W61" s="28" t="str">
        <x:v>No PMC copy identified; publisher PDF/access must be checked</x:v>
      </x:c>
      <x:c r="X61" s="28" t="str">
        <x:v>Not verified</x:v>
      </x:c>
      <x:c r="Y61" s="31" t="str">
        <x:f>IF(V61="not reported","not reported",HYPERLINK("https://pmc.ncbi.nlm.nih.gov/articles/"&amp;V61&amp;"/","Open Full Text"))</x:f>
        <x:v>not reported</x:v>
      </x:c>
      <x:c r="Z61" s="31" t="e">
        <x:f>IF(L61="not reported","not reported",HYPERLINK("https://doi.org/"&amp;L61,"Open Publisher"))</x:f>
        <x:v>HYPERLINK is not implemented. linkLocation=https://doi.org/10.3109/15622970801958331, friendlyName=Open Publisher</x:v>
      </x:c>
      <x:c r="AA61" s="28" t="str">
        <x:v>DOI present in PubMed/MEDLINE; no PMCID present.</x:v>
      </x:c>
      <x:c r="AB61" s="28" t="str">
        <x:v>Open the DOI/publisher page. If PDF is paywalled, try Stony Brook Library access, Article Galaxy, or interlibrary loan.</x:v>
      </x:c>
      <x:c r="AC61" s="26" t="str">
        <x:v>2026-09-20</x:v>
      </x:c>
    </x:row>
    <x:row r="62">
      <x:c r="A62" s="26" t="str">
        <x:v>PUBMED-20145015</x:v>
      </x:c>
      <x:c r="B62" s="28" t="str">
        <x:v>NICE guideline: attention deficit hyperactivity disorder.</x:v>
      </x:c>
      <x:c r="C62" s="28" t="str">
        <x:v>Atkinson, M; Hollis, C</x:v>
      </x:c>
      <x:c r="D62" s="28" t="n">
        <x:v>2010</x:v>
      </x:c>
      <x:c r="E62" s="28" t="str">
        <x:v>Archives of disease in childhood. Education and practice edition</x:v>
      </x:c>
      <x:c r="F62" s="28" t="str">
        <x:v>Evidence synthesis - review</x:v>
      </x:c>
      <x:c r="G62" s="28" t="str">
        <x:v>Development &amp; presentation; Recognition &amp; diagnosis; Treatment &amp; support</x:v>
      </x:c>
      <x:c r="H62" s="28" t="str">
        <x:v>Childhood</x:v>
      </x:c>
      <x:c r="I62" s="28" t="str">
        <x:v>not reported/not verified</x:v>
      </x:c>
      <x:c r="J62" s="28" t="str">
        <x:v>not reported</x:v>
      </x:c>
      <x:c r="K62" s="28" t="str">
        <x:v>Metadata-only record on: NICE guideline: attention deficit hyperactivity disorder.</x:v>
      </x:c>
      <x:c r="L62" s="28" t="str">
        <x:v>10.1136/adc.2009.175943</x:v>
      </x:c>
      <x:c r="M62" s="28" t="str">
        <x:v>20145015</x:v>
      </x:c>
      <x:c r="N62" s="31" t="e">
        <x:f>HYPERLINK("https://pubmed.ncbi.nlm.nih.gov/"&amp;M62&amp;"/","Open PubMed")</x:f>
        <x:v>HYPERLINK is not implemented. linkLocation=https://pubmed.ncbi.nlm.nih.gov/20145015/, friendlyName=Open PubMed</x:v>
      </x:c>
      <x:c r="O62" s="31" t="str">
        <x:v>not reported</x:v>
      </x:c>
      <x:c r="P62" s="28" t="str">
        <x:v>metadata only</x:v>
      </x:c>
      <x:c r="Q62" s="28" t="str">
        <x:v>PubMed/MEDLINE export supplied by user | query: not verified from export; see Protocol sheet for reproducible recommended query</x:v>
      </x:c>
      <x:c r="R62" s="28" t="str">
        <x:v>Batch 1 core</x:v>
      </x:c>
      <x:c r="S62" s="28" t="str">
        <x:v>Direct ADHD evidence synthesis/guideline with broad multi-topic relevance.</x:v>
      </x:c>
      <x:c r="T62" s="28" t="str">
        <x:v>not apparent from accessed abstract/metadata</x:v>
      </x:c>
      <x:c r="U62" s="28" t="str">
        <x:v>none identified in MEDLINE record</x:v>
      </x:c>
      <x:c r="V62" s="26" t="str">
        <x:v>not reported</x:v>
      </x:c>
      <x:c r="W62" s="28" t="str">
        <x:v>No PMC copy identified; publisher PDF/access must be checked</x:v>
      </x:c>
      <x:c r="X62" s="28" t="str">
        <x:v>Not verified</x:v>
      </x:c>
      <x:c r="Y62" s="31" t="str">
        <x:f>IF(V62="not reported","not reported",HYPERLINK("https://pmc.ncbi.nlm.nih.gov/articles/"&amp;V62&amp;"/","Open Full Text"))</x:f>
        <x:v>not reported</x:v>
      </x:c>
      <x:c r="Z62" s="31" t="e">
        <x:f>IF(L62="not reported","not reported",HYPERLINK("https://doi.org/"&amp;L62,"Open Publisher"))</x:f>
        <x:v>HYPERLINK is not implemented. linkLocation=https://doi.org/10.1136/adc.2009.175943, friendlyName=Open Publisher</x:v>
      </x:c>
      <x:c r="AA62" s="28" t="str">
        <x:v>DOI present in PubMed/MEDLINE; no PMCID present.</x:v>
      </x:c>
      <x:c r="AB62" s="28" t="str">
        <x:v>Open the DOI/publisher page. If PDF is paywalled, try Stony Brook Library access, Article Galaxy, or interlibrary loan.</x:v>
      </x:c>
      <x:c r="AC62" s="26" t="str">
        <x:v>2026-09-20</x:v>
      </x:c>
    </x:row>
    <x:row r="63">
      <x:c r="A63" s="26" t="str">
        <x:v>PUBMED-20107302</x:v>
      </x:c>
      <x:c r="B63" s="28" t="str">
        <x:v>Review of medication adherence in children and adults with ADHD.</x:v>
      </x:c>
      <x:c r="C63" s="28" t="str">
        <x:v>Adler, Lisa D; Nierenberg, Andrew A</x:v>
      </x:c>
      <x:c r="D63" s="28" t="n">
        <x:v>2010</x:v>
      </x:c>
      <x:c r="E63" s="28" t="str">
        <x:v>Postgraduate medicine</x:v>
      </x:c>
      <x:c r="F63" s="28" t="str">
        <x:v>Evidence synthesis - review</x:v>
      </x:c>
      <x:c r="G63" s="28" t="str">
        <x:v>Development &amp; presentation; Social &amp; structural; Environmental &amp; lifestyle; Treatment &amp; support</x:v>
      </x:c>
      <x:c r="H63" s="28" t="str">
        <x:v>Childhood; Adolescence; Adulthood</x:v>
      </x:c>
      <x:c r="I63" s="28" t="str">
        <x:v>Geography (MeSH): United States</x:v>
      </x:c>
      <x:c r="J63" s="28" t="str">
        <x:v>not reported</x:v>
      </x:c>
      <x:c r="K63" s="28" t="str">
        <x:v>OBJECTIVE: To review the literature on the prevalence, potential causes, and consequences of medication nonadherence in adult attention-deficit/hyperactivity disorder (ADHD).</x:v>
      </x:c>
      <x:c r="L63" s="28" t="str">
        <x:v>10.3810/pgm.2010.01.2112</x:v>
      </x:c>
      <x:c r="M63" s="28" t="str">
        <x:v>20107302</x:v>
      </x:c>
      <x:c r="N63" s="31" t="e">
        <x:f>HYPERLINK("https://pubmed.ncbi.nlm.nih.gov/"&amp;M63&amp;"/","Open PubMed")</x:f>
        <x:v>HYPERLINK is not implemented. linkLocation=https://pubmed.ncbi.nlm.nih.gov/20107302/, friendlyName=Open PubMed</x:v>
      </x:c>
      <x:c r="O63" s="31" t="str">
        <x:v>not reported</x:v>
      </x:c>
      <x:c r="P63" s="28" t="str">
        <x:v>abstract only</x:v>
      </x:c>
      <x:c r="Q63" s="28" t="str">
        <x:v>PubMed/MEDLINE export supplied by user | query: not verified from export; see Protocol sheet for reproducible recommended query</x:v>
      </x:c>
      <x:c r="R63" s="28" t="str">
        <x:v>Batch 1 core</x:v>
      </x:c>
      <x:c r="S63" s="28" t="str">
        <x:v>Direct ADHD evidence synthesis/guideline with broad multi-topic relevance.</x:v>
      </x:c>
      <x:c r="T63" s="28" t="str">
        <x:v>not apparent from accessed abstract/metadata</x:v>
      </x:c>
      <x:c r="U63" s="28" t="str">
        <x:v>none identified in MEDLINE record</x:v>
      </x:c>
      <x:c r="V63" s="26" t="str">
        <x:v>not reported</x:v>
      </x:c>
      <x:c r="W63" s="28" t="str">
        <x:v>No PMC copy identified; publisher PDF/access must be checked</x:v>
      </x:c>
      <x:c r="X63" s="28" t="str">
        <x:v>Not verified</x:v>
      </x:c>
      <x:c r="Y63" s="31" t="str">
        <x:f>IF(V63="not reported","not reported",HYPERLINK("https://pmc.ncbi.nlm.nih.gov/articles/"&amp;V63&amp;"/","Open Full Text"))</x:f>
        <x:v>not reported</x:v>
      </x:c>
      <x:c r="Z63" s="31" t="e">
        <x:f>IF(L63="not reported","not reported",HYPERLINK("https://doi.org/"&amp;L63,"Open Publisher"))</x:f>
        <x:v>HYPERLINK is not implemented. linkLocation=https://doi.org/10.3810/pgm.2010.01.2112, friendlyName=Open Publisher</x:v>
      </x:c>
      <x:c r="AA63" s="28" t="str">
        <x:v>DOI present in PubMed/MEDLINE; no PMCID present.</x:v>
      </x:c>
      <x:c r="AB63" s="28" t="str">
        <x:v>Open the DOI/publisher page. If PDF is paywalled, try Stony Brook Library access, Article Galaxy, or interlibrary loan.</x:v>
      </x:c>
      <x:c r="AC63" s="26" t="str">
        <x:v>2026-09-20</x:v>
      </x:c>
    </x:row>
    <x:row r="64">
      <x:c r="A64" s="26" t="str">
        <x:v>PUBMED-19823900</x:v>
      </x:c>
      <x:c r="B64" s="28" t="str">
        <x:v>Treating attention-deficit/hyperactivity disorder beyond symptom control alone in children and adolescents: a review of the potential benefits of long-acting stimulants.</x:v>
      </x:c>
      <x:c r="C64" s="28" t="str">
        <x:v>Buitelaar, Jan; Medori, Rossella</x:v>
      </x:c>
      <x:c r="D64" s="28" t="n">
        <x:v>2010</x:v>
      </x:c>
      <x:c r="E64" s="28" t="str">
        <x:v>European child &amp; adolescent psychiatry</x:v>
      </x:c>
      <x:c r="F64" s="28" t="str">
        <x:v>Evidence synthesis - review</x:v>
      </x:c>
      <x:c r="G64" s="28" t="str">
        <x:v>Development &amp; presentation; Family &amp; education; Social &amp; structural; Treatment &amp; support; Life outcomes &amp; lived experience</x:v>
      </x:c>
      <x:c r="H64" s="28" t="str">
        <x:v>Childhood; Adolescence; Adulthood</x:v>
      </x:c>
      <x:c r="I64" s="28" t="str">
        <x:v>not reported/not verified</x:v>
      </x:c>
      <x:c r="J64" s="28" t="str">
        <x:v>not reported</x:v>
      </x:c>
      <x:c r="K64" s="28" t="str">
        <x:v>This paper focuses on the importance and benefits to child development of ADHD symptom control beyond the school day only, i.e. extending into late afternoon and evening and uses the example of an extended-release MPH formulation (OROS((R)) MPH) to demonstrate the potential benefits of active full day coverage (12 h) with a single daily dose.</x:v>
      </x:c>
      <x:c r="L64" s="28" t="str">
        <x:v>10.1007/s00787-009-0056-1</x:v>
      </x:c>
      <x:c r="M64" s="28" t="str">
        <x:v>19823900</x:v>
      </x:c>
      <x:c r="N64" s="31" t="e">
        <x:f>HYPERLINK("https://pubmed.ncbi.nlm.nih.gov/"&amp;M64&amp;"/","Open PubMed")</x:f>
        <x:v>HYPERLINK is not implemented. linkLocation=https://pubmed.ncbi.nlm.nih.gov/19823900/, friendlyName=Open PubMed</x:v>
      </x:c>
      <x:c r="O64" s="31" t="e">
        <x:f>HYPERLINK("https://pmc.ncbi.nlm.nih.gov/articles/PMC2843838/","Open Full Text")</x:f>
        <x:v>HYPERLINK is not implemented. linkLocation=https://pmc.ncbi.nlm.nih.gov/articles/PMC2843838/, friendlyName=Open Full Text</x:v>
      </x:c>
      <x:c r="P64" s="28" t="str">
        <x:v>abstract only</x:v>
      </x:c>
      <x:c r="Q64" s="28" t="str">
        <x:v>PubMed/MEDLINE export supplied by user | query: not verified from export; see Protocol sheet for reproducible recommended query</x:v>
      </x:c>
      <x:c r="R64" s="28" t="str">
        <x:v>Batch 1 core</x:v>
      </x:c>
      <x:c r="S64" s="28" t="str">
        <x:v>Direct ADHD evidence synthesis/guideline with broad multi-topic relevance.</x:v>
      </x:c>
      <x:c r="T64" s="28" t="str">
        <x:v>not apparent from accessed abstract/metadata</x:v>
      </x:c>
      <x:c r="U64" s="28" t="str">
        <x:v>none identified in MEDLINE record</x:v>
      </x:c>
      <x:c r="V64" s="26" t="str">
        <x:v>PMC2843838</x:v>
      </x:c>
      <x:c r="W64" s="28" t="str">
        <x:v>PDF available via PMC (verified free full text)</x:v>
      </x:c>
      <x:c r="X64" s="28" t="str">
        <x:v>Yes — PMC</x:v>
      </x:c>
      <x:c r="Y64" s="31" t="e">
        <x:f>IF(V64="not reported","not reported",HYPERLINK("https://pmc.ncbi.nlm.nih.gov/articles/"&amp;V64&amp;"/","Open Full Text"))</x:f>
        <x:v>HYPERLINK is not implemented. linkLocation=https://pmc.ncbi.nlm.nih.gov/articles/PMC2843838/, friendlyName=Open Full Text</x:v>
      </x:c>
      <x:c r="Z64" s="31" t="e">
        <x:f>IF(L64="not reported","not reported",HYPERLINK("https://doi.org/"&amp;L64,"Open Publisher"))</x:f>
        <x:v>HYPERLINK is not implemented. linkLocation=https://doi.org/10.1007/s00787-009-0056-1, friendlyName=Open Publisher</x:v>
      </x:c>
      <x:c r="AA64" s="28" t="str">
        <x:v>PMCID PMC2843838 present in the PubMed/MEDLINE record.</x:v>
      </x:c>
      <x:c r="AB64" s="28" t="str">
        <x:v>Open the PMC full-text page and use its PDF button/download option.</x:v>
      </x:c>
      <x:c r="AC64" s="26" t="str">
        <x:v>2026-09-20</x:v>
      </x:c>
    </x:row>
    <x:row r="65">
      <x:c r="A65" s="26" t="str">
        <x:v>PUBMED-20730307</x:v>
      </x:c>
      <x:c r="B65" s="28" t="str">
        <x:v>Executive dysfunction screening and intelectual coefficient measurement in children with attention deficit hyperactivity disorder.</x:v>
      </x:c>
      <x:c r="C65" s="28" t="str">
        <x:v>Zambrano-Sánchez, Elizabeth; Martínez-Cortés, José A; Rió-Carlos, Yolanda Del; Martínez-Wbaldo, Maria Del Consuelo; Poblano, Adrián</x:v>
      </x:c>
      <x:c r="D65" s="28" t="n">
        <x:v>2010</x:v>
      </x:c>
      <x:c r="E65" s="28" t="str">
        <x:v>Arquivos de neuro-psiquiatria</x:v>
      </x:c>
      <x:c r="F65" s="28" t="str">
        <x:v>Primary study - case-control</x:v>
      </x:c>
      <x:c r="G65" s="28" t="str">
        <x:v>Development &amp; presentation; Recognition &amp; diagnosis; Family &amp; education; Social &amp; structural</x:v>
      </x:c>
      <x:c r="H65" s="28" t="str">
        <x:v>Childhood</x:v>
      </x:c>
      <x:c r="I65" s="28" t="str">
        <x:v>not reported/not verified</x:v>
      </x:c>
      <x:c r="J65" s="28" t="str">
        <x:v>not reported</x:v>
      </x:c>
      <x:c r="K65" s="28" t="str">
        <x:v>OBJECTIVE: To perform a complete Intelligence quotient (IQ) measurement (verbal, performance, and total) and subsequently, to compare executive function (EF) measurements in subgroups of children with attention deficit-hyperactivity disorder (ADHD) with a control group.</x:v>
      </x:c>
      <x:c r="L65" s="28" t="str">
        <x:v>10.1590/s0004-282x2010000400013</x:v>
      </x:c>
      <x:c r="M65" s="28" t="str">
        <x:v>20730307</x:v>
      </x:c>
      <x:c r="N65" s="31" t="e">
        <x:f>HYPERLINK("https://pubmed.ncbi.nlm.nih.gov/"&amp;M65&amp;"/","Open PubMed")</x:f>
        <x:v>HYPERLINK is not implemented. linkLocation=https://pubmed.ncbi.nlm.nih.gov/20730307/, friendlyName=Open PubMed</x:v>
      </x:c>
      <x:c r="O65" s="31" t="str">
        <x:v>not reported</x:v>
      </x:c>
      <x:c r="P65" s="28" t="str">
        <x:v>abstract only</x:v>
      </x:c>
      <x:c r="Q65" s="28" t="str">
        <x:v>PubMed/MEDLINE export supplied by user | query: not verified from export; see Protocol sheet for reproducible recommended query</x:v>
      </x:c>
      <x:c r="R65" s="28" t="str">
        <x:v>Batch 1 core</x:v>
      </x:c>
      <x:c r="S65" s="28" t="str">
        <x:v>Direct ADHD primary study on diagnosis, family/education, structural conditions, lived experience/outcomes, or environment/lifestyle.</x:v>
      </x:c>
      <x:c r="T65" s="28" t="str">
        <x:v>not apparent from accessed abstract/metadata</x:v>
      </x:c>
      <x:c r="U65" s="28" t="str">
        <x:v>none identified in MEDLINE record</x:v>
      </x:c>
      <x:c r="V65" s="26" t="str">
        <x:v>not reported</x:v>
      </x:c>
      <x:c r="W65" s="28" t="str">
        <x:v>No PMC copy identified; publisher PDF/access must be checked</x:v>
      </x:c>
      <x:c r="X65" s="28" t="str">
        <x:v>Not verified</x:v>
      </x:c>
      <x:c r="Y65" s="31" t="str">
        <x:f>IF(V65="not reported","not reported",HYPERLINK("https://pmc.ncbi.nlm.nih.gov/articles/"&amp;V65&amp;"/","Open Full Text"))</x:f>
        <x:v>not reported</x:v>
      </x:c>
      <x:c r="Z65" s="31" t="e">
        <x:f>IF(L65="not reported","not reported",HYPERLINK("https://doi.org/"&amp;L65,"Open Publisher"))</x:f>
        <x:v>HYPERLINK is not implemented. linkLocation=https://doi.org/10.1590/s0004-282x2010000400013, friendlyName=Open Publisher</x:v>
      </x:c>
      <x:c r="AA65" s="28" t="str">
        <x:v>DOI present in PubMed/MEDLINE; no PMCID present.</x:v>
      </x:c>
      <x:c r="AB65" s="28" t="str">
        <x:v>Open the DOI/publisher page. If PDF is paywalled, try Stony Brook Library access, Article Galaxy, or interlibrary loan.</x:v>
      </x:c>
      <x:c r="AC65" s="26" t="str">
        <x:v>2026-09-20</x:v>
      </x:c>
    </x:row>
    <x:row r="66">
      <x:c r="A66" s="26" t="str">
        <x:v>PUBMED-20675839</x:v>
      </x:c>
      <x:c r="B66" s="28" t="str">
        <x:v>Trends in recognition of and service use for attention-deficit hyperactivity disorder in Britain, 1999-2004.</x:v>
      </x:c>
      <x:c r="C66" s="28" t="str">
        <x:v>Sayal, Kapil; Ford, Tamsin; Goodman, Robert</x:v>
      </x:c>
      <x:c r="D66" s="28" t="n">
        <x:v>2010</x:v>
      </x:c>
      <x:c r="E66" s="28" t="str">
        <x:v>Psychiatric services (Washington, D.C.)</x:v>
      </x:c>
      <x:c r="F66" s="28" t="str">
        <x:v>Primary study - cross-sectional</x:v>
      </x:c>
      <x:c r="G66" s="28" t="str">
        <x:v>Development &amp; presentation; Recognition &amp; diagnosis; Family &amp; education; Social &amp; structural; Treatment &amp; support; Life outcomes &amp; lived experience</x:v>
      </x:c>
      <x:c r="H66" s="28" t="str">
        <x:v>Childhood; Adolescence</x:v>
      </x:c>
      <x:c r="I66" s="28" t="str">
        <x:v>Geography (MeSH): United Kingdom; Setting (MeSH): Mental Health Services</x:v>
      </x:c>
      <x:c r="J66" s="28" t="str">
        <x:v>between 1999 and 2004</x:v>
      </x:c>
      <x:c r="K66" s="28" t="str">
        <x:v>OBJECTIVE: National data suggest that attention-deficit hyperactivity disorder (ADHD) is underdiagnosed in Britain and that parental factors determine service use.</x:v>
      </x:c>
      <x:c r="L66" s="28" t="str">
        <x:v>10.1176/ps.2010.61.8.803</x:v>
      </x:c>
      <x:c r="M66" s="28" t="str">
        <x:v>20675839</x:v>
      </x:c>
      <x:c r="N66" s="31" t="e">
        <x:f>HYPERLINK("https://pubmed.ncbi.nlm.nih.gov/"&amp;M66&amp;"/","Open PubMed")</x:f>
        <x:v>HYPERLINK is not implemented. linkLocation=https://pubmed.ncbi.nlm.nih.gov/20675839/, friendlyName=Open PubMed</x:v>
      </x:c>
      <x:c r="O66" s="31" t="str">
        <x:v>not reported</x:v>
      </x:c>
      <x:c r="P66" s="28" t="str">
        <x:v>abstract only</x:v>
      </x:c>
      <x:c r="Q66" s="28" t="str">
        <x:v>PubMed/MEDLINE export supplied by user | query: not verified from export; see Protocol sheet for reproducible recommended query</x:v>
      </x:c>
      <x:c r="R66" s="28" t="str">
        <x:v>Batch 1 core</x:v>
      </x:c>
      <x:c r="S66" s="28" t="str">
        <x:v>Direct ADHD primary study on diagnosis, family/education, structural conditions, lived experience/outcomes, or environment/lifestyle.</x:v>
      </x:c>
      <x:c r="T66" s="28" t="str">
        <x:v>not apparent from accessed abstract/metadata</x:v>
      </x:c>
      <x:c r="U66" s="28" t="str">
        <x:v>none identified in MEDLINE record</x:v>
      </x:c>
      <x:c r="V66" s="26" t="str">
        <x:v>not reported</x:v>
      </x:c>
      <x:c r="W66" s="28" t="str">
        <x:v>No PMC copy identified; publisher PDF/access must be checked</x:v>
      </x:c>
      <x:c r="X66" s="28" t="str">
        <x:v>Not verified</x:v>
      </x:c>
      <x:c r="Y66" s="31" t="str">
        <x:f>IF(V66="not reported","not reported",HYPERLINK("https://pmc.ncbi.nlm.nih.gov/articles/"&amp;V66&amp;"/","Open Full Text"))</x:f>
        <x:v>not reported</x:v>
      </x:c>
      <x:c r="Z66" s="31" t="e">
        <x:f>IF(L66="not reported","not reported",HYPERLINK("https://doi.org/"&amp;L66,"Open Publisher"))</x:f>
        <x:v>HYPERLINK is not implemented. linkLocation=https://doi.org/10.1176/ps.2010.61.8.803, friendlyName=Open Publisher</x:v>
      </x:c>
      <x:c r="AA66" s="28" t="str">
        <x:v>DOI present in PubMed/MEDLINE; no PMCID present.</x:v>
      </x:c>
      <x:c r="AB66" s="28" t="str">
        <x:v>Open the DOI/publisher page. If PDF is paywalled, try Stony Brook Library access, Article Galaxy, or interlibrary loan.</x:v>
      </x:c>
      <x:c r="AC66" s="26" t="str">
        <x:v>2026-09-20</x:v>
      </x:c>
    </x:row>
    <x:row r="67">
      <x:c r="A67" s="26" t="str">
        <x:v>PUBMED-20615495</x:v>
      </x:c>
      <x:c r="B67" s="28" t="str">
        <x:v>What we can and cannot conclude about the relationship between steep temporal reward discounting and hyperactivity-impulsivity symptoms in attention-deficit/hyperactivity disorder.</x:v>
      </x:c>
      <x:c r="C67" s="28" t="str">
        <x:v>Scheres, Anouk; Hamaker, Ellen L</x:v>
      </x:c>
      <x:c r="D67" s="28" t="n">
        <x:v>2010</x:v>
      </x:c>
      <x:c r="E67" s="28" t="str">
        <x:v>Biological psychiatry</x:v>
      </x:c>
      <x:c r="F67" s="28" t="str">
        <x:v>Primary study - case-control</x:v>
      </x:c>
      <x:c r="G67" s="28" t="str">
        <x:v>Development &amp; presentation; Life outcomes &amp; lived experience</x:v>
      </x:c>
      <x:c r="H67" s="28" t="str">
        <x:v>Not specified</x:v>
      </x:c>
      <x:c r="I67" s="28" t="str">
        <x:v>not reported/not verified</x:v>
      </x:c>
      <x:c r="J67" s="28" t="str">
        <x:v>not reported</x:v>
      </x:c>
      <x:c r="K67" s="28" t="str">
        <x:v>Metadata-only record on: What we can and cannot conclude about the relationship between steep temporal reward discounting and hyperactivity-impulsivity symptoms in attention-deficit/hyperactivity disorder.</x:v>
      </x:c>
      <x:c r="L67" s="28" t="str">
        <x:v>10.1016/j.biopsych.2010.05.021</x:v>
      </x:c>
      <x:c r="M67" s="28" t="str">
        <x:v>20615495</x:v>
      </x:c>
      <x:c r="N67" s="31" t="e">
        <x:f>HYPERLINK("https://pubmed.ncbi.nlm.nih.gov/"&amp;M67&amp;"/","Open PubMed")</x:f>
        <x:v>HYPERLINK is not implemented. linkLocation=https://pubmed.ncbi.nlm.nih.gov/20615495/, friendlyName=Open PubMed</x:v>
      </x:c>
      <x:c r="O67" s="31" t="str">
        <x:v>not reported</x:v>
      </x:c>
      <x:c r="P67" s="28" t="str">
        <x:v>metadata only</x:v>
      </x:c>
      <x:c r="Q67" s="28" t="str">
        <x:v>PubMed/MEDLINE export supplied by user | query: not verified from export; see Protocol sheet for reproducible recommended query</x:v>
      </x:c>
      <x:c r="R67" s="28" t="str">
        <x:v>Batch 1 core</x:v>
      </x:c>
      <x:c r="S67" s="28" t="str">
        <x:v>Direct ADHD primary study on diagnosis, family/education, structural conditions, lived experience/outcomes, or environment/lifestyle.</x:v>
      </x:c>
      <x:c r="T67" s="28" t="str">
        <x:v>not apparent from accessed abstract/metadata</x:v>
      </x:c>
      <x:c r="U67" s="28" t="str">
        <x:v>none identified in MEDLINE record</x:v>
      </x:c>
      <x:c r="V67" s="26" t="str">
        <x:v>not reported</x:v>
      </x:c>
      <x:c r="W67" s="28" t="str">
        <x:v>No PMC copy identified; publisher PDF/access must be checked</x:v>
      </x:c>
      <x:c r="X67" s="28" t="str">
        <x:v>Not verified</x:v>
      </x:c>
      <x:c r="Y67" s="31" t="str">
        <x:f>IF(V67="not reported","not reported",HYPERLINK("https://pmc.ncbi.nlm.nih.gov/articles/"&amp;V67&amp;"/","Open Full Text"))</x:f>
        <x:v>not reported</x:v>
      </x:c>
      <x:c r="Z67" s="31" t="e">
        <x:f>IF(L67="not reported","not reported",HYPERLINK("https://doi.org/"&amp;L67,"Open Publisher"))</x:f>
        <x:v>HYPERLINK is not implemented. linkLocation=https://doi.org/10.1016/j.biopsych.2010.05.021, friendlyName=Open Publisher</x:v>
      </x:c>
      <x:c r="AA67" s="28" t="str">
        <x:v>DOI present in PubMed/MEDLINE; no PMCID present.</x:v>
      </x:c>
      <x:c r="AB67" s="28" t="str">
        <x:v>Open the DOI/publisher page. If PDF is paywalled, try Stony Brook Library access, Article Galaxy, or interlibrary loan.</x:v>
      </x:c>
      <x:c r="AC67" s="26" t="str">
        <x:v>2026-09-20</x:v>
      </x:c>
    </x:row>
    <x:row r="68">
      <x:c r="A68" s="26" t="str">
        <x:v>PUBMED-20582628</x:v>
      </x:c>
      <x:c r="B68" s="28" t="str">
        <x:v>Why does ADHD confer risk for cigarette smoking? A review of psychosocial mechanisms.</x:v>
      </x:c>
      <x:c r="C68" s="28" t="str">
        <x:v>Glass, Kerrie; Flory, Kate</x:v>
      </x:c>
      <x:c r="D68" s="28" t="n">
        <x:v>2010</x:v>
      </x:c>
      <x:c r="E68" s="28" t="str">
        <x:v>Clinical child and family psychology review</x:v>
      </x:c>
      <x:c r="F68" s="28" t="str">
        <x:v>Evidence synthesis - review</x:v>
      </x:c>
      <x:c r="G68" s="28" t="str">
        <x:v>Development &amp; presentation; Social &amp; structural; Environmental &amp; lifestyle; Treatment &amp; support; Historical &amp; contemporary context</x:v>
      </x:c>
      <x:c r="H68" s="28" t="str">
        <x:v>Childhood; Adolescence; Adulthood</x:v>
      </x:c>
      <x:c r="I68" s="28" t="str">
        <x:v>not reported/not verified</x:v>
      </x:c>
      <x:c r="J68" s="28" t="str">
        <x:v>not reported</x:v>
      </x:c>
      <x:c r="K68" s="28" t="str">
        <x:v>Research has documented that adolescents and young adults with attention-deficit/hyperactivity disorder (ADHD) are at increased risk for cigarette smoking, but less attention has examined why this risk exists.</x:v>
      </x:c>
      <x:c r="L68" s="28" t="str">
        <x:v>10.1007/s10567-010-0070-3</x:v>
      </x:c>
      <x:c r="M68" s="28" t="str">
        <x:v>20582628</x:v>
      </x:c>
      <x:c r="N68" s="31" t="e">
        <x:f>HYPERLINK("https://pubmed.ncbi.nlm.nih.gov/"&amp;M68&amp;"/","Open PubMed")</x:f>
        <x:v>HYPERLINK is not implemented. linkLocation=https://pubmed.ncbi.nlm.nih.gov/20582628/, friendlyName=Open PubMed</x:v>
      </x:c>
      <x:c r="O68" s="31" t="str">
        <x:v>not reported</x:v>
      </x:c>
      <x:c r="P68" s="28" t="str">
        <x:v>abstract only</x:v>
      </x:c>
      <x:c r="Q68" s="28" t="str">
        <x:v>PubMed/MEDLINE export supplied by user | query: not verified from export; see Protocol sheet for reproducible recommended query</x:v>
      </x:c>
      <x:c r="R68" s="28" t="str">
        <x:v>Batch 1 core</x:v>
      </x:c>
      <x:c r="S68" s="28" t="str">
        <x:v>Direct ADHD evidence synthesis/guideline with broad multi-topic relevance.</x:v>
      </x:c>
      <x:c r="T68" s="28" t="str">
        <x:v>not apparent from accessed abstract/metadata</x:v>
      </x:c>
      <x:c r="U68" s="28" t="str">
        <x:v>none identified in MEDLINE record</x:v>
      </x:c>
      <x:c r="V68" s="26" t="str">
        <x:v>not reported</x:v>
      </x:c>
      <x:c r="W68" s="28" t="str">
        <x:v>No PMC copy identified; publisher PDF/access must be checked</x:v>
      </x:c>
      <x:c r="X68" s="28" t="str">
        <x:v>Not verified</x:v>
      </x:c>
      <x:c r="Y68" s="31" t="str">
        <x:f>IF(V68="not reported","not reported",HYPERLINK("https://pmc.ncbi.nlm.nih.gov/articles/"&amp;V68&amp;"/","Open Full Text"))</x:f>
        <x:v>not reported</x:v>
      </x:c>
      <x:c r="Z68" s="31" t="e">
        <x:f>IF(L68="not reported","not reported",HYPERLINK("https://doi.org/"&amp;L68,"Open Publisher"))</x:f>
        <x:v>HYPERLINK is not implemented. linkLocation=https://doi.org/10.1007/s10567-010-0070-3, friendlyName=Open Publisher</x:v>
      </x:c>
      <x:c r="AA68" s="28" t="str">
        <x:v>DOI present in PubMed/MEDLINE; no PMCID present.</x:v>
      </x:c>
      <x:c r="AB68" s="28" t="str">
        <x:v>Open the DOI/publisher page. If PDF is paywalled, try Stony Brook Library access, Article Galaxy, or interlibrary loan.</x:v>
      </x:c>
      <x:c r="AC68" s="26" t="str">
        <x:v>2026-09-20</x:v>
      </x:c>
    </x:row>
    <x:row r="69">
      <x:c r="A69" s="26" t="str">
        <x:v>PUBMED-20441004</x:v>
      </x:c>
      <x:c r="B69" s="28" t="str">
        <x:v>Can we prevent smoking in children with ADHD: a review of the literature.</x:v>
      </x:c>
      <x:c r="C69" s="28" t="str">
        <x:v>Modesto-Lowe, Vania; Danforth, Jeffrey S; Neering, Carla; Easton, Caroline</x:v>
      </x:c>
      <x:c r="D69" s="28" t="n">
        <x:v>2010</x:v>
      </x:c>
      <x:c r="E69" s="28" t="str">
        <x:v>Connecticut medicine</x:v>
      </x:c>
      <x:c r="F69" s="28" t="str">
        <x:v>Evidence synthesis - review</x:v>
      </x:c>
      <x:c r="G69" s="28" t="str">
        <x:v>Development &amp; presentation; Social &amp; structural; Environmental &amp; lifestyle; Treatment &amp; support; Life outcomes &amp; lived experience</x:v>
      </x:c>
      <x:c r="H69" s="28" t="str">
        <x:v>Childhood; Adolescence; Adulthood</x:v>
      </x:c>
      <x:c r="I69" s="28" t="str">
        <x:v>not reported/not verified</x:v>
      </x:c>
      <x:c r="J69" s="28" t="str">
        <x:v>2000-2009</x:v>
      </x:c>
      <x:c r="K69" s="28" t="str">
        <x:v>Cigarette smokers pose public health challenges and are over-represented among individuals with attention deficit hyperactivity disorder (ADHD).</x:v>
      </x:c>
      <x:c r="L69" s="28" t="str">
        <x:v>not reported</x:v>
      </x:c>
      <x:c r="M69" s="28" t="str">
        <x:v>20441004</x:v>
      </x:c>
      <x:c r="N69" s="31" t="e">
        <x:f>HYPERLINK("https://pubmed.ncbi.nlm.nih.gov/"&amp;M69&amp;"/","Open PubMed")</x:f>
        <x:v>HYPERLINK is not implemented. linkLocation=https://pubmed.ncbi.nlm.nih.gov/20441004/, friendlyName=Open PubMed</x:v>
      </x:c>
      <x:c r="O69" s="31" t="str">
        <x:v>not reported</x:v>
      </x:c>
      <x:c r="P69" s="28" t="str">
        <x:v>abstract only</x:v>
      </x:c>
      <x:c r="Q69" s="28" t="str">
        <x:v>PubMed/MEDLINE export supplied by user | query: not verified from export; see Protocol sheet for reproducible recommended query</x:v>
      </x:c>
      <x:c r="R69" s="28" t="str">
        <x:v>Batch 1 core</x:v>
      </x:c>
      <x:c r="S69" s="28" t="str">
        <x:v>Direct ADHD evidence synthesis/guideline with broad multi-topic relevance.</x:v>
      </x:c>
      <x:c r="T69" s="28" t="str">
        <x:v>not apparent from accessed abstract/metadata</x:v>
      </x:c>
      <x:c r="U69" s="28" t="str">
        <x:v>none identified in MEDLINE record</x:v>
      </x:c>
      <x:c r="V69" s="26" t="str">
        <x:v>not reported</x:v>
      </x:c>
      <x:c r="W69" s="28" t="str">
        <x:v>No direct PDF/full-text identifier found in PubMed metadata</x:v>
      </x:c>
      <x:c r="X69" s="28" t="str">
        <x:v>Not verified</x:v>
      </x:c>
      <x:c r="Y69" s="31" t="str">
        <x:f>IF(V69="not reported","not reported",HYPERLINK("https://pmc.ncbi.nlm.nih.gov/articles/"&amp;V69&amp;"/","Open Full Text"))</x:f>
        <x:v>not reported</x:v>
      </x:c>
      <x:c r="Z69" s="31" t="str">
        <x:f>IF(L69="not reported","not reported",HYPERLINK("https://doi.org/"&amp;L69,"Open Publisher"))</x:f>
        <x:v>not reported</x:v>
      </x:c>
      <x:c r="AA69" s="28" t="str">
        <x:v>No PMCID or DOI present in the supplied PubMed/MEDLINE record.</x:v>
      </x:c>
      <x:c r="AB69" s="28" t="str">
        <x:v>Search the exact title/PMID in Stony Brook Library; if unavailable, request via interlibrary loan/document delivery.</x:v>
      </x:c>
      <x:c r="AC69" s="26" t="str">
        <x:v>2026-09-20</x:v>
      </x:c>
    </x:row>
    <x:row r="70">
      <x:c r="A70" s="26" t="str">
        <x:v>PUBMED-20349396</x:v>
      </x:c>
      <x:c r="B70" s="28" t="str">
        <x:v>ADHD among a cohort of ethnic minority women.</x:v>
      </x:c>
      <x:c r="C70" s="28" t="str">
        <x:v>Waite, Roberta; Tran, Mary</x:v>
      </x:c>
      <x:c r="D70" s="28" t="n">
        <x:v>2010</x:v>
      </x:c>
      <x:c r="E70" s="28" t="str">
        <x:v>Women &amp; health</x:v>
      </x:c>
      <x:c r="F70" s="28" t="str">
        <x:v>Primary study - cohort</x:v>
      </x:c>
      <x:c r="G70" s="28" t="str">
        <x:v>Development &amp; presentation; Recognition &amp; diagnosis; Family &amp; education; Social &amp; structural; Life outcomes &amp; lived experience</x:v>
      </x:c>
      <x:c r="H70" s="28" t="str">
        <x:v>Adolescence; Adulthood</x:v>
      </x:c>
      <x:c r="I70" s="28" t="str">
        <x:v>not reported/not verified</x:v>
      </x:c>
      <x:c r="J70" s="28" t="str">
        <x:v>not reported</x:v>
      </x:c>
      <x:c r="K70" s="28" t="str">
        <x:v>Attention deficit-hyperactivity disorder has focused primarily on Caucasian boys and men and resulted in limited insight about the experiences of attention deficit-hyperactivity disorder among women from an ethnically diverse background.</x:v>
      </x:c>
      <x:c r="L70" s="28" t="str">
        <x:v>10.1080/03630241003601095</x:v>
      </x:c>
      <x:c r="M70" s="28" t="str">
        <x:v>20349396</x:v>
      </x:c>
      <x:c r="N70" s="31" t="e">
        <x:f>HYPERLINK("https://pubmed.ncbi.nlm.nih.gov/"&amp;M70&amp;"/","Open PubMed")</x:f>
        <x:v>HYPERLINK is not implemented. linkLocation=https://pubmed.ncbi.nlm.nih.gov/20349396/, friendlyName=Open PubMed</x:v>
      </x:c>
      <x:c r="O70" s="31" t="str">
        <x:v>not reported</x:v>
      </x:c>
      <x:c r="P70" s="28" t="str">
        <x:v>abstract only</x:v>
      </x:c>
      <x:c r="Q70" s="28" t="str">
        <x:v>PubMed/MEDLINE export supplied by user | query: not verified from export; see Protocol sheet for reproducible recommended query</x:v>
      </x:c>
      <x:c r="R70" s="28" t="str">
        <x:v>Batch 1 core</x:v>
      </x:c>
      <x:c r="S70" s="28" t="str">
        <x:v>Direct ADHD primary study on diagnosis, family/education, structural conditions, lived experience/outcomes, or environment/lifestyle.</x:v>
      </x:c>
      <x:c r="T70" s="28" t="str">
        <x:v>not apparent from accessed abstract/metadata</x:v>
      </x:c>
      <x:c r="U70" s="28" t="str">
        <x:v>none identified in MEDLINE record</x:v>
      </x:c>
      <x:c r="V70" s="26" t="str">
        <x:v>not reported</x:v>
      </x:c>
      <x:c r="W70" s="28" t="str">
        <x:v>No PMC copy identified; publisher PDF/access must be checked</x:v>
      </x:c>
      <x:c r="X70" s="28" t="str">
        <x:v>Not verified</x:v>
      </x:c>
      <x:c r="Y70" s="31" t="str">
        <x:f>IF(V70="not reported","not reported",HYPERLINK("https://pmc.ncbi.nlm.nih.gov/articles/"&amp;V70&amp;"/","Open Full Text"))</x:f>
        <x:v>not reported</x:v>
      </x:c>
      <x:c r="Z70" s="31" t="e">
        <x:f>IF(L70="not reported","not reported",HYPERLINK("https://doi.org/"&amp;L70,"Open Publisher"))</x:f>
        <x:v>HYPERLINK is not implemented. linkLocation=https://doi.org/10.1080/03630241003601095, friendlyName=Open Publisher</x:v>
      </x:c>
      <x:c r="AA70" s="28" t="str">
        <x:v>DOI present in PubMed/MEDLINE; no PMCID present.</x:v>
      </x:c>
      <x:c r="AB70" s="28" t="str">
        <x:v>Open the DOI/publisher page. If PDF is paywalled, try Stony Brook Library access, Article Galaxy, or interlibrary loan.</x:v>
      </x:c>
      <x:c r="AC70" s="26" t="str">
        <x:v>2026-09-20</x:v>
      </x:c>
    </x:row>
    <x:row r="71">
      <x:c r="A71" s="26" t="str">
        <x:v>PUBMED-20200839</x:v>
      </x:c>
      <x:c r="B71" s="28" t="str">
        <x:v>[Population-based diagnostic study to compare the DSM-IV and the Questionnaire for screening Latin American schoolchildren and adolescents for attention deficit hyperactivity disorder].</x:v>
      </x:c>
      <x:c r="C71" s="28" t="str">
        <x:v>Cornelio-Nieto, J O; Borbolla-Sala, M E; García-Valdovinos, S</x:v>
      </x:c>
      <x:c r="D71" s="28" t="n">
        <x:v>2010</x:v>
      </x:c>
      <x:c r="E71" s="28" t="str">
        <x:v>Revista de neurologia</x:v>
      </x:c>
      <x:c r="F71" s="28" t="str">
        <x:v>Primary study - cross-sectional</x:v>
      </x:c>
      <x:c r="G71" s="28" t="str">
        <x:v>Development &amp; presentation; Recognition &amp; diagnosis; Family &amp; education; Social &amp; structural</x:v>
      </x:c>
      <x:c r="H71" s="28" t="str">
        <x:v>Childhood; Adolescence</x:v>
      </x:c>
      <x:c r="I71" s="28" t="str">
        <x:v>not reported/not verified</x:v>
      </x:c>
      <x:c r="J71" s="28" t="str">
        <x:v>not reported</x:v>
      </x:c>
      <x:c r="K71" s="28" t="str">
        <x:v>AIM: To detect attention deficit hyperactivity disorder (ADHD) in children between 4 and 14 years of age by means of the Questionnaire for screening Latin American schoolchildren and adolescents for ADHD (QLSA-ADHD) and the criteria of the Diagnostic and statistical manual of mental disorders, fourth edition, ADHD version (DSM-IV ADHD).</x:v>
      </x:c>
      <x:c r="L71" s="28" t="str">
        <x:v>not reported</x:v>
      </x:c>
      <x:c r="M71" s="28" t="str">
        <x:v>20200839</x:v>
      </x:c>
      <x:c r="N71" s="31" t="e">
        <x:f>HYPERLINK("https://pubmed.ncbi.nlm.nih.gov/"&amp;M71&amp;"/","Open PubMed")</x:f>
        <x:v>HYPERLINK is not implemented. linkLocation=https://pubmed.ncbi.nlm.nih.gov/20200839/, friendlyName=Open PubMed</x:v>
      </x:c>
      <x:c r="O71" s="31" t="str">
        <x:v>not reported</x:v>
      </x:c>
      <x:c r="P71" s="28" t="str">
        <x:v>abstract only</x:v>
      </x:c>
      <x:c r="Q71" s="28" t="str">
        <x:v>PubMed/MEDLINE export supplied by user | query: not verified from export; see Protocol sheet for reproducible recommended query</x:v>
      </x:c>
      <x:c r="R71" s="28" t="str">
        <x:v>Batch 1 core</x:v>
      </x:c>
      <x:c r="S71" s="28" t="str">
        <x:v>Direct ADHD primary study on diagnosis, family/education, structural conditions, lived experience/outcomes, or environment/lifestyle.</x:v>
      </x:c>
      <x:c r="T71" s="28" t="str">
        <x:v>not apparent from accessed abstract/metadata</x:v>
      </x:c>
      <x:c r="U71" s="28" t="str">
        <x:v>none identified in MEDLINE record</x:v>
      </x:c>
      <x:c r="V71" s="26" t="str">
        <x:v>not reported</x:v>
      </x:c>
      <x:c r="W71" s="28" t="str">
        <x:v>No direct PDF/full-text identifier found in PubMed metadata</x:v>
      </x:c>
      <x:c r="X71" s="28" t="str">
        <x:v>Not verified</x:v>
      </x:c>
      <x:c r="Y71" s="31" t="str">
        <x:f>IF(V71="not reported","not reported",HYPERLINK("https://pmc.ncbi.nlm.nih.gov/articles/"&amp;V71&amp;"/","Open Full Text"))</x:f>
        <x:v>not reported</x:v>
      </x:c>
      <x:c r="Z71" s="31" t="str">
        <x:f>IF(L71="not reported","not reported",HYPERLINK("https://doi.org/"&amp;L71,"Open Publisher"))</x:f>
        <x:v>not reported</x:v>
      </x:c>
      <x:c r="AA71" s="28" t="str">
        <x:v>No PMCID or DOI present in the supplied PubMed/MEDLINE record.</x:v>
      </x:c>
      <x:c r="AB71" s="28" t="str">
        <x:v>Search the exact title/PMID in Stony Brook Library; if unavailable, request via interlibrary loan/document delivery.</x:v>
      </x:c>
      <x:c r="AC71" s="26" t="str">
        <x:v>2026-09-20</x:v>
      </x:c>
    </x:row>
    <x:row r="72">
      <x:c r="A72" s="26" t="str">
        <x:v>PUBMED-20080984</x:v>
      </x:c>
      <x:c r="B72" s="28" t="str">
        <x:v>Adult psychiatric outcomes of girls with attention deficit hyperactivity disorder: 11-year follow-up in a longitudinal case-control study.</x:v>
      </x:c>
      <x:c r="C72" s="28" t="str">
        <x:v>Biederman, Joseph; Petty, Carter R; Monuteaux, Michael C; Fried, Ronna; Byrne, Deirdre; Mirto, Tara; Spencer, Thomas; Wilens, Timothy E; Faraone, Stephen V</x:v>
      </x:c>
      <x:c r="D72" s="28" t="n">
        <x:v>2010</x:v>
      </x:c>
      <x:c r="E72" s="28" t="str">
        <x:v>The American journal of psychiatry</x:v>
      </x:c>
      <x:c r="F72" s="28" t="str">
        <x:v>Primary study - case-control</x:v>
      </x:c>
      <x:c r="G72" s="28" t="str">
        <x:v>Development &amp; presentation; Recognition &amp; diagnosis; Social &amp; structural; Treatment &amp; support; Life outcomes &amp; lived experience</x:v>
      </x:c>
      <x:c r="H72" s="28" t="str">
        <x:v>Childhood; Adolescence; Adulthood; mean age=22 years</x:v>
      </x:c>
      <x:c r="I72" s="28" t="str">
        <x:v>not reported/not verified</x:v>
      </x:c>
      <x:c r="J72" s="28" t="str">
        <x:v>not reported</x:v>
      </x:c>
      <x:c r="K72" s="28" t="str">
        <x:v>OBJECTIVE: Few follow-up studies have been conducted of girls with ADHD, and none have followed girls into adulthood.</x:v>
      </x:c>
      <x:c r="L72" s="28" t="str">
        <x:v>10.1176/appi.ajp.2009.09050736</x:v>
      </x:c>
      <x:c r="M72" s="28" t="str">
        <x:v>20080984</x:v>
      </x:c>
      <x:c r="N72" s="31" t="e">
        <x:f>HYPERLINK("https://pubmed.ncbi.nlm.nih.gov/"&amp;M72&amp;"/","Open PubMed")</x:f>
        <x:v>HYPERLINK is not implemented. linkLocation=https://pubmed.ncbi.nlm.nih.gov/20080984/, friendlyName=Open PubMed</x:v>
      </x:c>
      <x:c r="O72" s="31" t="str">
        <x:v>not reported</x:v>
      </x:c>
      <x:c r="P72" s="28" t="str">
        <x:v>abstract only</x:v>
      </x:c>
      <x:c r="Q72" s="28" t="str">
        <x:v>PubMed/MEDLINE export supplied by user | query: not verified from export; see Protocol sheet for reproducible recommended query</x:v>
      </x:c>
      <x:c r="R72" s="28" t="str">
        <x:v>Batch 1 core</x:v>
      </x:c>
      <x:c r="S72" s="28" t="str">
        <x:v>Direct ADHD primary study on diagnosis, family/education, structural conditions, lived experience/outcomes, or environment/lifestyle.</x:v>
      </x:c>
      <x:c r="T72" s="28" t="str">
        <x:v>not apparent from accessed abstract/metadata</x:v>
      </x:c>
      <x:c r="U72" s="28" t="str">
        <x:v>none identified in MEDLINE record</x:v>
      </x:c>
      <x:c r="V72" s="26" t="str">
        <x:v>not reported</x:v>
      </x:c>
      <x:c r="W72" s="28" t="str">
        <x:v>No PMC copy identified; publisher PDF/access must be checked</x:v>
      </x:c>
      <x:c r="X72" s="28" t="str">
        <x:v>Not verified</x:v>
      </x:c>
      <x:c r="Y72" s="31" t="str">
        <x:f>IF(V72="not reported","not reported",HYPERLINK("https://pmc.ncbi.nlm.nih.gov/articles/"&amp;V72&amp;"/","Open Full Text"))</x:f>
        <x:v>not reported</x:v>
      </x:c>
      <x:c r="Z72" s="31" t="e">
        <x:f>IF(L72="not reported","not reported",HYPERLINK("https://doi.org/"&amp;L72,"Open Publisher"))</x:f>
        <x:v>HYPERLINK is not implemented. linkLocation=https://doi.org/10.1176/appi.ajp.2009.09050736, friendlyName=Open Publisher</x:v>
      </x:c>
      <x:c r="AA72" s="28" t="str">
        <x:v>DOI present in PubMed/MEDLINE; no PMCID present.</x:v>
      </x:c>
      <x:c r="AB72" s="28" t="str">
        <x:v>Open the DOI/publisher page. If PDF is paywalled, try Stony Brook Library access, Article Galaxy, or interlibrary loan.</x:v>
      </x:c>
      <x:c r="AC72" s="26" t="str">
        <x:v>2026-09-20</x:v>
      </x:c>
    </x:row>
    <x:row r="73">
      <x:c r="A73" s="26" t="str">
        <x:v>PUBMED-20080521</x:v>
      </x:c>
      <x:c r="B73" s="28" t="str">
        <x:v>Information needs of parents of children with attention-deficit/hyperactivity disorder.</x:v>
      </x:c>
      <x:c r="C73" s="28" t="str">
        <x:v>Sciberras, Emma; Iyer, Shobha; Efron, Daryl; Green, Julie</x:v>
      </x:c>
      <x:c r="D73" s="28" t="n">
        <x:v>2010</x:v>
      </x:c>
      <x:c r="E73" s="28" t="str">
        <x:v>Clinical pediatrics</x:v>
      </x:c>
      <x:c r="F73" s="28" t="str">
        <x:v>Primary study - cohort</x:v>
      </x:c>
      <x:c r="G73" s="28" t="str">
        <x:v>Development &amp; presentation; Recognition &amp; diagnosis; Family &amp; education; Social &amp; structural; Treatment &amp; support; Historical &amp; contemporary context</x:v>
      </x:c>
      <x:c r="H73" s="28" t="str">
        <x:v>Childhood; Adolescence; Adulthood</x:v>
      </x:c>
      <x:c r="I73" s="28" t="str">
        <x:v>not reported/not verified</x:v>
      </x:c>
      <x:c r="J73" s="28" t="str">
        <x:v>not reported</x:v>
      </x:c>
      <x:c r="K73" s="28" t="str">
        <x:v>OBJECTIVE: To determine the information needs of parents of children with attention-deficit/hyperactivity disorder (ADHD).</x:v>
      </x:c>
      <x:c r="L73" s="28" t="str">
        <x:v>10.1177/0009922809346730</x:v>
      </x:c>
      <x:c r="M73" s="28" t="str">
        <x:v>20080521</x:v>
      </x:c>
      <x:c r="N73" s="31" t="e">
        <x:f>HYPERLINK("https://pubmed.ncbi.nlm.nih.gov/"&amp;M73&amp;"/","Open PubMed")</x:f>
        <x:v>HYPERLINK is not implemented. linkLocation=https://pubmed.ncbi.nlm.nih.gov/20080521/, friendlyName=Open PubMed</x:v>
      </x:c>
      <x:c r="O73" s="31" t="str">
        <x:v>not reported</x:v>
      </x:c>
      <x:c r="P73" s="28" t="str">
        <x:v>abstract only</x:v>
      </x:c>
      <x:c r="Q73" s="28" t="str">
        <x:v>PubMed/MEDLINE export supplied by user | query: not verified from export; see Protocol sheet for reproducible recommended query</x:v>
      </x:c>
      <x:c r="R73" s="28" t="str">
        <x:v>Batch 1 core</x:v>
      </x:c>
      <x:c r="S73" s="28" t="str">
        <x:v>Direct ADHD primary study on diagnosis, family/education, structural conditions, lived experience/outcomes, or environment/lifestyle.</x:v>
      </x:c>
      <x:c r="T73" s="28" t="str">
        <x:v>not apparent from accessed abstract/metadata</x:v>
      </x:c>
      <x:c r="U73" s="28" t="str">
        <x:v>none identified in MEDLINE record</x:v>
      </x:c>
      <x:c r="V73" s="26" t="str">
        <x:v>not reported</x:v>
      </x:c>
      <x:c r="W73" s="28" t="str">
        <x:v>No PMC copy identified; publisher PDF/access must be checked</x:v>
      </x:c>
      <x:c r="X73" s="28" t="str">
        <x:v>Not verified</x:v>
      </x:c>
      <x:c r="Y73" s="31" t="str">
        <x:f>IF(V73="not reported","not reported",HYPERLINK("https://pmc.ncbi.nlm.nih.gov/articles/"&amp;V73&amp;"/","Open Full Text"))</x:f>
        <x:v>not reported</x:v>
      </x:c>
      <x:c r="Z73" s="31" t="e">
        <x:f>IF(L73="not reported","not reported",HYPERLINK("https://doi.org/"&amp;L73,"Open Publisher"))</x:f>
        <x:v>HYPERLINK is not implemented. linkLocation=https://doi.org/10.1177/0009922809346730, friendlyName=Open Publisher</x:v>
      </x:c>
      <x:c r="AA73" s="28" t="str">
        <x:v>DOI present in PubMed/MEDLINE; no PMCID present.</x:v>
      </x:c>
      <x:c r="AB73" s="28" t="str">
        <x:v>Open the DOI/publisher page. If PDF is paywalled, try Stony Brook Library access, Article Galaxy, or interlibrary loan.</x:v>
      </x:c>
      <x:c r="AC73" s="26" t="str">
        <x:v>2026-09-20</x:v>
      </x:c>
    </x:row>
    <x:row r="74">
      <x:c r="A74" s="26" t="str">
        <x:v>PUBMED-20051220</x:v>
      </x:c>
      <x:c r="B74" s="28" t="str">
        <x:v>A comparison of the efficacy of medications for adult attention-deficit/hyperactivity disorder using meta-analysis of effect sizes.</x:v>
      </x:c>
      <x:c r="C74" s="28" t="str">
        <x:v>Faraone, Stephen V; Glatt, Stephen J</x:v>
      </x:c>
      <x:c r="D74" s="28" t="n">
        <x:v>2010</x:v>
      </x:c>
      <x:c r="E74" s="28" t="str">
        <x:v>The Journal of clinical psychiatry</x:v>
      </x:c>
      <x:c r="F74" s="28" t="str">
        <x:v>Evidence synthesis - meta-analysis</x:v>
      </x:c>
      <x:c r="G74" s="28" t="str">
        <x:v>Development &amp; presentation; Recognition &amp; diagnosis; Social &amp; structural; Treatment &amp; support; Life outcomes &amp; lived experience</x:v>
      </x:c>
      <x:c r="H74" s="28" t="str">
        <x:v>Childhood; Adolescence; Adulthood</x:v>
      </x:c>
      <x:c r="I74" s="28" t="str">
        <x:v>not reported/not verified</x:v>
      </x:c>
      <x:c r="J74" s="28" t="str">
        <x:v>not reported</x:v>
      </x:c>
      <x:c r="K74" s="28" t="str">
        <x:v>OBJECTIVES: Medications used to treat attention-deficit/hyperactivity disorder (ADHD) in adults have been well researched, but comparisons among drugs are hindered by the absence of direct comparative trials.</x:v>
      </x:c>
      <x:c r="L74" s="28" t="str">
        <x:v>10.4088/JCP.08m04902pur</x:v>
      </x:c>
      <x:c r="M74" s="28" t="str">
        <x:v>20051220</x:v>
      </x:c>
      <x:c r="N74" s="31" t="e">
        <x:f>HYPERLINK("https://pubmed.ncbi.nlm.nih.gov/"&amp;M74&amp;"/","Open PubMed")</x:f>
        <x:v>HYPERLINK is not implemented. linkLocation=https://pubmed.ncbi.nlm.nih.gov/20051220/, friendlyName=Open PubMed</x:v>
      </x:c>
      <x:c r="O74" s="31" t="str">
        <x:v>not reported</x:v>
      </x:c>
      <x:c r="P74" s="28" t="str">
        <x:v>abstract only</x:v>
      </x:c>
      <x:c r="Q74" s="28" t="str">
        <x:v>PubMed/MEDLINE export supplied by user | query: not verified from export; see Protocol sheet for reproducible recommended query</x:v>
      </x:c>
      <x:c r="R74" s="28" t="str">
        <x:v>Batch 1 core</x:v>
      </x:c>
      <x:c r="S74" s="28" t="str">
        <x:v>Direct ADHD evidence synthesis/guideline with broad multi-topic relevance.</x:v>
      </x:c>
      <x:c r="T74" s="28" t="str">
        <x:v>not apparent from accessed abstract/metadata</x:v>
      </x:c>
      <x:c r="U74" s="28" t="str">
        <x:v>none identified in MEDLINE record</x:v>
      </x:c>
      <x:c r="V74" s="26" t="str">
        <x:v>not reported</x:v>
      </x:c>
      <x:c r="W74" s="28" t="str">
        <x:v>No PMC copy identified; publisher PDF/access must be checked</x:v>
      </x:c>
      <x:c r="X74" s="28" t="str">
        <x:v>Not verified</x:v>
      </x:c>
      <x:c r="Y74" s="31" t="str">
        <x:f>IF(V74="not reported","not reported",HYPERLINK("https://pmc.ncbi.nlm.nih.gov/articles/"&amp;V74&amp;"/","Open Full Text"))</x:f>
        <x:v>not reported</x:v>
      </x:c>
      <x:c r="Z74" s="31" t="e">
        <x:f>IF(L74="not reported","not reported",HYPERLINK("https://doi.org/"&amp;L74,"Open Publisher"))</x:f>
        <x:v>HYPERLINK is not implemented. linkLocation=https://doi.org/10.4088/JCP.08m04902pur, friendlyName=Open Publisher</x:v>
      </x:c>
      <x:c r="AA74" s="28" t="str">
        <x:v>DOI present in PubMed/MEDLINE; no PMCID present.</x:v>
      </x:c>
      <x:c r="AB74" s="28" t="str">
        <x:v>Open the DOI/publisher page. If PDF is paywalled, try Stony Brook Library access, Article Galaxy, or interlibrary loan.</x:v>
      </x:c>
      <x:c r="AC74" s="26" t="str">
        <x:v>2026-09-20</x:v>
      </x:c>
    </x:row>
    <x:row r="75">
      <x:c r="A75" s="26" t="str">
        <x:v>PUBMED-20026087</x:v>
      </x:c>
      <x:c r="B75" s="28" t="str">
        <x:v>Action monitoring in children with or without a family history of ADHD--effects of gender on an endophenotype parameter.</x:v>
      </x:c>
      <x:c r="C75" s="28" t="str">
        <x:v>Albrecht, Björn; Brandeis, Daniel; Uebel, Henrik; Heinrich, Hartmut; Heise, Alexander; Hasselhorn, Marcus; Rothenberger, Aribert; Banaschewski, Tobias</x:v>
      </x:c>
      <x:c r="D75" s="28" t="n">
        <x:v>2010</x:v>
      </x:c>
      <x:c r="E75" s="28" t="str">
        <x:v>Neuropsychologia</x:v>
      </x:c>
      <x:c r="F75" s="28" t="str">
        <x:v>Primary study - case-control</x:v>
      </x:c>
      <x:c r="G75" s="28" t="str">
        <x:v>Development &amp; presentation; Recognition &amp; diagnosis; Family &amp; education; Social &amp; structural; Treatment &amp; support; Historical &amp; contemporary context</x:v>
      </x:c>
      <x:c r="H75" s="28" t="str">
        <x:v>Childhood; Adolescence; aged 8-15 years</x:v>
      </x:c>
      <x:c r="I75" s="28" t="str">
        <x:v>not reported/not verified</x:v>
      </x:c>
      <x:c r="J75" s="28" t="str">
        <x:v>not reported</x:v>
      </x:c>
      <x:c r="K75" s="28" t="str">
        <x:v>Attention-deficit/hyperactivity disorder (ADHD) is a frequent and highly heritable disorder overrepresented in boys.</x:v>
      </x:c>
      <x:c r="L75" s="28" t="str">
        <x:v>10.1016/j.neuropsychologia.2009.12.018</x:v>
      </x:c>
      <x:c r="M75" s="28" t="str">
        <x:v>20026087</x:v>
      </x:c>
      <x:c r="N75" s="31" t="e">
        <x:f>HYPERLINK("https://pubmed.ncbi.nlm.nih.gov/"&amp;M75&amp;"/","Open PubMed")</x:f>
        <x:v>HYPERLINK is not implemented. linkLocation=https://pubmed.ncbi.nlm.nih.gov/20026087/, friendlyName=Open PubMed</x:v>
      </x:c>
      <x:c r="O75" s="31" t="e">
        <x:f>HYPERLINK("https://pmc.ncbi.nlm.nih.gov/articles/PMC2878640/","Open Full Text")</x:f>
        <x:v>HYPERLINK is not implemented. linkLocation=https://pmc.ncbi.nlm.nih.gov/articles/PMC2878640/, friendlyName=Open Full Text</x:v>
      </x:c>
      <x:c r="P75" s="28" t="str">
        <x:v>abstract only</x:v>
      </x:c>
      <x:c r="Q75" s="28" t="str">
        <x:v>PubMed/MEDLINE export supplied by user | query: not verified from export; see Protocol sheet for reproducible recommended query</x:v>
      </x:c>
      <x:c r="R75" s="28" t="str">
        <x:v>Batch 1 core</x:v>
      </x:c>
      <x:c r="S75" s="28" t="str">
        <x:v>Direct ADHD primary study on diagnosis, family/education, structural conditions, lived experience/outcomes, or environment/lifestyle.</x:v>
      </x:c>
      <x:c r="T75" s="28" t="str">
        <x:v>not apparent from accessed abstract/metadata</x:v>
      </x:c>
      <x:c r="U75" s="28" t="str">
        <x:v>none identified in MEDLINE record</x:v>
      </x:c>
      <x:c r="V75" s="26" t="str">
        <x:v>PMC2878640</x:v>
      </x:c>
      <x:c r="W75" s="28" t="str">
        <x:v>PDF available via PMC (verified free full text)</x:v>
      </x:c>
      <x:c r="X75" s="28" t="str">
        <x:v>Yes — PMC</x:v>
      </x:c>
      <x:c r="Y75" s="31" t="e">
        <x:f>IF(V75="not reported","not reported",HYPERLINK("https://pmc.ncbi.nlm.nih.gov/articles/"&amp;V75&amp;"/","Open Full Text"))</x:f>
        <x:v>HYPERLINK is not implemented. linkLocation=https://pmc.ncbi.nlm.nih.gov/articles/PMC2878640/, friendlyName=Open Full Text</x:v>
      </x:c>
      <x:c r="Z75" s="31" t="e">
        <x:f>IF(L75="not reported","not reported",HYPERLINK("https://doi.org/"&amp;L75,"Open Publisher"))</x:f>
        <x:v>HYPERLINK is not implemented. linkLocation=https://doi.org/10.1016/j.neuropsychologia.2009.12.018, friendlyName=Open Publisher</x:v>
      </x:c>
      <x:c r="AA75" s="28" t="str">
        <x:v>PMCID PMC2878640 present in the PubMed/MEDLINE record.</x:v>
      </x:c>
      <x:c r="AB75" s="28" t="str">
        <x:v>Open the PMC full-text page and use its PDF button/download option.</x:v>
      </x:c>
      <x:c r="AC75" s="26" t="str">
        <x:v>2026-09-20</x:v>
      </x:c>
    </x:row>
    <x:row r="76">
      <x:c r="A76" s="26" t="str">
        <x:v>PUBMED-19603419</x:v>
      </x:c>
      <x:c r="B76" s="28" t="str">
        <x:v>Meta-analysis of brain-derived neurotrophic factor p.Val66Met in adult ADHD in four European populations.</x:v>
      </x:c>
      <x:c r="C76" s="28" t="str">
        <x:v>Sánchez-Mora, C; Ribasés, M; Ramos-Quiroga, J A; Casas, M; Bosch, R; Boreatti-Hümmer, A; Heine, M; Jacob, C P; Lesch, K-P; Fasmer, O B; Knappskog, P M; Kooij, J J Sandra; Kan, C; Buitelaar, J K; Mick, E; Asherson, P; Faraone, S V; Franke, B; Johansson, S; Haavik, J; Reif, A; Bayés, M; Cormand, B</x:v>
      </x:c>
      <x:c r="D76" s="28" t="n">
        <x:v>2010</x:v>
      </x:c>
      <x:c r="E76" s="28" t="str">
        <x:v>American journal of medical genetics. Part B, Neuropsychiatric genetics : the official publication of the International Society of Psychiatric Genetics</x:v>
      </x:c>
      <x:c r="F76" s="28" t="str">
        <x:v>Evidence synthesis - meta-analysis</x:v>
      </x:c>
      <x:c r="G76" s="28" t="str">
        <x:v>Development &amp; presentation; Family &amp; education; Social &amp; structural</x:v>
      </x:c>
      <x:c r="H76" s="28" t="str">
        <x:v>Adolescence; Adulthood</x:v>
      </x:c>
      <x:c r="I76" s="28" t="str">
        <x:v>not reported/not verified</x:v>
      </x:c>
      <x:c r="J76" s="28" t="str">
        <x:v>not reported</x:v>
      </x:c>
      <x:c r="K76" s="28" t="str">
        <x:v>Attention-deficit hyperactivity disorder (ADHD) is a multifactorial, neurodevelopmental disorder that often persists into adolescence and adulthood and is characterized by inattention, hyperactivity and impulsiveness.</x:v>
      </x:c>
      <x:c r="L76" s="28" t="str">
        <x:v>10.1002/ajmg.b.31008</x:v>
      </x:c>
      <x:c r="M76" s="28" t="str">
        <x:v>19603419</x:v>
      </x:c>
      <x:c r="N76" s="31" t="e">
        <x:f>HYPERLINK("https://pubmed.ncbi.nlm.nih.gov/"&amp;M76&amp;"/","Open PubMed")</x:f>
        <x:v>HYPERLINK is not implemented. linkLocation=https://pubmed.ncbi.nlm.nih.gov/19603419/, friendlyName=Open PubMed</x:v>
      </x:c>
      <x:c r="O76" s="31" t="str">
        <x:v>not reported</x:v>
      </x:c>
      <x:c r="P76" s="28" t="str">
        <x:v>abstract only</x:v>
      </x:c>
      <x:c r="Q76" s="28" t="str">
        <x:v>PubMed/MEDLINE export supplied by user | query: not verified from export; see Protocol sheet for reproducible recommended query</x:v>
      </x:c>
      <x:c r="R76" s="28" t="str">
        <x:v>Batch 1 core</x:v>
      </x:c>
      <x:c r="S76" s="28" t="str">
        <x:v>Direct ADHD evidence synthesis/guideline with broad multi-topic relevance.</x:v>
      </x:c>
      <x:c r="T76" s="28" t="str">
        <x:v>not apparent from accessed abstract/metadata</x:v>
      </x:c>
      <x:c r="U76" s="28" t="str">
        <x:v>none identified in MEDLINE record</x:v>
      </x:c>
      <x:c r="V76" s="26" t="str">
        <x:v>not reported</x:v>
      </x:c>
      <x:c r="W76" s="28" t="str">
        <x:v>No PMC copy identified; publisher PDF/access must be checked</x:v>
      </x:c>
      <x:c r="X76" s="28" t="str">
        <x:v>Not verified</x:v>
      </x:c>
      <x:c r="Y76" s="31" t="str">
        <x:f>IF(V76="not reported","not reported",HYPERLINK("https://pmc.ncbi.nlm.nih.gov/articles/"&amp;V76&amp;"/","Open Full Text"))</x:f>
        <x:v>not reported</x:v>
      </x:c>
      <x:c r="Z76" s="31" t="e">
        <x:f>IF(L76="not reported","not reported",HYPERLINK("https://doi.org/"&amp;L76,"Open Publisher"))</x:f>
        <x:v>HYPERLINK is not implemented. linkLocation=https://doi.org/10.1002/ajmg.b.31008, friendlyName=Open Publisher</x:v>
      </x:c>
      <x:c r="AA76" s="28" t="str">
        <x:v>DOI present in PubMed/MEDLINE; no PMCID present.</x:v>
      </x:c>
      <x:c r="AB76" s="28" t="str">
        <x:v>Open the DOI/publisher page. If PDF is paywalled, try Stony Brook Library access, Article Galaxy, or interlibrary loan.</x:v>
      </x:c>
      <x:c r="AC76" s="26" t="str">
        <x:v>2026-09-20</x:v>
      </x:c>
    </x:row>
    <x:row r="77">
      <x:c r="A77" s="26" t="str">
        <x:v>PUBMED-19482837</x:v>
      </x:c>
      <x:c r="B77" s="28" t="str">
        <x:v>The presence of attention-deficit hyperactivity disorder (ADHD) and obsessive-compulsive disorder worsen psychosocial and educational problems in Tourette syndrome.</x:v>
      </x:c>
      <x:c r="C77" s="28" t="str">
        <x:v>Debes, Nanette; Hjalgrim, Helle; Skov, Liselotte</x:v>
      </x:c>
      <x:c r="D77" s="28" t="n">
        <x:v>2010</x:v>
      </x:c>
      <x:c r="E77" s="28" t="str">
        <x:v>Journal of child neurology</x:v>
      </x:c>
      <x:c r="F77" s="28" t="str">
        <x:v>Primary study - cohort</x:v>
      </x:c>
      <x:c r="G77" s="28" t="str">
        <x:v>Development &amp; presentation; Family &amp; education; Social &amp; structural</x:v>
      </x:c>
      <x:c r="H77" s="28" t="str">
        <x:v>Childhood; Adolescence; Adulthood</x:v>
      </x:c>
      <x:c r="I77" s="28" t="str">
        <x:v>not reported/not verified</x:v>
      </x:c>
      <x:c r="J77" s="28" t="str">
        <x:v>not reported</x:v>
      </x:c>
      <x:c r="K77" s="28" t="str">
        <x:v>We assessed the psychosocial and educational consequences of Tourette syndrome using a structured interview and child behavior checklist in 314 children with Tourette syndrome and 81 healthy controls.</x:v>
      </x:c>
      <x:c r="L77" s="28" t="str">
        <x:v>10.1177/0883073809336215</x:v>
      </x:c>
      <x:c r="M77" s="28" t="str">
        <x:v>19482837</x:v>
      </x:c>
      <x:c r="N77" s="31" t="e">
        <x:f>HYPERLINK("https://pubmed.ncbi.nlm.nih.gov/"&amp;M77&amp;"/","Open PubMed")</x:f>
        <x:v>HYPERLINK is not implemented. linkLocation=https://pubmed.ncbi.nlm.nih.gov/19482837/, friendlyName=Open PubMed</x:v>
      </x:c>
      <x:c r="O77" s="31" t="str">
        <x:v>not reported</x:v>
      </x:c>
      <x:c r="P77" s="28" t="str">
        <x:v>abstract only</x:v>
      </x:c>
      <x:c r="Q77" s="28" t="str">
        <x:v>PubMed/MEDLINE export supplied by user | query: not verified from export; see Protocol sheet for reproducible recommended query</x:v>
      </x:c>
      <x:c r="R77" s="28" t="str">
        <x:v>Batch 1 core</x:v>
      </x:c>
      <x:c r="S77" s="28" t="str">
        <x:v>Direct ADHD primary study on diagnosis, family/education, structural conditions, lived experience/outcomes, or environment/lifestyle.</x:v>
      </x:c>
      <x:c r="T77" s="28" t="str">
        <x:v>not apparent from accessed abstract/metadata</x:v>
      </x:c>
      <x:c r="U77" s="28" t="str">
        <x:v>none identified in MEDLINE record</x:v>
      </x:c>
      <x:c r="V77" s="26" t="str">
        <x:v>not reported</x:v>
      </x:c>
      <x:c r="W77" s="28" t="str">
        <x:v>No PMC copy identified; publisher PDF/access must be checked</x:v>
      </x:c>
      <x:c r="X77" s="28" t="str">
        <x:v>Not verified</x:v>
      </x:c>
      <x:c r="Y77" s="31" t="str">
        <x:f>IF(V77="not reported","not reported",HYPERLINK("https://pmc.ncbi.nlm.nih.gov/articles/"&amp;V77&amp;"/","Open Full Text"))</x:f>
        <x:v>not reported</x:v>
      </x:c>
      <x:c r="Z77" s="31" t="e">
        <x:f>IF(L77="not reported","not reported",HYPERLINK("https://doi.org/"&amp;L77,"Open Publisher"))</x:f>
        <x:v>HYPERLINK is not implemented. linkLocation=https://doi.org/10.1177/0883073809336215, friendlyName=Open Publisher</x:v>
      </x:c>
      <x:c r="AA77" s="28" t="str">
        <x:v>DOI present in PubMed/MEDLINE; no PMCID present.</x:v>
      </x:c>
      <x:c r="AB77" s="28" t="str">
        <x:v>Open the DOI/publisher page. If PDF is paywalled, try Stony Brook Library access, Article Galaxy, or interlibrary loan.</x:v>
      </x:c>
      <x:c r="AC77" s="26" t="str">
        <x:v>2026-09-20</x:v>
      </x:c>
    </x:row>
    <x:row r="78">
      <x:c r="A78" s="26" t="str">
        <x:v>PUBMED-20660947</x:v>
      </x:c>
      <x:c r="B78" s="28" t="str">
        <x:v>[Event-related potentials associated with error detection in adult ADHD--literature review].</x:v>
      </x:c>
      <x:c r="C78" s="28" t="str">
        <x:v>Balogh, Lívia; Komlósi, Sarolta; Papp, Szilvia; Tombor, László; Simon, Viktória; Czobor, Pál</x:v>
      </x:c>
      <x:c r="D78" s="28" t="n">
        <x:v>2010</x:v>
      </x:c>
      <x:c r="E78" s="28" t="str">
        <x:v>Psychiatria Hungarica : A Magyar Pszichiatriai Tarsasag tudomanyos folyoirata</x:v>
      </x:c>
      <x:c r="F78" s="28" t="str">
        <x:v>Evidence synthesis - review</x:v>
      </x:c>
      <x:c r="G78" s="28" t="str">
        <x:v>Development &amp; presentation; Recognition &amp; diagnosis; Social &amp; structural; Environmental &amp; lifestyle</x:v>
      </x:c>
      <x:c r="H78" s="28" t="str">
        <x:v>Adulthood</x:v>
      </x:c>
      <x:c r="I78" s="28" t="str">
        <x:v>Geography (MeSH): Hungary</x:v>
      </x:c>
      <x:c r="J78" s="28" t="str">
        <x:v>between 1993 and 2010</x:v>
      </x:c>
      <x:c r="K78" s="28" t="str">
        <x:v>For the purpose of the current paper we reviewed publications summarizing results of clinical studies.</x:v>
      </x:c>
      <x:c r="L78" s="28" t="str">
        <x:v>not reported</x:v>
      </x:c>
      <x:c r="M78" s="28" t="str">
        <x:v>20660947</x:v>
      </x:c>
      <x:c r="N78" s="31" t="e">
        <x:f>HYPERLINK("https://pubmed.ncbi.nlm.nih.gov/"&amp;M78&amp;"/","Open PubMed")</x:f>
        <x:v>HYPERLINK is not implemented. linkLocation=https://pubmed.ncbi.nlm.nih.gov/20660947/, friendlyName=Open PubMed</x:v>
      </x:c>
      <x:c r="O78" s="31" t="str">
        <x:v>not reported</x:v>
      </x:c>
      <x:c r="P78" s="28" t="str">
        <x:v>abstract only</x:v>
      </x:c>
      <x:c r="Q78" s="28" t="str">
        <x:v>PubMed/MEDLINE export supplied by user | query: not verified from export; see Protocol sheet for reproducible recommended query</x:v>
      </x:c>
      <x:c r="R78" s="28" t="str">
        <x:v>Batch 1 core</x:v>
      </x:c>
      <x:c r="S78" s="28" t="str">
        <x:v>Direct ADHD evidence synthesis/guideline with broad multi-topic relevance.</x:v>
      </x:c>
      <x:c r="T78" s="28" t="str">
        <x:v>not apparent from accessed abstract/metadata</x:v>
      </x:c>
      <x:c r="U78" s="28" t="str">
        <x:v>none identified in MEDLINE record</x:v>
      </x:c>
      <x:c r="V78" s="26" t="str">
        <x:v>not reported</x:v>
      </x:c>
      <x:c r="W78" s="28" t="str">
        <x:v>No direct PDF/full-text identifier found in PubMed metadata</x:v>
      </x:c>
      <x:c r="X78" s="28" t="str">
        <x:v>Not verified</x:v>
      </x:c>
      <x:c r="Y78" s="31" t="str">
        <x:f>IF(V78="not reported","not reported",HYPERLINK("https://pmc.ncbi.nlm.nih.gov/articles/"&amp;V78&amp;"/","Open Full Text"))</x:f>
        <x:v>not reported</x:v>
      </x:c>
      <x:c r="Z78" s="31" t="str">
        <x:f>IF(L78="not reported","not reported",HYPERLINK("https://doi.org/"&amp;L78,"Open Publisher"))</x:f>
        <x:v>not reported</x:v>
      </x:c>
      <x:c r="AA78" s="28" t="str">
        <x:v>No PMCID or DOI present in the supplied PubMed/MEDLINE record.</x:v>
      </x:c>
      <x:c r="AB78" s="28" t="str">
        <x:v>Search the exact title/PMID in Stony Brook Library; if unavailable, request via interlibrary loan/document delivery.</x:v>
      </x:c>
      <x:c r="AC78" s="26" t="str">
        <x:v>2026-09-20</x:v>
      </x:c>
    </x:row>
    <x:row r="79">
      <x:c r="A79" s="26" t="str">
        <x:v>PUBMED-20513225</x:v>
      </x:c>
      <x:c r="B79" s="28" t="str">
        <x:v>Stimulant drug effects on attention deficit/hyperactivity disorder: a review of the effects of age and sex of patients.</x:v>
      </x:c>
      <x:c r="C79" s="28" t="str">
        <x:v>Cornforth, Christine; Sonuga-Barke, Edmund; Coghill, David</x:v>
      </x:c>
      <x:c r="D79" s="28" t="n">
        <x:v>2010</x:v>
      </x:c>
      <x:c r="E79" s="28" t="str">
        <x:v>Current pharmaceutical design</x:v>
      </x:c>
      <x:c r="F79" s="28" t="str">
        <x:v>Evidence synthesis - review</x:v>
      </x:c>
      <x:c r="G79" s="28" t="str">
        <x:v>Development &amp; presentation; Family &amp; education; Social &amp; structural; Treatment &amp; support; Life outcomes &amp; lived experience</x:v>
      </x:c>
      <x:c r="H79" s="28" t="str">
        <x:v>Childhood; Adolescence; Adulthood</x:v>
      </x:c>
      <x:c r="I79" s="28" t="str">
        <x:v>not reported/not verified</x:v>
      </x:c>
      <x:c r="J79" s="28" t="str">
        <x:v>not reported</x:v>
      </x:c>
      <x:c r="K79" s="28" t="str">
        <x:v>OBJECTIVE: As dopamine functioning varies by sex and age it might be expected that the effects of methylphenidate or amfetamine, the psychostimulants used for the treatment of Attention Deficit /Hyperactivity Disorder (ADHD), will also be moderated by these factors.</x:v>
      </x:c>
      <x:c r="L79" s="28" t="str">
        <x:v>10.2174/138161210791959827</x:v>
      </x:c>
      <x:c r="M79" s="28" t="str">
        <x:v>20513225</x:v>
      </x:c>
      <x:c r="N79" s="31" t="e">
        <x:f>HYPERLINK("https://pubmed.ncbi.nlm.nih.gov/"&amp;M79&amp;"/","Open PubMed")</x:f>
        <x:v>HYPERLINK is not implemented. linkLocation=https://pubmed.ncbi.nlm.nih.gov/20513225/, friendlyName=Open PubMed</x:v>
      </x:c>
      <x:c r="O79" s="31" t="str">
        <x:v>not reported</x:v>
      </x:c>
      <x:c r="P79" s="28" t="str">
        <x:v>abstract only</x:v>
      </x:c>
      <x:c r="Q79" s="28" t="str">
        <x:v>PubMed/MEDLINE export supplied by user | query: not verified from export; see Protocol sheet for reproducible recommended query</x:v>
      </x:c>
      <x:c r="R79" s="28" t="str">
        <x:v>Batch 1 core</x:v>
      </x:c>
      <x:c r="S79" s="28" t="str">
        <x:v>Direct ADHD evidence synthesis/guideline with broad multi-topic relevance.</x:v>
      </x:c>
      <x:c r="T79" s="28" t="str">
        <x:v>not apparent from accessed abstract/metadata</x:v>
      </x:c>
      <x:c r="U79" s="28" t="str">
        <x:v>none identified in MEDLINE record</x:v>
      </x:c>
      <x:c r="V79" s="26" t="str">
        <x:v>not reported</x:v>
      </x:c>
      <x:c r="W79" s="28" t="str">
        <x:v>No PMC copy identified; publisher PDF/access must be checked</x:v>
      </x:c>
      <x:c r="X79" s="28" t="str">
        <x:v>Not verified</x:v>
      </x:c>
      <x:c r="Y79" s="31" t="str">
        <x:f>IF(V79="not reported","not reported",HYPERLINK("https://pmc.ncbi.nlm.nih.gov/articles/"&amp;V79&amp;"/","Open Full Text"))</x:f>
        <x:v>not reported</x:v>
      </x:c>
      <x:c r="Z79" s="31" t="e">
        <x:f>IF(L79="not reported","not reported",HYPERLINK("https://doi.org/"&amp;L79,"Open Publisher"))</x:f>
        <x:v>HYPERLINK is not implemented. linkLocation=https://doi.org/10.2174/138161210791959827, friendlyName=Open Publisher</x:v>
      </x:c>
      <x:c r="AA79" s="28" t="str">
        <x:v>DOI present in PubMed/MEDLINE; no PMCID present.</x:v>
      </x:c>
      <x:c r="AB79" s="28" t="str">
        <x:v>Open the DOI/publisher page. If PDF is paywalled, try Stony Brook Library access, Article Galaxy, or interlibrary loan.</x:v>
      </x:c>
      <x:c r="AC79" s="26" t="str">
        <x:v>2026-09-20</x:v>
      </x:c>
    </x:row>
    <x:row r="80">
      <x:c r="A80" s="26" t="str">
        <x:v>PUBMED-20488672</x:v>
      </x:c>
      <x:c r="B80" s="28" t="str">
        <x:v>Quantitative MR analysis of caudate abnormalities in pediatric ADHD: proposal for a diagnostic test.</x:v>
      </x:c>
      <x:c r="C80" s="28" t="str">
        <x:v>Soliva, Joan Carles; Fauquet, Jordi; Bielsa, Anna; Rovira, Mariana; Carmona, Susanna; Ramos-Quiroga, Josep Antoni; Hilferty, Joseph; Bulbena, Antoni; Casas, Miquel; Vilarroya, Oscar</x:v>
      </x:c>
      <x:c r="D80" s="28" t="n">
        <x:v>2010</x:v>
      </x:c>
      <x:c r="E80" s="28" t="str">
        <x:v>Psychiatry research</x:v>
      </x:c>
      <x:c r="F80" s="28" t="str">
        <x:v>Primary study - case-control</x:v>
      </x:c>
      <x:c r="G80" s="28" t="str">
        <x:v>Development &amp; presentation; Recognition &amp; diagnosis; Social &amp; structural</x:v>
      </x:c>
      <x:c r="H80" s="28" t="str">
        <x:v>Childhood; Adolescence</x:v>
      </x:c>
      <x:c r="I80" s="28" t="str">
        <x:v>not reported/not verified</x:v>
      </x:c>
      <x:c r="J80" s="28" t="str">
        <x:v>not reported</x:v>
      </x:c>
      <x:c r="K80" s="28" t="str">
        <x:v>Most morphometric magnetic resonance imaging (MRI) studies of pediatric attention-deficit/hyperactivity disorder (ADHD) with appropriate sample sizes reveal a decreased right caudate nucleus volume.</x:v>
      </x:c>
      <x:c r="L80" s="28" t="str">
        <x:v>10.1016/j.pscychresns.2010.01.013</x:v>
      </x:c>
      <x:c r="M80" s="28" t="str">
        <x:v>20488672</x:v>
      </x:c>
      <x:c r="N80" s="31" t="e">
        <x:f>HYPERLINK("https://pubmed.ncbi.nlm.nih.gov/"&amp;M80&amp;"/","Open PubMed")</x:f>
        <x:v>HYPERLINK is not implemented. linkLocation=https://pubmed.ncbi.nlm.nih.gov/20488672/, friendlyName=Open PubMed</x:v>
      </x:c>
      <x:c r="O80" s="31" t="str">
        <x:v>not reported</x:v>
      </x:c>
      <x:c r="P80" s="28" t="str">
        <x:v>abstract only</x:v>
      </x:c>
      <x:c r="Q80" s="28" t="str">
        <x:v>PubMed/MEDLINE export supplied by user | query: not verified from export; see Protocol sheet for reproducible recommended query</x:v>
      </x:c>
      <x:c r="R80" s="28" t="str">
        <x:v>Batch 1 core</x:v>
      </x:c>
      <x:c r="S80" s="28" t="str">
        <x:v>Direct ADHD primary study on diagnosis, family/education, structural conditions, lived experience/outcomes, or environment/lifestyle.</x:v>
      </x:c>
      <x:c r="T80" s="28" t="str">
        <x:v>not apparent from accessed abstract/metadata</x:v>
      </x:c>
      <x:c r="U80" s="28" t="str">
        <x:v>none identified in MEDLINE record</x:v>
      </x:c>
      <x:c r="V80" s="26" t="str">
        <x:v>not reported</x:v>
      </x:c>
      <x:c r="W80" s="28" t="str">
        <x:v>No PMC copy identified; publisher PDF/access must be checked</x:v>
      </x:c>
      <x:c r="X80" s="28" t="str">
        <x:v>Not verified</x:v>
      </x:c>
      <x:c r="Y80" s="31" t="str">
        <x:f>IF(V80="not reported","not reported",HYPERLINK("https://pmc.ncbi.nlm.nih.gov/articles/"&amp;V80&amp;"/","Open Full Text"))</x:f>
        <x:v>not reported</x:v>
      </x:c>
      <x:c r="Z80" s="31" t="e">
        <x:f>IF(L80="not reported","not reported",HYPERLINK("https://doi.org/"&amp;L80,"Open Publisher"))</x:f>
        <x:v>HYPERLINK is not implemented. linkLocation=https://doi.org/10.1016/j.pscychresns.2010.01.013, friendlyName=Open Publisher</x:v>
      </x:c>
      <x:c r="AA80" s="28" t="str">
        <x:v>DOI present in PubMed/MEDLINE; no PMCID present.</x:v>
      </x:c>
      <x:c r="AB80" s="28" t="str">
        <x:v>Open the DOI/publisher page. If PDF is paywalled, try Stony Brook Library access, Article Galaxy, or interlibrary loan.</x:v>
      </x:c>
      <x:c r="AC80" s="26" t="str">
        <x:v>2026-09-20</x:v>
      </x:c>
    </x:row>
    <x:row r="81">
      <x:c r="A81" s="26" t="str">
        <x:v>PUBMED-20129005</x:v>
      </x:c>
      <x:c r="B81" s="28" t="str">
        <x:v>Bipolar symptoms in adult attention-deficit/hyperactivity disorder: a cross-sectional study of 510 clinically diagnosed patients and 417 population-based controls.</x:v>
      </x:c>
      <x:c r="C81" s="28" t="str">
        <x:v>Halmøy, Anne; Halleland, Helene; Dramsdahl, Margaretha; Bergsholm, Per; Fasmer, Ole Bernt; Haavik, Jan</x:v>
      </x:c>
      <x:c r="D81" s="28" t="n">
        <x:v>2010</x:v>
      </x:c>
      <x:c r="E81" s="28" t="str">
        <x:v>The Journal of clinical psychiatry</x:v>
      </x:c>
      <x:c r="F81" s="28" t="str">
        <x:v>Primary study - cross-sectional</x:v>
      </x:c>
      <x:c r="G81" s="28" t="str">
        <x:v>Development &amp; presentation; Recognition &amp; diagnosis; Family &amp; education; Social &amp; structural; Life outcomes &amp; lived experience</x:v>
      </x:c>
      <x:c r="H81" s="28" t="str">
        <x:v>Adolescence; Adulthood; aged 18-40 years</x:v>
      </x:c>
      <x:c r="I81" s="28" t="str">
        <x:v>not reported/not verified</x:v>
      </x:c>
      <x:c r="J81" s="28" t="str">
        <x:v>not reported</x:v>
      </x:c>
      <x:c r="K81" s="28" t="str">
        <x:v>OBJECTIVE: Bipolar spectrum disorders (BSD) have several symptoms and features in common with attention-deficit/hyperactivity disorder (ADHD).</x:v>
      </x:c>
      <x:c r="L81" s="28" t="str">
        <x:v>10.4088/JCP.08m04722ora</x:v>
      </x:c>
      <x:c r="M81" s="28" t="str">
        <x:v>20129005</x:v>
      </x:c>
      <x:c r="N81" s="31" t="e">
        <x:f>HYPERLINK("https://pubmed.ncbi.nlm.nih.gov/"&amp;M81&amp;"/","Open PubMed")</x:f>
        <x:v>HYPERLINK is not implemented. linkLocation=https://pubmed.ncbi.nlm.nih.gov/20129005/, friendlyName=Open PubMed</x:v>
      </x:c>
      <x:c r="O81" s="31" t="str">
        <x:v>not reported</x:v>
      </x:c>
      <x:c r="P81" s="28" t="str">
        <x:v>abstract only</x:v>
      </x:c>
      <x:c r="Q81" s="28" t="str">
        <x:v>PubMed/MEDLINE export supplied by user | query: not verified from export; see Protocol sheet for reproducible recommended query</x:v>
      </x:c>
      <x:c r="R81" s="28" t="str">
        <x:v>Batch 1 core</x:v>
      </x:c>
      <x:c r="S81" s="28" t="str">
        <x:v>Direct ADHD primary study on diagnosis, family/education, structural conditions, lived experience/outcomes, or environment/lifestyle.</x:v>
      </x:c>
      <x:c r="T81" s="28" t="str">
        <x:v>not apparent from accessed abstract/metadata</x:v>
      </x:c>
      <x:c r="U81" s="28" t="str">
        <x:v>none identified in MEDLINE record</x:v>
      </x:c>
      <x:c r="V81" s="26" t="str">
        <x:v>not reported</x:v>
      </x:c>
      <x:c r="W81" s="28" t="str">
        <x:v>No PMC copy identified; publisher PDF/access must be checked</x:v>
      </x:c>
      <x:c r="X81" s="28" t="str">
        <x:v>Not verified</x:v>
      </x:c>
      <x:c r="Y81" s="31" t="str">
        <x:f>IF(V81="not reported","not reported",HYPERLINK("https://pmc.ncbi.nlm.nih.gov/articles/"&amp;V81&amp;"/","Open Full Text"))</x:f>
        <x:v>not reported</x:v>
      </x:c>
      <x:c r="Z81" s="31" t="e">
        <x:f>IF(L81="not reported","not reported",HYPERLINK("https://doi.org/"&amp;L81,"Open Publisher"))</x:f>
        <x:v>HYPERLINK is not implemented. linkLocation=https://doi.org/10.4088/JCP.08m04722ora, friendlyName=Open Publisher</x:v>
      </x:c>
      <x:c r="AA81" s="28" t="str">
        <x:v>DOI present in PubMed/MEDLINE; no PMCID present.</x:v>
      </x:c>
      <x:c r="AB81" s="28" t="str">
        <x:v>Open the DOI/publisher page. If PDF is paywalled, try Stony Brook Library access, Article Galaxy, or interlibrary loan.</x:v>
      </x:c>
      <x:c r="AC81" s="26" t="str">
        <x:v>2026-09-20</x:v>
      </x:c>
    </x:row>
    <x:row r="82">
      <x:c r="A82" s="26" t="str">
        <x:v>PUBMED-21391409</x:v>
      </x:c>
      <x:c r="B82" s="28" t="str">
        <x:v>Disparities in ADHD assessment, diagnosis, and treatment.</x:v>
      </x:c>
      <x:c r="C82" s="28" t="str">
        <x:v>Morley, Christopher P</x:v>
      </x:c>
      <x:c r="D82" s="28" t="n">
        <x:v>2010</x:v>
      </x:c>
      <x:c r="E82" s="28" t="str">
        <x:v>International journal of psychiatry in medicine</x:v>
      </x:c>
      <x:c r="F82" s="28" t="str">
        <x:v>Primary study - cross-sectional</x:v>
      </x:c>
      <x:c r="G82" s="28" t="str">
        <x:v>Development &amp; presentation; Recognition &amp; diagnosis; Family &amp; education; Social &amp; structural; Environmental &amp; lifestyle; Treatment &amp; support; Life outcomes &amp; lived experience</x:v>
      </x:c>
      <x:c r="H82" s="28" t="str">
        <x:v>Childhood; Adolescence</x:v>
      </x:c>
      <x:c r="I82" s="28" t="str">
        <x:v>Setting (MeSH): Primary Health Care, Rural Population, Urban Population</x:v>
      </x:c>
      <x:c r="J82" s="28" t="str">
        <x:v>not reported</x:v>
      </x:c>
      <x:c r="K82" s="28" t="str">
        <x:v>The regional study by Baumgardner and colleagues converges with existing literature to clearly show that the distribution of ADHD diagnosis falls along socioeconomic lines, according to the relative wealth of neighborhoods.</x:v>
      </x:c>
      <x:c r="L82" s="28" t="str">
        <x:v>10.2190/PM.40.4.b</x:v>
      </x:c>
      <x:c r="M82" s="28" t="str">
        <x:v>21391409</x:v>
      </x:c>
      <x:c r="N82" s="31" t="e">
        <x:f>HYPERLINK("https://pubmed.ncbi.nlm.nih.gov/"&amp;M82&amp;"/","Open PubMed")</x:f>
        <x:v>HYPERLINK is not implemented. linkLocation=https://pubmed.ncbi.nlm.nih.gov/21391409/, friendlyName=Open PubMed</x:v>
      </x:c>
      <x:c r="O82" s="31" t="str">
        <x:v>not reported</x:v>
      </x:c>
      <x:c r="P82" s="28" t="str">
        <x:v>abstract only</x:v>
      </x:c>
      <x:c r="Q82" s="28" t="str">
        <x:v>PubMed/MEDLINE export supplied by user | query: not verified from export; see Protocol sheet for reproducible recommended query</x:v>
      </x:c>
      <x:c r="R82" s="28" t="str">
        <x:v>Batch 1 core</x:v>
      </x:c>
      <x:c r="S82" s="28" t="str">
        <x:v>Direct ADHD primary study on diagnosis, family/education, structural conditions, lived experience/outcomes, or environment/lifestyle.</x:v>
      </x:c>
      <x:c r="T82" s="28" t="str">
        <x:v>not apparent from accessed abstract/metadata</x:v>
      </x:c>
      <x:c r="U82" s="28" t="str">
        <x:v>none identified in MEDLINE record</x:v>
      </x:c>
      <x:c r="V82" s="26" t="str">
        <x:v>not reported</x:v>
      </x:c>
      <x:c r="W82" s="28" t="str">
        <x:v>No PMC copy identified; publisher PDF/access must be checked</x:v>
      </x:c>
      <x:c r="X82" s="28" t="str">
        <x:v>Not verified</x:v>
      </x:c>
      <x:c r="Y82" s="31" t="str">
        <x:f>IF(V82="not reported","not reported",HYPERLINK("https://pmc.ncbi.nlm.nih.gov/articles/"&amp;V82&amp;"/","Open Full Text"))</x:f>
        <x:v>not reported</x:v>
      </x:c>
      <x:c r="Z82" s="31" t="e">
        <x:f>IF(L82="not reported","not reported",HYPERLINK("https://doi.org/"&amp;L82,"Open Publisher"))</x:f>
        <x:v>HYPERLINK is not implemented. linkLocation=https://doi.org/10.2190/PM.40.4.b, friendlyName=Open Publisher</x:v>
      </x:c>
      <x:c r="AA82" s="28" t="str">
        <x:v>DOI present in PubMed/MEDLINE; no PMCID present.</x:v>
      </x:c>
      <x:c r="AB82" s="28" t="str">
        <x:v>Open the DOI/publisher page. If PDF is paywalled, try Stony Brook Library access, Article Galaxy, or interlibrary loan.</x:v>
      </x:c>
      <x:c r="AC82" s="26" t="str">
        <x:v>2026-09-20</x:v>
      </x:c>
    </x:row>
    <x:row r="83">
      <x:c r="A83" s="26" t="str">
        <x:v>PUBMED-21391408</x:v>
      </x:c>
      <x:c r="B83" s="28" t="str">
        <x:v>Geographic analysis of diagnosis of Attention-Deficit/Hyperactivity Disorder in children: Eastern Wisconsin, USA.</x:v>
      </x:c>
      <x:c r="C83" s="28" t="str">
        <x:v>Baumgardner, Dennis J; Schreiber, Andrea L; Havlena, Jeffrey A; Bridgewater, Farrin D; Steber, Dale L; Lemke, Melissa A</x:v>
      </x:c>
      <x:c r="D83" s="28" t="n">
        <x:v>2010</x:v>
      </x:c>
      <x:c r="E83" s="28" t="str">
        <x:v>International journal of psychiatry in medicine</x:v>
      </x:c>
      <x:c r="F83" s="28" t="str">
        <x:v>Primary study - cross-sectional</x:v>
      </x:c>
      <x:c r="G83" s="28" t="str">
        <x:v>Development &amp; presentation; Recognition &amp; diagnosis; Family &amp; education; Social &amp; structural; Environmental &amp; lifestyle</x:v>
      </x:c>
      <x:c r="H83" s="28" t="str">
        <x:v>Childhood; Adolescence</x:v>
      </x:c>
      <x:c r="I83" s="28" t="str">
        <x:v>Setting (MeSH): Primary Health Care, Rural Population, Urban Population</x:v>
      </x:c>
      <x:c r="J83" s="28" t="str">
        <x:v>not reported</x:v>
      </x:c>
      <x:c r="K83" s="28" t="str">
        <x:v>OBJECTIVE: To perform a novel geographic analysis of Attention-Deficit/ Hyperactivity Disorder (ADHD) diagnosis in Midwest United States.</x:v>
      </x:c>
      <x:c r="L83" s="28" t="str">
        <x:v>10.2190/PM.40.4.a</x:v>
      </x:c>
      <x:c r="M83" s="28" t="str">
        <x:v>21391408</x:v>
      </x:c>
      <x:c r="N83" s="31" t="e">
        <x:f>HYPERLINK("https://pubmed.ncbi.nlm.nih.gov/"&amp;M83&amp;"/","Open PubMed")</x:f>
        <x:v>HYPERLINK is not implemented. linkLocation=https://pubmed.ncbi.nlm.nih.gov/21391408/, friendlyName=Open PubMed</x:v>
      </x:c>
      <x:c r="O83" s="31" t="str">
        <x:v>not reported</x:v>
      </x:c>
      <x:c r="P83" s="28" t="str">
        <x:v>abstract only</x:v>
      </x:c>
      <x:c r="Q83" s="28" t="str">
        <x:v>PubMed/MEDLINE export supplied by user | query: not verified from export; see Protocol sheet for reproducible recommended query</x:v>
      </x:c>
      <x:c r="R83" s="28" t="str">
        <x:v>Batch 1 core</x:v>
      </x:c>
      <x:c r="S83" s="28" t="str">
        <x:v>Direct ADHD primary study on diagnosis, family/education, structural conditions, lived experience/outcomes, or environment/lifestyle.</x:v>
      </x:c>
      <x:c r="T83" s="28" t="str">
        <x:v>not apparent from accessed abstract/metadata</x:v>
      </x:c>
      <x:c r="U83" s="28" t="str">
        <x:v>none identified in MEDLINE record</x:v>
      </x:c>
      <x:c r="V83" s="26" t="str">
        <x:v>not reported</x:v>
      </x:c>
      <x:c r="W83" s="28" t="str">
        <x:v>No PMC copy identified; publisher PDF/access must be checked</x:v>
      </x:c>
      <x:c r="X83" s="28" t="str">
        <x:v>Not verified</x:v>
      </x:c>
      <x:c r="Y83" s="31" t="str">
        <x:f>IF(V83="not reported","not reported",HYPERLINK("https://pmc.ncbi.nlm.nih.gov/articles/"&amp;V83&amp;"/","Open Full Text"))</x:f>
        <x:v>not reported</x:v>
      </x:c>
      <x:c r="Z83" s="31" t="e">
        <x:f>IF(L83="not reported","not reported",HYPERLINK("https://doi.org/"&amp;L83,"Open Publisher"))</x:f>
        <x:v>HYPERLINK is not implemented. linkLocation=https://doi.org/10.2190/PM.40.4.a, friendlyName=Open Publisher</x:v>
      </x:c>
      <x:c r="AA83" s="28" t="str">
        <x:v>DOI present in PubMed/MEDLINE; no PMCID present.</x:v>
      </x:c>
      <x:c r="AB83" s="28" t="str">
        <x:v>Open the DOI/publisher page. If PDF is paywalled, try Stony Brook Library access, Article Galaxy, or interlibrary loan.</x:v>
      </x:c>
      <x:c r="AC83" s="26" t="str">
        <x:v>2026-09-20</x:v>
      </x:c>
    </x:row>
    <x:row r="84">
      <x:c r="A84" s="26" t="str">
        <x:v>PUBMED-19944715</x:v>
      </x:c>
      <x:c r="B84" s="28" t="str">
        <x:v>Identifying the neurobiology of altered reinforcement sensitivity in ADHD: a review and research agenda.</x:v>
      </x:c>
      <x:c r="C84" s="28" t="str">
        <x:v>Luman, Marjolein; Tripp, Gail; Scheres, Anouk</x:v>
      </x:c>
      <x:c r="D84" s="28" t="n">
        <x:v>2010</x:v>
      </x:c>
      <x:c r="E84" s="28" t="str">
        <x:v>Neuroscience and biobehavioral reviews</x:v>
      </x:c>
      <x:c r="F84" s="28" t="str">
        <x:v>Evidence synthesis - review</x:v>
      </x:c>
      <x:c r="G84" s="28" t="str">
        <x:v>Development &amp; presentation; Social &amp; structural; Treatment &amp; support</x:v>
      </x:c>
      <x:c r="H84" s="28" t="str">
        <x:v>Childhood</x:v>
      </x:c>
      <x:c r="I84" s="28" t="str">
        <x:v>not reported/not verified</x:v>
      </x:c>
      <x:c r="J84" s="28" t="str">
        <x:v>not reported</x:v>
      </x:c>
      <x:c r="K84" s="28" t="str">
        <x:v>This review focuses on the overlap and differences between seven neurobiologically valid models and lists 15 predictions assessing reinforcement sensitivity in ADHD.</x:v>
      </x:c>
      <x:c r="L84" s="28" t="str">
        <x:v>10.1016/j.neubiorev.2009.11.021</x:v>
      </x:c>
      <x:c r="M84" s="28" t="str">
        <x:v>19944715</x:v>
      </x:c>
      <x:c r="N84" s="31" t="e">
        <x:f>HYPERLINK("https://pubmed.ncbi.nlm.nih.gov/"&amp;M84&amp;"/","Open PubMed")</x:f>
        <x:v>HYPERLINK is not implemented. linkLocation=https://pubmed.ncbi.nlm.nih.gov/19944715/, friendlyName=Open PubMed</x:v>
      </x:c>
      <x:c r="O84" s="31" t="str">
        <x:v>not reported</x:v>
      </x:c>
      <x:c r="P84" s="28" t="str">
        <x:v>abstract only</x:v>
      </x:c>
      <x:c r="Q84" s="28" t="str">
        <x:v>PubMed/MEDLINE export supplied by user | query: not verified from export; see Protocol sheet for reproducible recommended query</x:v>
      </x:c>
      <x:c r="R84" s="28" t="str">
        <x:v>Batch 1 core</x:v>
      </x:c>
      <x:c r="S84" s="28" t="str">
        <x:v>Direct ADHD evidence synthesis/guideline with broad multi-topic relevance.</x:v>
      </x:c>
      <x:c r="T84" s="28" t="str">
        <x:v>not apparent from accessed abstract/metadata</x:v>
      </x:c>
      <x:c r="U84" s="28" t="str">
        <x:v>none identified in MEDLINE record</x:v>
      </x:c>
      <x:c r="V84" s="26" t="str">
        <x:v>not reported</x:v>
      </x:c>
      <x:c r="W84" s="28" t="str">
        <x:v>No PMC copy identified; publisher PDF/access must be checked</x:v>
      </x:c>
      <x:c r="X84" s="28" t="str">
        <x:v>Not verified</x:v>
      </x:c>
      <x:c r="Y84" s="31" t="str">
        <x:f>IF(V84="not reported","not reported",HYPERLINK("https://pmc.ncbi.nlm.nih.gov/articles/"&amp;V84&amp;"/","Open Full Text"))</x:f>
        <x:v>not reported</x:v>
      </x:c>
      <x:c r="Z84" s="31" t="e">
        <x:f>IF(L84="not reported","not reported",HYPERLINK("https://doi.org/"&amp;L84,"Open Publisher"))</x:f>
        <x:v>HYPERLINK is not implemented. linkLocation=https://doi.org/10.1016/j.neubiorev.2009.11.021, friendlyName=Open Publisher</x:v>
      </x:c>
      <x:c r="AA84" s="28" t="str">
        <x:v>DOI present in PubMed/MEDLINE; no PMCID present.</x:v>
      </x:c>
      <x:c r="AB84" s="28" t="str">
        <x:v>Open the DOI/publisher page. If PDF is paywalled, try Stony Brook Library access, Article Galaxy, or interlibrary loan.</x:v>
      </x:c>
      <x:c r="AC84" s="26" t="str">
        <x:v>2026-09-20</x:v>
      </x:c>
    </x:row>
    <x:row r="85">
      <x:c r="A85" s="26" t="str">
        <x:v>PUBMED-19768532</x:v>
      </x:c>
      <x:c r="B85" s="28" t="str">
        <x:v>A systematic review of parenting in relation to the development of comorbidities and functional impairments in children with attention-deficit/hyperactivity disorder (ADHD).</x:v>
      </x:c>
      <x:c r="C85" s="28" t="str">
        <x:v>Deault, Louise C</x:v>
      </x:c>
      <x:c r="D85" s="28" t="n">
        <x:v>2010</x:v>
      </x:c>
      <x:c r="E85" s="28" t="str">
        <x:v>Child psychiatry and human development</x:v>
      </x:c>
      <x:c r="F85" s="28" t="str">
        <x:v>Evidence synthesis - systematic review</x:v>
      </x:c>
      <x:c r="G85" s="28" t="str">
        <x:v>Development &amp; presentation; Recognition &amp; diagnosis; Family &amp; education; Social &amp; structural; Environmental &amp; lifestyle; Treatment &amp; support; Life outcomes &amp; lived experience</x:v>
      </x:c>
      <x:c r="H85" s="28" t="str">
        <x:v>Childhood</x:v>
      </x:c>
      <x:c r="I85" s="28" t="str">
        <x:v>not reported/not verified</x:v>
      </x:c>
      <x:c r="J85" s="28" t="str">
        <x:v>2000-2008</x:v>
      </x:c>
      <x:c r="K85" s="28" t="str">
        <x:v>This review synthesizes recent research evidence regarding the parenting characteristics associated with families with children with Attention-Deficit/Hyperactivity Disorder (ADHD).</x:v>
      </x:c>
      <x:c r="L85" s="28" t="str">
        <x:v>10.1007/s10578-009-0159-4</x:v>
      </x:c>
      <x:c r="M85" s="28" t="str">
        <x:v>19768532</x:v>
      </x:c>
      <x:c r="N85" s="31" t="e">
        <x:f>HYPERLINK("https://pubmed.ncbi.nlm.nih.gov/"&amp;M85&amp;"/","Open PubMed")</x:f>
        <x:v>HYPERLINK is not implemented. linkLocation=https://pubmed.ncbi.nlm.nih.gov/19768532/, friendlyName=Open PubMed</x:v>
      </x:c>
      <x:c r="O85" s="31" t="str">
        <x:v>not reported</x:v>
      </x:c>
      <x:c r="P85" s="28" t="str">
        <x:v>abstract only</x:v>
      </x:c>
      <x:c r="Q85" s="28" t="str">
        <x:v>PubMed/MEDLINE export supplied by user | query: not verified from export; see Protocol sheet for reproducible recommended query</x:v>
      </x:c>
      <x:c r="R85" s="28" t="str">
        <x:v>Batch 1 core</x:v>
      </x:c>
      <x:c r="S85" s="28" t="str">
        <x:v>Direct ADHD evidence synthesis/guideline with broad multi-topic relevance.</x:v>
      </x:c>
      <x:c r="T85" s="28" t="str">
        <x:v>not apparent from accessed abstract/metadata</x:v>
      </x:c>
      <x:c r="U85" s="28" t="str">
        <x:v>none identified in MEDLINE record</x:v>
      </x:c>
      <x:c r="V85" s="26" t="str">
        <x:v>not reported</x:v>
      </x:c>
      <x:c r="W85" s="28" t="str">
        <x:v>No PMC copy identified; publisher PDF/access must be checked</x:v>
      </x:c>
      <x:c r="X85" s="28" t="str">
        <x:v>Not verified</x:v>
      </x:c>
      <x:c r="Y85" s="31" t="str">
        <x:f>IF(V85="not reported","not reported",HYPERLINK("https://pmc.ncbi.nlm.nih.gov/articles/"&amp;V85&amp;"/","Open Full Text"))</x:f>
        <x:v>not reported</x:v>
      </x:c>
      <x:c r="Z85" s="31" t="e">
        <x:f>IF(L85="not reported","not reported",HYPERLINK("https://doi.org/"&amp;L85,"Open Publisher"))</x:f>
        <x:v>HYPERLINK is not implemented. linkLocation=https://doi.org/10.1007/s10578-009-0159-4, friendlyName=Open Publisher</x:v>
      </x:c>
      <x:c r="AA85" s="28" t="str">
        <x:v>DOI present in PubMed/MEDLINE; no PMCID present.</x:v>
      </x:c>
      <x:c r="AB85" s="28" t="str">
        <x:v>Open the DOI/publisher page. If PDF is paywalled, try Stony Brook Library access, Article Galaxy, or interlibrary loan.</x:v>
      </x:c>
      <x:c r="AC85" s="26" t="str">
        <x:v>2026-09-20</x:v>
      </x:c>
    </x:row>
    <x:row r="86">
      <x:c r="A86" s="26" t="str">
        <x:v>PUBMED-19763664</x:v>
      </x:c>
      <x:c r="B86" s="28" t="str">
        <x:v>Comparing the efficacy of stimulants for ADHD in children and adolescents using meta-analysis.</x:v>
      </x:c>
      <x:c r="C86" s="28" t="str">
        <x:v>Faraone, Stephen V; Buitelaar, Jan</x:v>
      </x:c>
      <x:c r="D86" s="28" t="n">
        <x:v>2010</x:v>
      </x:c>
      <x:c r="E86" s="28" t="str">
        <x:v>European child &amp; adolescent psychiatry</x:v>
      </x:c>
      <x:c r="F86" s="28" t="str">
        <x:v>Evidence synthesis - meta-analysis</x:v>
      </x:c>
      <x:c r="G86" s="28" t="str">
        <x:v>Development &amp; presentation; Recognition &amp; diagnosis; Social &amp; structural; Treatment &amp; support; Life outcomes &amp; lived experience</x:v>
      </x:c>
      <x:c r="H86" s="28" t="str">
        <x:v>Childhood; Adolescence; Adulthood</x:v>
      </x:c>
      <x:c r="I86" s="28" t="str">
        <x:v>not reported/not verified</x:v>
      </x:c>
      <x:c r="J86" s="28" t="str">
        <x:v>not reported</x:v>
      </x:c>
      <x:c r="K86" s="28" t="str">
        <x:v>Stimulants used to treat attention-deficit/hyperactivity disorder (ADHD) have been well researched, but comparisons among stimulants are hindered by the absence of direct comparative trials.</x:v>
      </x:c>
      <x:c r="L86" s="28" t="str">
        <x:v>10.1007/s00787-009-0054-3</x:v>
      </x:c>
      <x:c r="M86" s="28" t="str">
        <x:v>19763664</x:v>
      </x:c>
      <x:c r="N86" s="31" t="e">
        <x:f>HYPERLINK("https://pubmed.ncbi.nlm.nih.gov/"&amp;M86&amp;"/","Open PubMed")</x:f>
        <x:v>HYPERLINK is not implemented. linkLocation=https://pubmed.ncbi.nlm.nih.gov/19763664/, friendlyName=Open PubMed</x:v>
      </x:c>
      <x:c r="O86" s="31" t="str">
        <x:v>not reported</x:v>
      </x:c>
      <x:c r="P86" s="28" t="str">
        <x:v>abstract only</x:v>
      </x:c>
      <x:c r="Q86" s="28" t="str">
        <x:v>PubMed/MEDLINE export supplied by user | query: not verified from export; see Protocol sheet for reproducible recommended query</x:v>
      </x:c>
      <x:c r="R86" s="28" t="str">
        <x:v>Batch 1 core</x:v>
      </x:c>
      <x:c r="S86" s="28" t="str">
        <x:v>Direct ADHD evidence synthesis/guideline with broad multi-topic relevance.</x:v>
      </x:c>
      <x:c r="T86" s="28" t="str">
        <x:v>not apparent from accessed abstract/metadata</x:v>
      </x:c>
      <x:c r="U86" s="28" t="str">
        <x:v>none identified in MEDLINE record</x:v>
      </x:c>
      <x:c r="V86" s="26" t="str">
        <x:v>not reported</x:v>
      </x:c>
      <x:c r="W86" s="28" t="str">
        <x:v>No PMC copy identified; publisher PDF/access must be checked</x:v>
      </x:c>
      <x:c r="X86" s="28" t="str">
        <x:v>Not verified</x:v>
      </x:c>
      <x:c r="Y86" s="31" t="str">
        <x:f>IF(V86="not reported","not reported",HYPERLINK("https://pmc.ncbi.nlm.nih.gov/articles/"&amp;V86&amp;"/","Open Full Text"))</x:f>
        <x:v>not reported</x:v>
      </x:c>
      <x:c r="Z86" s="31" t="e">
        <x:f>IF(L86="not reported","not reported",HYPERLINK("https://doi.org/"&amp;L86,"Open Publisher"))</x:f>
        <x:v>HYPERLINK is not implemented. linkLocation=https://doi.org/10.1007/s00787-009-0054-3, friendlyName=Open Publisher</x:v>
      </x:c>
      <x:c r="AA86" s="28" t="str">
        <x:v>DOI present in PubMed/MEDLINE; no PMCID present.</x:v>
      </x:c>
      <x:c r="AB86" s="28" t="str">
        <x:v>Open the DOI/publisher page. If PDF is paywalled, try Stony Brook Library access, Article Galaxy, or interlibrary loan.</x:v>
      </x:c>
      <x:c r="AC86" s="26" t="str">
        <x:v>2026-09-20</x:v>
      </x:c>
    </x:row>
    <x:row r="87">
      <x:c r="A87" s="26" t="str">
        <x:v>PUBMED-19633992</x:v>
      </x:c>
      <x:c r="B87" s="28" t="str">
        <x:v>The quality of life of children with attention deficit/hyperactivity disorder: a systematic review.</x:v>
      </x:c>
      <x:c r="C87" s="28" t="str">
        <x:v>Danckaerts, Marina; Sonuga-Barke, Edmund J S; Banaschewski, Tobias; Buitelaar, Jan; Döpfner, Manfred; Hollis, Chris; Santosh, Paramala; Rothenberger, Aribert; Sergeant, Joseph; Steinhausen, Hans-Christoph; Taylor, Eric; Zuddas, Alessandro; Coghill, David</x:v>
      </x:c>
      <x:c r="D87" s="28" t="n">
        <x:v>2010</x:v>
      </x:c>
      <x:c r="E87" s="28" t="str">
        <x:v>European child &amp; adolescent psychiatry</x:v>
      </x:c>
      <x:c r="F87" s="28" t="str">
        <x:v>Evidence synthesis - systematic review</x:v>
      </x:c>
      <x:c r="G87" s="28" t="str">
        <x:v>Development &amp; presentation; Family &amp; education; Social &amp; structural; Environmental &amp; lifestyle; Treatment &amp; support; Life outcomes &amp; lived experience</x:v>
      </x:c>
      <x:c r="H87" s="28" t="str">
        <x:v>Childhood</x:v>
      </x:c>
      <x:c r="I87" s="28" t="str">
        <x:v>not reported/not verified</x:v>
      </x:c>
      <x:c r="J87" s="28" t="str">
        <x:v>not reported</x:v>
      </x:c>
      <x:c r="K87" s="28" t="str">
        <x:v>Quality of life (QoL) describes an individual's subjective perception of their position in life as evidenced by their physical, psychological, and social functioning.</x:v>
      </x:c>
      <x:c r="L87" s="28" t="str">
        <x:v>10.1007/s00787-009-0046-3</x:v>
      </x:c>
      <x:c r="M87" s="28" t="str">
        <x:v>19633992</x:v>
      </x:c>
      <x:c r="N87" s="31" t="e">
        <x:f>HYPERLINK("https://pubmed.ncbi.nlm.nih.gov/"&amp;M87&amp;"/","Open PubMed")</x:f>
        <x:v>HYPERLINK is not implemented. linkLocation=https://pubmed.ncbi.nlm.nih.gov/19633992/, friendlyName=Open PubMed</x:v>
      </x:c>
      <x:c r="O87" s="31" t="e">
        <x:f>HYPERLINK("https://pmc.ncbi.nlm.nih.gov/articles/PMC3128746/","Open Full Text")</x:f>
        <x:v>HYPERLINK is not implemented. linkLocation=https://pmc.ncbi.nlm.nih.gov/articles/PMC3128746/, friendlyName=Open Full Text</x:v>
      </x:c>
      <x:c r="P87" s="28" t="str">
        <x:v>abstract only</x:v>
      </x:c>
      <x:c r="Q87" s="28" t="str">
        <x:v>PubMed/MEDLINE export supplied by user | query: not verified from export; see Protocol sheet for reproducible recommended query</x:v>
      </x:c>
      <x:c r="R87" s="28" t="str">
        <x:v>Batch 1 core</x:v>
      </x:c>
      <x:c r="S87" s="28" t="str">
        <x:v>Direct ADHD evidence synthesis/guideline with broad multi-topic relevance.</x:v>
      </x:c>
      <x:c r="T87" s="28" t="str">
        <x:v>not apparent from accessed abstract/metadata</x:v>
      </x:c>
      <x:c r="U87" s="28" t="str">
        <x:v>none identified in MEDLINE record</x:v>
      </x:c>
      <x:c r="V87" s="26" t="str">
        <x:v>PMC3128746</x:v>
      </x:c>
      <x:c r="W87" s="28" t="str">
        <x:v>PDF available via PMC (verified free full text)</x:v>
      </x:c>
      <x:c r="X87" s="28" t="str">
        <x:v>Yes — PMC</x:v>
      </x:c>
      <x:c r="Y87" s="31" t="e">
        <x:f>IF(V87="not reported","not reported",HYPERLINK("https://pmc.ncbi.nlm.nih.gov/articles/"&amp;V87&amp;"/","Open Full Text"))</x:f>
        <x:v>HYPERLINK is not implemented. linkLocation=https://pmc.ncbi.nlm.nih.gov/articles/PMC3128746/, friendlyName=Open Full Text</x:v>
      </x:c>
      <x:c r="Z87" s="31" t="e">
        <x:f>IF(L87="not reported","not reported",HYPERLINK("https://doi.org/"&amp;L87,"Open Publisher"))</x:f>
        <x:v>HYPERLINK is not implemented. linkLocation=https://doi.org/10.1007/s00787-009-0046-3, friendlyName=Open Publisher</x:v>
      </x:c>
      <x:c r="AA87" s="28" t="str">
        <x:v>PMCID PMC3128746 present in the PubMed/MEDLINE record.</x:v>
      </x:c>
      <x:c r="AB87" s="28" t="str">
        <x:v>Open the PMC full-text page and use its PDF button/download option.</x:v>
      </x:c>
      <x:c r="AC87" s="26" t="str">
        <x:v>2026-09-20</x:v>
      </x:c>
    </x:row>
    <x:row r="88">
      <x:c r="A88" s="26" t="str">
        <x:v>PUBMED-19418498</x:v>
      </x:c>
      <x:c r="B88" s="28" t="str">
        <x:v>Familiality and molecular genetics of attention networks in ADHD.</x:v>
      </x:c>
      <x:c r="C88" s="28" t="str">
        <x:v>Konrad, Kerstin; Dempfle, Astrid; Friedel, Susann; Heiser, Philip; Holtkamp, Kristian; Walitza, Susanne; Sauer, Sascha; Warnke, Andreas; Remschmidt, Helmut; Gilsbach, Susanne; Schäfer, Helmut; Hinney, Anke; Hebebrand, Johannes; Herpertz-Dahlmann, Beate</x:v>
      </x:c>
      <x:c r="D88" s="28" t="n">
        <x:v>2010</x:v>
      </x:c>
      <x:c r="E88" s="28" t="str">
        <x:v>American journal of medical genetics. Part B, Neuropsychiatric genetics : the official publication of the International Society of Psychiatric Genetics</x:v>
      </x:c>
      <x:c r="F88" s="28" t="str">
        <x:v>Primary study - case-control</x:v>
      </x:c>
      <x:c r="G88" s="28" t="str">
        <x:v>Development &amp; presentation; Recognition &amp; diagnosis; Social &amp; structural; Treatment &amp; support</x:v>
      </x:c>
      <x:c r="H88" s="28" t="str">
        <x:v>Childhood</x:v>
      </x:c>
      <x:c r="I88" s="28" t="str">
        <x:v>not reported/not verified</x:v>
      </x:c>
      <x:c r="J88" s="28" t="str">
        <x:v>not reported</x:v>
      </x:c>
      <x:c r="K88" s="28" t="str">
        <x:v>In this study we investigated systematically whether attentional performance as measured with the Attention Network Test (ANT) is suited for the identification of endophenotypes of ADHD.</x:v>
      </x:c>
      <x:c r="L88" s="28" t="str">
        <x:v>10.1002/ajmg.b.30967</x:v>
      </x:c>
      <x:c r="M88" s="28" t="str">
        <x:v>19418498</x:v>
      </x:c>
      <x:c r="N88" s="31" t="e">
        <x:f>HYPERLINK("https://pubmed.ncbi.nlm.nih.gov/"&amp;M88&amp;"/","Open PubMed")</x:f>
        <x:v>HYPERLINK is not implemented. linkLocation=https://pubmed.ncbi.nlm.nih.gov/19418498/, friendlyName=Open PubMed</x:v>
      </x:c>
      <x:c r="O88" s="31" t="str">
        <x:v>not reported</x:v>
      </x:c>
      <x:c r="P88" s="28" t="str">
        <x:v>abstract only</x:v>
      </x:c>
      <x:c r="Q88" s="28" t="str">
        <x:v>PubMed/MEDLINE export supplied by user | query: not verified from export; see Protocol sheet for reproducible recommended query</x:v>
      </x:c>
      <x:c r="R88" s="28" t="str">
        <x:v>Batch 1 core</x:v>
      </x:c>
      <x:c r="S88" s="28" t="str">
        <x:v>Direct ADHD primary study on diagnosis, family/education, structural conditions, lived experience/outcomes, or environment/lifestyle.</x:v>
      </x:c>
      <x:c r="T88" s="28" t="str">
        <x:v>not apparent from accessed abstract/metadata</x:v>
      </x:c>
      <x:c r="U88" s="28" t="str">
        <x:v>none identified in MEDLINE record</x:v>
      </x:c>
      <x:c r="V88" s="26" t="str">
        <x:v>not reported</x:v>
      </x:c>
      <x:c r="W88" s="28" t="str">
        <x:v>No PMC copy identified; publisher PDF/access must be checked</x:v>
      </x:c>
      <x:c r="X88" s="28" t="str">
        <x:v>Not verified</x:v>
      </x:c>
      <x:c r="Y88" s="31" t="str">
        <x:f>IF(V88="not reported","not reported",HYPERLINK("https://pmc.ncbi.nlm.nih.gov/articles/"&amp;V88&amp;"/","Open Full Text"))</x:f>
        <x:v>not reported</x:v>
      </x:c>
      <x:c r="Z88" s="31" t="e">
        <x:f>IF(L88="not reported","not reported",HYPERLINK("https://doi.org/"&amp;L88,"Open Publisher"))</x:f>
        <x:v>HYPERLINK is not implemented. linkLocation=https://doi.org/10.1002/ajmg.b.30967, friendlyName=Open Publisher</x:v>
      </x:c>
      <x:c r="AA88" s="28" t="str">
        <x:v>DOI present in PubMed/MEDLINE; no PMCID present.</x:v>
      </x:c>
      <x:c r="AB88" s="28" t="str">
        <x:v>Open the DOI/publisher page. If PDF is paywalled, try Stony Brook Library access, Article Galaxy, or interlibrary loan.</x:v>
      </x:c>
      <x:c r="AC88" s="26" t="str">
        <x:v>2026-09-20</x:v>
      </x:c>
    </x:row>
    <x:row r="89">
      <x:c r="A89" s="26" t="str">
        <x:v>PUBMED-20732625</x:v>
      </x:c>
      <x:c r="B89" s="28" t="str">
        <x:v>Meta-analysis of genome-wide association studies of attention-deficit/hyperactivity disorder.</x:v>
      </x:c>
      <x:c r="C89" s="28" t="str">
        <x:v>Neale, Benjamin M; Medland, Sarah E; Ripke, Stephan; Asherson, Philip; Franke, Barbara; Lesch, Klaus-Peter; Faraone, Stephen V; Nguyen, Thuy Trang; Schäfer, Helmut; Holmans, Peter; Daly, Mark; Steinhausen, Hans-Christoph; Freitag, Christine; Reif, Andreas; Renner, Tobias J; Romanos, Marcel; Romanos, Jasmin; Walitza, Susanne; Warnke, Andreas; Meyer, Jobst; Palmason, Haukur; Buitelaar, Jan; Vasquez, Alejandro Arias; Lambregts-Rommelse, Nanda; Gill, Michael; Anney, Richard J L; Langely, Kate; O'Donovan, Michael; Williams, Nigel; Owen, Michael; Thapar, Anita; Kent, Lindsey; Sergeant, Joseph; Roeyers, Herbert; Mick, Eric; Biederman, Joseph; Doyle, Alysa; Smalley, Susan; Loo, Sandra; Hakonarson, Hakon; Elia, Josephine; Todorov, Alexandre; Miranda, Ana; Mulas, Fernando; Ebstein, Richard P; Rothenberger, Aribert; Banaschewski, Tobias; Oades, Robert D; Sonuga-Barke, Edmund; McGough, James; Nisenbaum, Laura; Middleton, Frank; Hu, Xiaolan; Nelson, Stan</x:v>
      </x:c>
      <x:c r="D89" s="28" t="n">
        <x:v>2010</x:v>
      </x:c>
      <x:c r="E89" s="28" t="str">
        <x:v>Journal of the American Academy of Child and Adolescent Psychiatry</x:v>
      </x:c>
      <x:c r="F89" s="28" t="str">
        <x:v>Evidence synthesis - meta-analysis</x:v>
      </x:c>
      <x:c r="G89" s="28" t="str">
        <x:v>Development &amp; presentation; Recognition &amp; diagnosis; Family &amp; education</x:v>
      </x:c>
      <x:c r="H89" s="28" t="str">
        <x:v>Childhood; Adolescence</x:v>
      </x:c>
      <x:c r="I89" s="28" t="str">
        <x:v>not reported/not verified</x:v>
      </x:c>
      <x:c r="J89" s="28" t="str">
        <x:v>not reported</x:v>
      </x:c>
      <x:c r="K89" s="28" t="str">
        <x:v>OBJECTIVE: Although twin and family studies have shown attention-deficit/hyperactivity disorder (ADHD) to be highly heritable, genetic variants influencing the trait at a genome-wide significant level have yet to be identified.</x:v>
      </x:c>
      <x:c r="L89" s="28" t="str">
        <x:v>10.1016/j.jaac.2010.06.008</x:v>
      </x:c>
      <x:c r="M89" s="28" t="str">
        <x:v>20732625</x:v>
      </x:c>
      <x:c r="N89" s="31" t="e">
        <x:f>HYPERLINK("https://pubmed.ncbi.nlm.nih.gov/"&amp;M89&amp;"/","Open PubMed")</x:f>
        <x:v>HYPERLINK is not implemented. linkLocation=https://pubmed.ncbi.nlm.nih.gov/20732625/, friendlyName=Open PubMed</x:v>
      </x:c>
      <x:c r="O89" s="31" t="e">
        <x:f>HYPERLINK("https://pmc.ncbi.nlm.nih.gov/articles/PMC2928252/","Open Full Text")</x:f>
        <x:v>HYPERLINK is not implemented. linkLocation=https://pmc.ncbi.nlm.nih.gov/articles/PMC2928252/, friendlyName=Open Full Text</x:v>
      </x:c>
      <x:c r="P89" s="28" t="str">
        <x:v>abstract only</x:v>
      </x:c>
      <x:c r="Q89" s="28" t="str">
        <x:v>PubMed/MEDLINE export supplied by user | query: not verified from export; see Protocol sheet for reproducible recommended query</x:v>
      </x:c>
      <x:c r="R89" s="28" t="str">
        <x:v>Batch 1 core</x:v>
      </x:c>
      <x:c r="S89" s="28" t="str">
        <x:v>Direct ADHD evidence synthesis/guideline with broad multi-topic relevance.</x:v>
      </x:c>
      <x:c r="T89" s="28" t="str">
        <x:v>not apparent from accessed abstract/metadata</x:v>
      </x:c>
      <x:c r="U89" s="28" t="str">
        <x:v>none identified in MEDLINE record</x:v>
      </x:c>
      <x:c r="V89" s="26" t="str">
        <x:v>PMC2928252</x:v>
      </x:c>
      <x:c r="W89" s="28" t="str">
        <x:v>PDF available via PMC (verified free full text)</x:v>
      </x:c>
      <x:c r="X89" s="28" t="str">
        <x:v>Yes — PMC</x:v>
      </x:c>
      <x:c r="Y89" s="31" t="e">
        <x:f>IF(V89="not reported","not reported",HYPERLINK("https://pmc.ncbi.nlm.nih.gov/articles/"&amp;V89&amp;"/","Open Full Text"))</x:f>
        <x:v>HYPERLINK is not implemented. linkLocation=https://pmc.ncbi.nlm.nih.gov/articles/PMC2928252/, friendlyName=Open Full Text</x:v>
      </x:c>
      <x:c r="Z89" s="31" t="e">
        <x:f>IF(L89="not reported","not reported",HYPERLINK("https://doi.org/"&amp;L89,"Open Publisher"))</x:f>
        <x:v>HYPERLINK is not implemented. linkLocation=https://doi.org/10.1016/j.jaac.2010.06.008, friendlyName=Open Publisher</x:v>
      </x:c>
      <x:c r="AA89" s="28" t="str">
        <x:v>PMCID PMC2928252 present in the PubMed/MEDLINE record.</x:v>
      </x:c>
      <x:c r="AB89" s="28" t="str">
        <x:v>Open the PMC full-text page and use its PDF button/download option.</x:v>
      </x:c>
      <x:c r="AC89" s="26" t="str">
        <x:v>2026-09-20</x:v>
      </x:c>
    </x:row>
    <x:row r="90">
      <x:c r="A90" s="26" t="str">
        <x:v>PUBMED-20716320</x:v>
      </x:c>
      <x:c r="B90" s="28" t="str">
        <x:v>Is atopic disease a risk factor for attention-deficit/hyperactivity disorder? A systematic review.</x:v>
      </x:c>
      <x:c r="C90" s="28" t="str">
        <x:v>Schmitt, J; Buske-Kirschbaum, A; Roessner, V</x:v>
      </x:c>
      <x:c r="D90" s="28" t="n">
        <x:v>2010</x:v>
      </x:c>
      <x:c r="E90" s="28" t="str">
        <x:v>Allergy</x:v>
      </x:c>
      <x:c r="F90" s="28" t="str">
        <x:v>Evidence synthesis - meta-analysis</x:v>
      </x:c>
      <x:c r="G90" s="28" t="str">
        <x:v>Development &amp; presentation; Recognition &amp; diagnosis; Social &amp; structural; Environmental &amp; lifestyle; Treatment &amp; support; Life outcomes &amp; lived experience</x:v>
      </x:c>
      <x:c r="H90" s="28" t="str">
        <x:v>Not specified</x:v>
      </x:c>
      <x:c r="I90" s="28" t="str">
        <x:v>not reported/not verified</x:v>
      </x:c>
      <x:c r="J90" s="28" t="str">
        <x:v>not reported</x:v>
      </x:c>
      <x:c r="K90" s="28" t="str">
        <x:v>The increase in prevalence and burden of atopic diseases, i.e. eczema, rhinitis, and asthma over the past decades was paralleled by a worldwide increase in attention-deficit/hyperactivity disorder (ADHD) diagnoses.</x:v>
      </x:c>
      <x:c r="L90" s="28" t="str">
        <x:v>10.1111/j.1398-9995.2010.02449.x</x:v>
      </x:c>
      <x:c r="M90" s="28" t="str">
        <x:v>20716320</x:v>
      </x:c>
      <x:c r="N90" s="31" t="e">
        <x:f>HYPERLINK("https://pubmed.ncbi.nlm.nih.gov/"&amp;M90&amp;"/","Open PubMed")</x:f>
        <x:v>HYPERLINK is not implemented. linkLocation=https://pubmed.ncbi.nlm.nih.gov/20716320/, friendlyName=Open PubMed</x:v>
      </x:c>
      <x:c r="O90" s="31" t="str">
        <x:v>not reported</x:v>
      </x:c>
      <x:c r="P90" s="28" t="str">
        <x:v>abstract only</x:v>
      </x:c>
      <x:c r="Q90" s="28" t="str">
        <x:v>PubMed/MEDLINE export supplied by user | query: not verified from export; see Protocol sheet for reproducible recommended query</x:v>
      </x:c>
      <x:c r="R90" s="28" t="str">
        <x:v>Batch 1 core</x:v>
      </x:c>
      <x:c r="S90" s="28" t="str">
        <x:v>Direct ADHD evidence synthesis/guideline with broad multi-topic relevance.</x:v>
      </x:c>
      <x:c r="T90" s="28" t="str">
        <x:v>not apparent from accessed abstract/metadata</x:v>
      </x:c>
      <x:c r="U90" s="28" t="str">
        <x:v>none identified in MEDLINE record</x:v>
      </x:c>
      <x:c r="V90" s="26" t="str">
        <x:v>not reported</x:v>
      </x:c>
      <x:c r="W90" s="28" t="str">
        <x:v>No PMC copy identified; publisher PDF/access must be checked</x:v>
      </x:c>
      <x:c r="X90" s="28" t="str">
        <x:v>Not verified</x:v>
      </x:c>
      <x:c r="Y90" s="31" t="str">
        <x:f>IF(V90="not reported","not reported",HYPERLINK("https://pmc.ncbi.nlm.nih.gov/articles/"&amp;V90&amp;"/","Open Full Text"))</x:f>
        <x:v>not reported</x:v>
      </x:c>
      <x:c r="Z90" s="31" t="e">
        <x:f>IF(L90="not reported","not reported",HYPERLINK("https://doi.org/"&amp;L90,"Open Publisher"))</x:f>
        <x:v>HYPERLINK is not implemented. linkLocation=https://doi.org/10.1111/j.1398-9995.2010.02449.x, friendlyName=Open Publisher</x:v>
      </x:c>
      <x:c r="AA90" s="28" t="str">
        <x:v>DOI present in PubMed/MEDLINE; no PMCID present.</x:v>
      </x:c>
      <x:c r="AB90" s="28" t="str">
        <x:v>Open the DOI/publisher page. If PDF is paywalled, try Stony Brook Library access, Article Galaxy, or interlibrary loan.</x:v>
      </x:c>
      <x:c r="AC90" s="26" t="str">
        <x:v>2026-09-20</x:v>
      </x:c>
    </x:row>
    <x:row r="91">
      <x:c r="A91" s="26" t="str">
        <x:v>PUBMED-20410711</x:v>
      </x:c>
      <x:c r="B91" s="28" t="str">
        <x:v>Sex and age differences in attention-deficit/hyperactivity disorder symptoms and diagnoses: implications for DSM-V and ICD-11.</x:v>
      </x:c>
      <x:c r="C91" s="28" t="str">
        <x:v>Ramtekkar, Ujjwal P; Reiersen, Angela M; Todorov, Alexandre A; Todd, Richard D</x:v>
      </x:c>
      <x:c r="D91" s="28" t="n">
        <x:v>2010</x:v>
      </x:c>
      <x:c r="E91" s="28" t="str">
        <x:v>Journal of the American Academy of Child and Adolescent Psychiatry</x:v>
      </x:c>
      <x:c r="F91" s="28" t="str">
        <x:v>Primary study - cohort</x:v>
      </x:c>
      <x:c r="G91" s="28" t="str">
        <x:v>Development &amp; presentation; Recognition &amp; diagnosis; Social &amp; structural; Environmental &amp; lifestyle; Historical &amp; contemporary context</x:v>
      </x:c>
      <x:c r="H91" s="28" t="str">
        <x:v>Childhood; Adolescence; Adulthood</x:v>
      </x:c>
      <x:c r="I91" s="28" t="str">
        <x:v>not reported/not verified</x:v>
      </x:c>
      <x:c r="J91" s="28" t="str">
        <x:v>not reported</x:v>
      </x:c>
      <x:c r="K91" s="28" t="str">
        <x:v>OBJECTIVE: To examine gender and age differences in attention-deficit/hyperactivity disorder (ADHD) symptom endorsement in a large community-based sample.</x:v>
      </x:c>
      <x:c r="L91" s="28" t="str">
        <x:v>not reported</x:v>
      </x:c>
      <x:c r="M91" s="28" t="str">
        <x:v>20410711</x:v>
      </x:c>
      <x:c r="N91" s="31" t="e">
        <x:f>HYPERLINK("https://pubmed.ncbi.nlm.nih.gov/"&amp;M91&amp;"/","Open PubMed")</x:f>
        <x:v>HYPERLINK is not implemented. linkLocation=https://pubmed.ncbi.nlm.nih.gov/20410711/, friendlyName=Open PubMed</x:v>
      </x:c>
      <x:c r="O91" s="31" t="e">
        <x:f>HYPERLINK("https://pmc.ncbi.nlm.nih.gov/articles/PMC3101894/","Open Full Text")</x:f>
        <x:v>HYPERLINK is not implemented. linkLocation=https://pmc.ncbi.nlm.nih.gov/articles/PMC3101894/, friendlyName=Open Full Text</x:v>
      </x:c>
      <x:c r="P91" s="28" t="str">
        <x:v>abstract only</x:v>
      </x:c>
      <x:c r="Q91" s="28" t="str">
        <x:v>PubMed/MEDLINE export supplied by user | query: not verified from export; see Protocol sheet for reproducible recommended query</x:v>
      </x:c>
      <x:c r="R91" s="28" t="str">
        <x:v>Batch 1 core</x:v>
      </x:c>
      <x:c r="S91" s="28" t="str">
        <x:v>Direct ADHD primary study on diagnosis, family/education, structural conditions, lived experience/outcomes, or environment/lifestyle.</x:v>
      </x:c>
      <x:c r="T91" s="28" t="str">
        <x:v>not apparent from accessed abstract/metadata</x:v>
      </x:c>
      <x:c r="U91" s="28" t="str">
        <x:v>none identified in MEDLINE record</x:v>
      </x:c>
      <x:c r="V91" s="26" t="str">
        <x:v>PMC3101894</x:v>
      </x:c>
      <x:c r="W91" s="28" t="str">
        <x:v>PDF available via PMC (verified free full text)</x:v>
      </x:c>
      <x:c r="X91" s="28" t="str">
        <x:v>Yes — PMC</x:v>
      </x:c>
      <x:c r="Y91" s="31" t="e">
        <x:f>IF(V91="not reported","not reported",HYPERLINK("https://pmc.ncbi.nlm.nih.gov/articles/"&amp;V91&amp;"/","Open Full Text"))</x:f>
        <x:v>HYPERLINK is not implemented. linkLocation=https://pmc.ncbi.nlm.nih.gov/articles/PMC3101894/, friendlyName=Open Full Text</x:v>
      </x:c>
      <x:c r="Z91" s="31" t="str">
        <x:f>IF(L91="not reported","not reported",HYPERLINK("https://doi.org/"&amp;L91,"Open Publisher"))</x:f>
        <x:v>not reported</x:v>
      </x:c>
      <x:c r="AA91" s="28" t="str">
        <x:v>PMCID PMC3101894 present in the PubMed/MEDLINE record.</x:v>
      </x:c>
      <x:c r="AB91" s="28" t="str">
        <x:v>Open the PMC full-text page and use its PDF button/download option.</x:v>
      </x:c>
      <x:c r="AC91" s="26" t="str">
        <x:v>2026-09-20</x:v>
      </x:c>
    </x:row>
    <x:row r="92">
      <x:c r="A92" s="26" t="str">
        <x:v>PUBMED-20140491</x:v>
      </x:c>
      <x:c r="B92" s="28" t="str">
        <x:v>Competing core processes in attention-deficit/hyperactivity disorder (ADHD): do working memory deficiencies underlie behavioral inhibition deficits?</x:v>
      </x:c>
      <x:c r="C92" s="28" t="str">
        <x:v>Alderson, R Matt; Rapport, Mark D; Hudec, Kristen L; Sarver, Dustin E; Kofler, Michael J</x:v>
      </x:c>
      <x:c r="D92" s="28" t="n">
        <x:v>2010</x:v>
      </x:c>
      <x:c r="E92" s="28" t="str">
        <x:v>Journal of abnormal child psychology</x:v>
      </x:c>
      <x:c r="F92" s="28" t="str">
        <x:v>Primary study - case-control</x:v>
      </x:c>
      <x:c r="G92" s="28" t="str">
        <x:v>Development &amp; presentation; Recognition &amp; diagnosis; Treatment &amp; support; Life outcomes &amp; lived experience</x:v>
      </x:c>
      <x:c r="H92" s="28" t="str">
        <x:v>Childhood</x:v>
      </x:c>
      <x:c r="I92" s="28" t="str">
        <x:v>not reported/not verified</x:v>
      </x:c>
      <x:c r="J92" s="28" t="str">
        <x:v>not reported</x:v>
      </x:c>
      <x:c r="K92" s="28" t="str">
        <x:v>The current study examined competing predictions of the working memory and behavioral inhibition models of ADHD.</x:v>
      </x:c>
      <x:c r="L92" s="28" t="str">
        <x:v>10.1007/s10802-010-9387-0</x:v>
      </x:c>
      <x:c r="M92" s="28" t="str">
        <x:v>20140491</x:v>
      </x:c>
      <x:c r="N92" s="31" t="e">
        <x:f>HYPERLINK("https://pubmed.ncbi.nlm.nih.gov/"&amp;M92&amp;"/","Open PubMed")</x:f>
        <x:v>HYPERLINK is not implemented. linkLocation=https://pubmed.ncbi.nlm.nih.gov/20140491/, friendlyName=Open PubMed</x:v>
      </x:c>
      <x:c r="O92" s="31" t="str">
        <x:v>not reported</x:v>
      </x:c>
      <x:c r="P92" s="28" t="str">
        <x:v>abstract only</x:v>
      </x:c>
      <x:c r="Q92" s="28" t="str">
        <x:v>PubMed/MEDLINE export supplied by user | query: not verified from export; see Protocol sheet for reproducible recommended query</x:v>
      </x:c>
      <x:c r="R92" s="28" t="str">
        <x:v>Batch 1 core</x:v>
      </x:c>
      <x:c r="S92" s="28" t="str">
        <x:v>Direct ADHD primary study on diagnosis, family/education, structural conditions, lived experience/outcomes, or environment/lifestyle.</x:v>
      </x:c>
      <x:c r="T92" s="28" t="str">
        <x:v>not apparent from accessed abstract/metadata</x:v>
      </x:c>
      <x:c r="U92" s="28" t="str">
        <x:v>none identified in MEDLINE record</x:v>
      </x:c>
      <x:c r="V92" s="26" t="str">
        <x:v>not reported</x:v>
      </x:c>
      <x:c r="W92" s="28" t="str">
        <x:v>No PMC copy identified; publisher PDF/access must be checked</x:v>
      </x:c>
      <x:c r="X92" s="28" t="str">
        <x:v>Not verified</x:v>
      </x:c>
      <x:c r="Y92" s="31" t="str">
        <x:f>IF(V92="not reported","not reported",HYPERLINK("https://pmc.ncbi.nlm.nih.gov/articles/"&amp;V92&amp;"/","Open Full Text"))</x:f>
        <x:v>not reported</x:v>
      </x:c>
      <x:c r="Z92" s="31" t="e">
        <x:f>IF(L92="not reported","not reported",HYPERLINK("https://doi.org/"&amp;L92,"Open Publisher"))</x:f>
        <x:v>HYPERLINK is not implemented. linkLocation=https://doi.org/10.1007/s10802-010-9387-0, friendlyName=Open Publisher</x:v>
      </x:c>
      <x:c r="AA92" s="28" t="str">
        <x:v>DOI present in PubMed/MEDLINE; no PMCID present.</x:v>
      </x:c>
      <x:c r="AB92" s="28" t="str">
        <x:v>Open the DOI/publisher page. If PDF is paywalled, try Stony Brook Library access, Article Galaxy, or interlibrary loan.</x:v>
      </x:c>
      <x:c r="AC92" s="26" t="str">
        <x:v>2026-09-20</x:v>
      </x:c>
    </x:row>
    <x:row r="93">
      <x:c r="A93" s="26" t="str">
        <x:v>PUBMED-20106937</x:v>
      </x:c>
      <x:c r="B93" s="28" t="str">
        <x:v>Prenatal organochlorine exposure and behaviors associated with attention deficit hyperactivity disorder in school-aged children.</x:v>
      </x:c>
      <x:c r="C93" s="28" t="str">
        <x:v>Sagiv, Sharon K; Thurston, Sally W; Bellinger, David C; Tolbert, Paige E; Altshul, Larisa M; Korrick, Susan A</x:v>
      </x:c>
      <x:c r="D93" s="28" t="n">
        <x:v>2010</x:v>
      </x:c>
      <x:c r="E93" s="28" t="str">
        <x:v>American journal of epidemiology</x:v>
      </x:c>
      <x:c r="F93" s="28" t="str">
        <x:v>Primary study - cohort</x:v>
      </x:c>
      <x:c r="G93" s="28" t="str">
        <x:v>Development &amp; presentation; Recognition &amp; diagnosis; Family &amp; education; Social &amp; structural; Environmental &amp; lifestyle; Treatment &amp; support; Life outcomes &amp; lived experience</x:v>
      </x:c>
      <x:c r="H93" s="28" t="str">
        <x:v>Childhood; Adolescence; Adulthood; aged 7-11 years</x:v>
      </x:c>
      <x:c r="I93" s="28" t="str">
        <x:v>not reported/not verified</x:v>
      </x:c>
      <x:c r="J93" s="28" t="str">
        <x:v>1993-1998</x:v>
      </x:c>
      <x:c r="K93" s="28" t="str">
        <x:v>Organochlorines are environmentally persistent contaminants that readily cross the placenta, posing a potential risk to the developing fetus.</x:v>
      </x:c>
      <x:c r="L93" s="28" t="str">
        <x:v>10.1093/aje/kwp427</x:v>
      </x:c>
      <x:c r="M93" s="28" t="str">
        <x:v>20106937</x:v>
      </x:c>
      <x:c r="N93" s="31" t="e">
        <x:f>HYPERLINK("https://pubmed.ncbi.nlm.nih.gov/"&amp;M93&amp;"/","Open PubMed")</x:f>
        <x:v>HYPERLINK is not implemented. linkLocation=https://pubmed.ncbi.nlm.nih.gov/20106937/, friendlyName=Open PubMed</x:v>
      </x:c>
      <x:c r="O93" s="31" t="e">
        <x:f>HYPERLINK("https://pmc.ncbi.nlm.nih.gov/articles/PMC2842227/","Open Full Text")</x:f>
        <x:v>HYPERLINK is not implemented. linkLocation=https://pmc.ncbi.nlm.nih.gov/articles/PMC2842227/, friendlyName=Open Full Text</x:v>
      </x:c>
      <x:c r="P93" s="28" t="str">
        <x:v>abstract only</x:v>
      </x:c>
      <x:c r="Q93" s="28" t="str">
        <x:v>PubMed/MEDLINE export supplied by user | query: not verified from export; see Protocol sheet for reproducible recommended query</x:v>
      </x:c>
      <x:c r="R93" s="28" t="str">
        <x:v>Batch 1 core</x:v>
      </x:c>
      <x:c r="S93" s="28" t="str">
        <x:v>Direct ADHD primary study on diagnosis, family/education, structural conditions, lived experience/outcomes, or environment/lifestyle.</x:v>
      </x:c>
      <x:c r="T93" s="28" t="str">
        <x:v>not apparent from accessed abstract/metadata</x:v>
      </x:c>
      <x:c r="U93" s="28" t="str">
        <x:v>none identified in MEDLINE record</x:v>
      </x:c>
      <x:c r="V93" s="26" t="str">
        <x:v>PMC2842227</x:v>
      </x:c>
      <x:c r="W93" s="28" t="str">
        <x:v>PDF available via PMC (verified free full text)</x:v>
      </x:c>
      <x:c r="X93" s="28" t="str">
        <x:v>Yes — PMC</x:v>
      </x:c>
      <x:c r="Y93" s="31" t="e">
        <x:f>IF(V93="not reported","not reported",HYPERLINK("https://pmc.ncbi.nlm.nih.gov/articles/"&amp;V93&amp;"/","Open Full Text"))</x:f>
        <x:v>HYPERLINK is not implemented. linkLocation=https://pmc.ncbi.nlm.nih.gov/articles/PMC2842227/, friendlyName=Open Full Text</x:v>
      </x:c>
      <x:c r="Z93" s="31" t="e">
        <x:f>IF(L93="not reported","not reported",HYPERLINK("https://doi.org/"&amp;L93,"Open Publisher"))</x:f>
        <x:v>HYPERLINK is not implemented. linkLocation=https://doi.org/10.1093/aje/kwp427, friendlyName=Open Publisher</x:v>
      </x:c>
      <x:c r="AA93" s="28" t="str">
        <x:v>PMCID PMC2842227 present in the PubMed/MEDLINE record.</x:v>
      </x:c>
      <x:c r="AB93" s="28" t="str">
        <x:v>Open the PMC full-text page and use its PDF button/download option.</x:v>
      </x:c>
      <x:c r="AC93" s="26" t="str">
        <x:v>2026-09-20</x:v>
      </x:c>
    </x:row>
    <x:row r="94">
      <x:c r="A94" s="26" t="str">
        <x:v>PUBMED-20002622</x:v>
      </x:c>
      <x:c r="B94" s="28" t="str">
        <x:v>Social adversity predicts ADHD-medication in school children--a national cohort study.</x:v>
      </x:c>
      <x:c r="C94" s="28" t="str">
        <x:v>Hjern, A; Weitoft, G R; Lindblad, F</x:v>
      </x:c>
      <x:c r="D94" s="28" t="n">
        <x:v>2010</x:v>
      </x:c>
      <x:c r="E94" s="28" t="str">
        <x:v>Acta paediatrica (Oslo, Norway : 1992)</x:v>
      </x:c>
      <x:c r="F94" s="28" t="str">
        <x:v>Primary study - cohort</x:v>
      </x:c>
      <x:c r="G94" s="28" t="str">
        <x:v>Development &amp; presentation; Family &amp; education; Social &amp; structural; Environmental &amp; lifestyle; Treatment &amp; support</x:v>
      </x:c>
      <x:c r="H94" s="28" t="str">
        <x:v>Childhood</x:v>
      </x:c>
      <x:c r="I94" s="28" t="str">
        <x:v>Geography (MeSH): Sweden</x:v>
      </x:c>
      <x:c r="J94" s="28" t="str">
        <x:v>not reported</x:v>
      </x:c>
      <x:c r="K94" s="28" t="str">
        <x:v>AIMS: To test the hypothesis that psychosocial adversity in the family predicts medicated ADHD in school children.</x:v>
      </x:c>
      <x:c r="L94" s="28" t="str">
        <x:v>10.1111/j.1651-2227.2009.01638.x</x:v>
      </x:c>
      <x:c r="M94" s="28" t="str">
        <x:v>20002622</x:v>
      </x:c>
      <x:c r="N94" s="31" t="e">
        <x:f>HYPERLINK("https://pubmed.ncbi.nlm.nih.gov/"&amp;M94&amp;"/","Open PubMed")</x:f>
        <x:v>HYPERLINK is not implemented. linkLocation=https://pubmed.ncbi.nlm.nih.gov/20002622/, friendlyName=Open PubMed</x:v>
      </x:c>
      <x:c r="O94" s="31" t="str">
        <x:v>not reported</x:v>
      </x:c>
      <x:c r="P94" s="28" t="str">
        <x:v>abstract only</x:v>
      </x:c>
      <x:c r="Q94" s="28" t="str">
        <x:v>PubMed/MEDLINE export supplied by user | query: not verified from export; see Protocol sheet for reproducible recommended query</x:v>
      </x:c>
      <x:c r="R94" s="28" t="str">
        <x:v>Batch 1 core</x:v>
      </x:c>
      <x:c r="S94" s="28" t="str">
        <x:v>Direct ADHD primary study on diagnosis, family/education, structural conditions, lived experience/outcomes, or environment/lifestyle.</x:v>
      </x:c>
      <x:c r="T94" s="28" t="str">
        <x:v>not apparent from accessed abstract/metadata</x:v>
      </x:c>
      <x:c r="U94" s="28" t="str">
        <x:v>none identified in MEDLINE record</x:v>
      </x:c>
      <x:c r="V94" s="26" t="str">
        <x:v>not reported</x:v>
      </x:c>
      <x:c r="W94" s="28" t="str">
        <x:v>No PMC copy identified; publisher PDF/access must be checked</x:v>
      </x:c>
      <x:c r="X94" s="28" t="str">
        <x:v>Not verified</x:v>
      </x:c>
      <x:c r="Y94" s="31" t="str">
        <x:f>IF(V94="not reported","not reported",HYPERLINK("https://pmc.ncbi.nlm.nih.gov/articles/"&amp;V94&amp;"/","Open Full Text"))</x:f>
        <x:v>not reported</x:v>
      </x:c>
      <x:c r="Z94" s="31" t="e">
        <x:f>IF(L94="not reported","not reported",HYPERLINK("https://doi.org/"&amp;L94,"Open Publisher"))</x:f>
        <x:v>HYPERLINK is not implemented. linkLocation=https://doi.org/10.1111/j.1651-2227.2009.01638.x, friendlyName=Open Publisher</x:v>
      </x:c>
      <x:c r="AA94" s="28" t="str">
        <x:v>DOI present in PubMed/MEDLINE; no PMCID present.</x:v>
      </x:c>
      <x:c r="AB94" s="28" t="str">
        <x:v>Open the DOI/publisher page. If PDF is paywalled, try Stony Brook Library access, Article Galaxy, or interlibrary loan.</x:v>
      </x:c>
      <x:c r="AC94" s="26" t="str">
        <x:v>2026-09-20</x:v>
      </x:c>
    </x:row>
    <x:row r="95">
      <x:c r="A95" s="26" t="str">
        <x:v>PUBMED-19692717</x:v>
      </x:c>
      <x:c r="B95" s="28" t="str">
        <x:v>Association of attention-deficit/hyperactivity disorder and atopic eczema modified by sleep disturbance in a large population-based sample.</x:v>
      </x:c>
      <x:c r="C95" s="28" t="str">
        <x:v>Romanos, Marcel; Gerlach, Manfred; Warnke, Andreas; Schmitt, Jochen</x:v>
      </x:c>
      <x:c r="D95" s="28" t="n">
        <x:v>2010</x:v>
      </x:c>
      <x:c r="E95" s="28" t="str">
        <x:v>Journal of epidemiology and community health</x:v>
      </x:c>
      <x:c r="F95" s="28" t="str">
        <x:v>Primary study - cross-sectional</x:v>
      </x:c>
      <x:c r="G95" s="28" t="str">
        <x:v>Development &amp; presentation; Recognition &amp; diagnosis; Family &amp; education; Social &amp; structural; Environmental &amp; lifestyle</x:v>
      </x:c>
      <x:c r="H95" s="28" t="str">
        <x:v>Childhood; Adolescence</x:v>
      </x:c>
      <x:c r="I95" s="28" t="str">
        <x:v>not reported/not verified</x:v>
      </x:c>
      <x:c r="J95" s="28" t="str">
        <x:v>not reported</x:v>
      </x:c>
      <x:c r="K95" s="28" t="str">
        <x:v>BACKGROUND: A cross-sectional study was performed in a population-based German sample (n=13 318 children and adolescents aged 3-17) to replicate the recently reported independent association of atopic eczema (AE) and attention-deficit/hyperactivity disorder (ADHD) and to further investigate the role of environmental and behavioural factors.</x:v>
      </x:c>
      <x:c r="L95" s="28" t="str">
        <x:v>10.1136/jech.2009.093534</x:v>
      </x:c>
      <x:c r="M95" s="28" t="str">
        <x:v>19692717</x:v>
      </x:c>
      <x:c r="N95" s="31" t="e">
        <x:f>HYPERLINK("https://pubmed.ncbi.nlm.nih.gov/"&amp;M95&amp;"/","Open PubMed")</x:f>
        <x:v>HYPERLINK is not implemented. linkLocation=https://pubmed.ncbi.nlm.nih.gov/19692717/, friendlyName=Open PubMed</x:v>
      </x:c>
      <x:c r="O95" s="31" t="str">
        <x:v>not reported</x:v>
      </x:c>
      <x:c r="P95" s="28" t="str">
        <x:v>abstract only</x:v>
      </x:c>
      <x:c r="Q95" s="28" t="str">
        <x:v>PubMed/MEDLINE export supplied by user | query: not verified from export; see Protocol sheet for reproducible recommended query</x:v>
      </x:c>
      <x:c r="R95" s="28" t="str">
        <x:v>Batch 1 core</x:v>
      </x:c>
      <x:c r="S95" s="28" t="str">
        <x:v>Direct ADHD primary study on diagnosis, family/education, structural conditions, lived experience/outcomes, or environment/lifestyle.</x:v>
      </x:c>
      <x:c r="T95" s="28" t="str">
        <x:v>not apparent from accessed abstract/metadata</x:v>
      </x:c>
      <x:c r="U95" s="28" t="str">
        <x:v>none identified in MEDLINE record</x:v>
      </x:c>
      <x:c r="V95" s="26" t="str">
        <x:v>not reported</x:v>
      </x:c>
      <x:c r="W95" s="28" t="str">
        <x:v>No PMC copy identified; publisher PDF/access must be checked</x:v>
      </x:c>
      <x:c r="X95" s="28" t="str">
        <x:v>Not verified</x:v>
      </x:c>
      <x:c r="Y95" s="31" t="str">
        <x:f>IF(V95="not reported","not reported",HYPERLINK("https://pmc.ncbi.nlm.nih.gov/articles/"&amp;V95&amp;"/","Open Full Text"))</x:f>
        <x:v>not reported</x:v>
      </x:c>
      <x:c r="Z95" s="31" t="e">
        <x:f>IF(L95="not reported","not reported",HYPERLINK("https://doi.org/"&amp;L95,"Open Publisher"))</x:f>
        <x:v>HYPERLINK is not implemented. linkLocation=https://doi.org/10.1136/jech.2009.093534, friendlyName=Open Publisher</x:v>
      </x:c>
      <x:c r="AA95" s="28" t="str">
        <x:v>DOI present in PubMed/MEDLINE; no PMCID present.</x:v>
      </x:c>
      <x:c r="AB95" s="28" t="str">
        <x:v>Open the DOI/publisher page. If PDF is paywalled, try Stony Brook Library access, Article Galaxy, or interlibrary loan.</x:v>
      </x:c>
      <x:c r="AC95" s="26" t="str">
        <x:v>2026-09-20</x:v>
      </x:c>
    </x:row>
    <x:row r="96">
      <x:c r="A96" s="26" t="str">
        <x:v>PUBMED-19365085</x:v>
      </x:c>
      <x:c r="B96" s="28" t="str">
        <x:v>Attention deficit/hyperactivity disorder: a survey on prevalence rate among male subjects in elementary school (7 to 9 years old) in Iran.</x:v>
      </x:c>
      <x:c r="C96" s="28" t="str">
        <x:v>Talaei, Ali; Mokhber, Naghmeh; Abdollahian, Ebrahim; Bordbar, Mohammad Reza Fayyazi; Salari, Elham</x:v>
      </x:c>
      <x:c r="D96" s="28" t="n">
        <x:v>2010</x:v>
      </x:c>
      <x:c r="E96" s="28" t="str">
        <x:v>Journal of attention disorders</x:v>
      </x:c>
      <x:c r="F96" s="28" t="str">
        <x:v>Primary study - cross-sectional</x:v>
      </x:c>
      <x:c r="G96" s="28" t="str">
        <x:v>Development &amp; presentation; Recognition &amp; diagnosis; Family &amp; education; Social &amp; structural</x:v>
      </x:c>
      <x:c r="H96" s="28" t="str">
        <x:v>Childhood</x:v>
      </x:c>
      <x:c r="I96" s="28" t="str">
        <x:v>not reported/not verified</x:v>
      </x:c>
      <x:c r="J96" s="28" t="str">
        <x:v>not reported</x:v>
      </x:c>
      <x:c r="K96" s="28" t="str">
        <x:v>OBJECTIVE: Because there have been a few studies on the prevalence of ADHD in Iran, assessment of its prevalence seems to have a great impact on the physicians approach toward its diagnosis and management.</x:v>
      </x:c>
      <x:c r="L96" s="28" t="str">
        <x:v>10.1177/1087054708329886</x:v>
      </x:c>
      <x:c r="M96" s="28" t="str">
        <x:v>19365085</x:v>
      </x:c>
      <x:c r="N96" s="31" t="e">
        <x:f>HYPERLINK("https://pubmed.ncbi.nlm.nih.gov/"&amp;M96&amp;"/","Open PubMed")</x:f>
        <x:v>HYPERLINK is not implemented. linkLocation=https://pubmed.ncbi.nlm.nih.gov/19365085/, friendlyName=Open PubMed</x:v>
      </x:c>
      <x:c r="O96" s="31" t="str">
        <x:v>not reported</x:v>
      </x:c>
      <x:c r="P96" s="28" t="str">
        <x:v>abstract only</x:v>
      </x:c>
      <x:c r="Q96" s="28" t="str">
        <x:v>PubMed/MEDLINE export supplied by user | query: not verified from export; see Protocol sheet for reproducible recommended query</x:v>
      </x:c>
      <x:c r="R96" s="28" t="str">
        <x:v>Batch 1 core</x:v>
      </x:c>
      <x:c r="S96" s="28" t="str">
        <x:v>Direct ADHD primary study on diagnosis, family/education, structural conditions, lived experience/outcomes, or environment/lifestyle.</x:v>
      </x:c>
      <x:c r="T96" s="28" t="str">
        <x:v>not apparent from accessed abstract/metadata</x:v>
      </x:c>
      <x:c r="U96" s="28" t="str">
        <x:v>none identified in MEDLINE record</x:v>
      </x:c>
      <x:c r="V96" s="26" t="str">
        <x:v>not reported</x:v>
      </x:c>
      <x:c r="W96" s="28" t="str">
        <x:v>No PMC copy identified; publisher PDF/access must be checked</x:v>
      </x:c>
      <x:c r="X96" s="28" t="str">
        <x:v>Not verified</x:v>
      </x:c>
      <x:c r="Y96" s="31" t="str">
        <x:f>IF(V96="not reported","not reported",HYPERLINK("https://pmc.ncbi.nlm.nih.gov/articles/"&amp;V96&amp;"/","Open Full Text"))</x:f>
        <x:v>not reported</x:v>
      </x:c>
      <x:c r="Z96" s="31" t="e">
        <x:f>IF(L96="not reported","not reported",HYPERLINK("https://doi.org/"&amp;L96,"Open Publisher"))</x:f>
        <x:v>HYPERLINK is not implemented. linkLocation=https://doi.org/10.1177/1087054708329886, friendlyName=Open Publisher</x:v>
      </x:c>
      <x:c r="AA96" s="28" t="str">
        <x:v>DOI present in PubMed/MEDLINE; no PMCID present.</x:v>
      </x:c>
      <x:c r="AB96" s="28" t="str">
        <x:v>Open the DOI/publisher page. If PDF is paywalled, try Stony Brook Library access, Article Galaxy, or interlibrary loan.</x:v>
      </x:c>
      <x:c r="AC96" s="26" t="str">
        <x:v>2026-09-20</x:v>
      </x:c>
    </x:row>
    <x:row r="97">
      <x:c r="A97" s="26" t="str">
        <x:v>PUBMED-19270267</x:v>
      </x:c>
      <x:c r="B97" s="28" t="str">
        <x:v>Attention deficit hyperactivity disorder in men and women newly committed to prison: clinical characteristics, psychiatric comorbidity, and quality of life.</x:v>
      </x:c>
      <x:c r="C97" s="28" t="str">
        <x:v>Westmoreland, Patricia; Gunter, Tracy; Loveless, Peggy; Allen, Jeff; Sieleni, Bruce; Black, Donald W</x:v>
      </x:c>
      <x:c r="D97" s="28" t="n">
        <x:v>2010</x:v>
      </x:c>
      <x:c r="E97" s="28" t="str">
        <x:v>International journal of offender therapy and comparative criminology</x:v>
      </x:c>
      <x:c r="F97" s="28" t="str">
        <x:v>Primary study - cross-sectional</x:v>
      </x:c>
      <x:c r="G97" s="28" t="str">
        <x:v>Development &amp; presentation; Recognition &amp; diagnosis; Social &amp; structural; Life outcomes &amp; lived experience</x:v>
      </x:c>
      <x:c r="H97" s="28" t="str">
        <x:v>Adulthood</x:v>
      </x:c>
      <x:c r="I97" s="28" t="str">
        <x:v>not reported/not verified</x:v>
      </x:c>
      <x:c r="J97" s="28" t="str">
        <x:v>not reported</x:v>
      </x:c>
      <x:c r="K97" s="28" t="str">
        <x:v>Attention deficit hyperactivity disorder (ADHD) is associated with comorbid psychiatric diagnoses and antisocial behaviors that contribute to criminality, yet studies of ADHD in offenders are few.</x:v>
      </x:c>
      <x:c r="L97" s="28" t="str">
        <x:v>10.1177/0306624X09332313</x:v>
      </x:c>
      <x:c r="M97" s="28" t="str">
        <x:v>19270267</x:v>
      </x:c>
      <x:c r="N97" s="31" t="e">
        <x:f>HYPERLINK("https://pubmed.ncbi.nlm.nih.gov/"&amp;M97&amp;"/","Open PubMed")</x:f>
        <x:v>HYPERLINK is not implemented. linkLocation=https://pubmed.ncbi.nlm.nih.gov/19270267/, friendlyName=Open PubMed</x:v>
      </x:c>
      <x:c r="O97" s="31" t="str">
        <x:v>not reported</x:v>
      </x:c>
      <x:c r="P97" s="28" t="str">
        <x:v>abstract only</x:v>
      </x:c>
      <x:c r="Q97" s="28" t="str">
        <x:v>PubMed/MEDLINE export supplied by user | query: not verified from export; see Protocol sheet for reproducible recommended query</x:v>
      </x:c>
      <x:c r="R97" s="28" t="str">
        <x:v>Batch 1 core</x:v>
      </x:c>
      <x:c r="S97" s="28" t="str">
        <x:v>Direct ADHD primary study on diagnosis, family/education, structural conditions, lived experience/outcomes, or environment/lifestyle.</x:v>
      </x:c>
      <x:c r="T97" s="28" t="str">
        <x:v>not apparent from accessed abstract/metadata</x:v>
      </x:c>
      <x:c r="U97" s="28" t="str">
        <x:v>none identified in MEDLINE record</x:v>
      </x:c>
      <x:c r="V97" s="26" t="str">
        <x:v>not reported</x:v>
      </x:c>
      <x:c r="W97" s="28" t="str">
        <x:v>No PMC copy identified; publisher PDF/access must be checked</x:v>
      </x:c>
      <x:c r="X97" s="28" t="str">
        <x:v>Not verified</x:v>
      </x:c>
      <x:c r="Y97" s="31" t="str">
        <x:f>IF(V97="not reported","not reported",HYPERLINK("https://pmc.ncbi.nlm.nih.gov/articles/"&amp;V97&amp;"/","Open Full Text"))</x:f>
        <x:v>not reported</x:v>
      </x:c>
      <x:c r="Z97" s="31" t="e">
        <x:f>IF(L97="not reported","not reported",HYPERLINK("https://doi.org/"&amp;L97,"Open Publisher"))</x:f>
        <x:v>HYPERLINK is not implemented. linkLocation=https://doi.org/10.1177/0306624X09332313, friendlyName=Open Publisher</x:v>
      </x:c>
      <x:c r="AA97" s="28" t="str">
        <x:v>DOI present in PubMed/MEDLINE; no PMCID present.</x:v>
      </x:c>
      <x:c r="AB97" s="28" t="str">
        <x:v>Open the DOI/publisher page. If PDF is paywalled, try Stony Brook Library access, Article Galaxy, or interlibrary loan.</x:v>
      </x:c>
      <x:c r="AC97" s="26" t="str">
        <x:v>2026-09-20</x:v>
      </x:c>
    </x:row>
    <x:row r="98">
      <x:c r="A98" s="26" t="str">
        <x:v>PUBMED-42297780</x:v>
      </x:c>
      <x:c r="B98" s="28" t="str">
        <x:v>Dynamic relationship and pleiotropic loci of attention deficit hyperactivity disorder with sleep traits.</x:v>
      </x:c>
      <x:c r="C98" s="28" t="str">
        <x:v>Zu, Yujuan; Pang, Tao; Luo, Lingxue; Liufu, Chao; Xu, Zixuan; Lv, Luxian; Li, Wenqiang; Chang, Suhua</x:v>
      </x:c>
      <x:c r="D98" s="28" t="n">
        <x:v>2026</x:v>
      </x:c>
      <x:c r="E98" s="28" t="str">
        <x:v>Translational psychiatry</x:v>
      </x:c>
      <x:c r="F98" s="28" t="str">
        <x:v>Primary study - cohort</x:v>
      </x:c>
      <x:c r="G98" s="28" t="str">
        <x:v>Development &amp; presentation; Social &amp; structural; Environmental &amp; lifestyle; Treatment &amp; support; Life outcomes &amp; lived experience</x:v>
      </x:c>
      <x:c r="H98" s="28" t="str">
        <x:v>Childhood; Adolescence</x:v>
      </x:c>
      <x:c r="I98" s="28" t="str">
        <x:v>not reported/not verified</x:v>
      </x:c>
      <x:c r="J98" s="28" t="str">
        <x:v>not reported</x:v>
      </x:c>
      <x:c r="K98" s="28" t="str">
        <x:v>This study analyzed 11,288 participants (52.1% male) from the Adolescent Brain Cognitive Development Study using the Sleep Disturbance Scale for Children.</x:v>
      </x:c>
      <x:c r="L98" s="28" t="str">
        <x:v>10.1038/s41398-026-04166-4</x:v>
      </x:c>
      <x:c r="M98" s="28" t="str">
        <x:v>42297780</x:v>
      </x:c>
      <x:c r="N98" s="31" t="e">
        <x:f>HYPERLINK("https://pubmed.ncbi.nlm.nih.gov/"&amp;M98&amp;"/","Open PubMed")</x:f>
        <x:v>HYPERLINK is not implemented. linkLocation=https://pubmed.ncbi.nlm.nih.gov/42297780/, friendlyName=Open PubMed</x:v>
      </x:c>
      <x:c r="O98" s="31" t="e">
        <x:f>HYPERLINK("https://pmc.ncbi.nlm.nih.gov/articles/PMC13493937/","Open Full Text")</x:f>
        <x:v>HYPERLINK is not implemented. linkLocation=https://pmc.ncbi.nlm.nih.gov/articles/PMC13493937/, friendlyName=Open Full Text</x:v>
      </x:c>
      <x:c r="P98" s="28" t="str">
        <x:v>abstract only</x:v>
      </x:c>
      <x:c r="Q98" s="28" t="str">
        <x:v>PubMed/MEDLINE export supplied by user | query: not verified from export; see Protocol sheet for reproducible recommended query</x:v>
      </x:c>
      <x:c r="R98" s="28" t="str">
        <x:v>Batch 1 core</x:v>
      </x:c>
      <x:c r="S98" s="28" t="str">
        <x:v>Direct ADHD primary study on diagnosis, family/education, structural conditions, lived experience/outcomes, or environment/lifestyle.</x:v>
      </x:c>
      <x:c r="T98" s="28" t="str">
        <x:v>ABCD / Adolescent Brain Cognitive Development</x:v>
      </x:c>
      <x:c r="U98" s="28" t="str">
        <x:v>none identified in MEDLINE record</x:v>
      </x:c>
      <x:c r="V98" s="26" t="str">
        <x:v>PMC13493937</x:v>
      </x:c>
      <x:c r="W98" s="28" t="str">
        <x:v>PDF available via PMC (verified free full text)</x:v>
      </x:c>
      <x:c r="X98" s="28" t="str">
        <x:v>Yes — PMC</x:v>
      </x:c>
      <x:c r="Y98" s="31" t="e">
        <x:f>IF(V98="not reported","not reported",HYPERLINK("https://pmc.ncbi.nlm.nih.gov/articles/"&amp;V98&amp;"/","Open Full Text"))</x:f>
        <x:v>HYPERLINK is not implemented. linkLocation=https://pmc.ncbi.nlm.nih.gov/articles/PMC13493937/, friendlyName=Open Full Text</x:v>
      </x:c>
      <x:c r="Z98" s="31" t="e">
        <x:f>IF(L98="not reported","not reported",HYPERLINK("https://doi.org/"&amp;L98,"Open Publisher"))</x:f>
        <x:v>HYPERLINK is not implemented. linkLocation=https://doi.org/10.1038/s41398-026-04166-4, friendlyName=Open Publisher</x:v>
      </x:c>
      <x:c r="AA98" s="28" t="str">
        <x:v>PMCID PMC13493937 present in the PubMed/MEDLINE record.</x:v>
      </x:c>
      <x:c r="AB98" s="28" t="str">
        <x:v>Open the PMC full-text page and use its PDF button/download option.</x:v>
      </x:c>
      <x:c r="AC98" s="26" t="str">
        <x:v>2026-09-20</x:v>
      </x:c>
    </x:row>
    <x:row r="99">
      <x:c r="A99" s="26" t="str">
        <x:v>PUBMED-42371637</x:v>
      </x:c>
      <x:c r="B99" s="28" t="str">
        <x:v>Prenatal Acetaminophen (Paracetamol) Use and the Risk of Autism and/or Attention-Deficit/Hyperactivity Disorder Among Sibling-Matched Cohorts.</x:v>
      </x:c>
      <x:c r="C99" s="28" t="str">
        <x:v>Luo, Shan; Gong, Qiaowa; Ai, Yujie; Zhang, Jiayue; Chan, Linda; Wong, William Chi Wai; Ip, Patrick; Chan, Esther Wai Yin; Tanuseputro, Peter; Wong, Ian Chi Kei; Wan, Eric Yuk Fai</x:v>
      </x:c>
      <x:c r="D99" s="28" t="n">
        <x:v>2026</x:v>
      </x:c>
      <x:c r="E99" s="28" t="str">
        <x:v>JAMA internal medicine</x:v>
      </x:c>
      <x:c r="F99" s="28" t="str">
        <x:v>Primary study - cohort</x:v>
      </x:c>
      <x:c r="G99" s="28" t="str">
        <x:v>Development &amp; presentation; Recognition &amp; diagnosis; Family &amp; education; Social &amp; structural; Environmental &amp; lifestyle; Treatment &amp; support; Life outcomes &amp; lived experience</x:v>
      </x:c>
      <x:c r="H99" s="28" t="str">
        <x:v>Childhood; Adulthood</x:v>
      </x:c>
      <x:c r="I99" s="28" t="str">
        <x:v>Geography (MeSH): Hong Kong</x:v>
      </x:c>
      <x:c r="J99" s="28" t="str">
        <x:v>not reported</x:v>
      </x:c>
      <x:c r="K99" s="28" t="str">
        <x:v>OBJECTIVES: To assess the association between prenatal paracetamol exposure and risk of ASD and ADHD in offspring using a sibling-matched study design to control for familial confounding.</x:v>
      </x:c>
      <x:c r="L99" s="28" t="str">
        <x:v>10.1001/jamainternmed.2026.2215</x:v>
      </x:c>
      <x:c r="M99" s="28" t="str">
        <x:v>42371637</x:v>
      </x:c>
      <x:c r="N99" s="31" t="e">
        <x:f>HYPERLINK("https://pubmed.ncbi.nlm.nih.gov/"&amp;M99&amp;"/","Open PubMed")</x:f>
        <x:v>HYPERLINK is not implemented. linkLocation=https://pubmed.ncbi.nlm.nih.gov/42371637/, friendlyName=Open PubMed</x:v>
      </x:c>
      <x:c r="O99" s="31" t="e">
        <x:f>HYPERLINK("https://pmc.ncbi.nlm.nih.gov/articles/PMC13316715/","Open Full Text")</x:f>
        <x:v>HYPERLINK is not implemented. linkLocation=https://pmc.ncbi.nlm.nih.gov/articles/PMC13316715/, friendlyName=Open Full Text</x:v>
      </x:c>
      <x:c r="P99" s="28" t="str">
        <x:v>abstract only</x:v>
      </x:c>
      <x:c r="Q99" s="28" t="str">
        <x:v>PubMed/MEDLINE export supplied by user | query: not verified from export; see Protocol sheet for reproducible recommended query</x:v>
      </x:c>
      <x:c r="R99" s="28" t="str">
        <x:v>Batch 1 core</x:v>
      </x:c>
      <x:c r="S99" s="28" t="str">
        <x:v>Direct ADHD primary study on diagnosis, family/education, structural conditions, lived experience/outcomes, or environment/lifestyle.</x:v>
      </x:c>
      <x:c r="T99" s="28" t="str">
        <x:v>not apparent from accessed abstract/metadata</x:v>
      </x:c>
      <x:c r="U99" s="28" t="str">
        <x:v>none identified in MEDLINE record</x:v>
      </x:c>
      <x:c r="V99" s="26" t="str">
        <x:v>PMC13316715</x:v>
      </x:c>
      <x:c r="W99" s="28" t="str">
        <x:v>PDF available via PMC (verified free full text)</x:v>
      </x:c>
      <x:c r="X99" s="28" t="str">
        <x:v>Yes — PMC</x:v>
      </x:c>
      <x:c r="Y99" s="31" t="e">
        <x:f>IF(V99="not reported","not reported",HYPERLINK("https://pmc.ncbi.nlm.nih.gov/articles/"&amp;V99&amp;"/","Open Full Text"))</x:f>
        <x:v>HYPERLINK is not implemented. linkLocation=https://pmc.ncbi.nlm.nih.gov/articles/PMC13316715/, friendlyName=Open Full Text</x:v>
      </x:c>
      <x:c r="Z99" s="31" t="e">
        <x:f>IF(L99="not reported","not reported",HYPERLINK("https://doi.org/"&amp;L99,"Open Publisher"))</x:f>
        <x:v>HYPERLINK is not implemented. linkLocation=https://doi.org/10.1001/jamainternmed.2026.2215, friendlyName=Open Publisher</x:v>
      </x:c>
      <x:c r="AA99" s="28" t="str">
        <x:v>PMCID PMC13316715 present in the PubMed/MEDLINE record.</x:v>
      </x:c>
      <x:c r="AB99" s="28" t="str">
        <x:v>Open the PMC full-text page and use its PDF button/download option.</x:v>
      </x:c>
      <x:c r="AC99" s="26" t="str">
        <x:v>2026-09-20</x:v>
      </x:c>
    </x:row>
    <x:row r="100">
      <x:c r="A100" s="26" t="str">
        <x:v>PUBMED-42134365</x:v>
      </x:c>
      <x:c r="B100" s="28" t="str">
        <x:v>Pharmacological interventions for ADHD: a systematic review and dose-effect network meta-analysis.</x:v>
      </x:c>
      <x:c r="C100" s="28" t="str">
        <x:v>Nourredine, Mikail; Jurek, Lucie; Hamza, Tasnim; Cipriani, Andrea; Subtil, Fabien; Parlatini, Valeria; Farhat, Luis C; Veronesi, Guilherme Fusetto; Efthimiou, Orestis; Salanti, Georgia; Cortese, Samuele</x:v>
      </x:c>
      <x:c r="D100" s="28" t="n">
        <x:v>2026</x:v>
      </x:c>
      <x:c r="E100" s="28" t="str">
        <x:v>The lancet. Psychiatry</x:v>
      </x:c>
      <x:c r="F100" s="28" t="str">
        <x:v>Evidence synthesis - meta-analysis</x:v>
      </x:c>
      <x:c r="G100" s="28" t="str">
        <x:v>Development &amp; presentation; Recognition &amp; diagnosis; Social &amp; structural; Treatment &amp; support; Life outcomes &amp; lived experience</x:v>
      </x:c>
      <x:c r="H100" s="28" t="str">
        <x:v>Childhood; Adolescence; Adulthood</x:v>
      </x:c>
      <x:c r="I100" s="28" t="str">
        <x:v>not reported/not verified</x:v>
      </x:c>
      <x:c r="J100" s="28" t="str">
        <x:v>not reported</x:v>
      </x:c>
      <x:c r="K100" s="28" t="str">
        <x:v>BACKGROUND: Optimising the dosage of pharmacological treatments for ADHD is key to maximising their benefits, yet most clinical guidelines provide only limited information on this issue.</x:v>
      </x:c>
      <x:c r="L100" s="28" t="str">
        <x:v>10.1016/S2215-0366(26)00091-X</x:v>
      </x:c>
      <x:c r="M100" s="28" t="str">
        <x:v>42134365</x:v>
      </x:c>
      <x:c r="N100" s="31" t="e">
        <x:f>HYPERLINK("https://pubmed.ncbi.nlm.nih.gov/"&amp;M100&amp;"/","Open PubMed")</x:f>
        <x:v>HYPERLINK is not implemented. linkLocation=https://pubmed.ncbi.nlm.nih.gov/42134365/, friendlyName=Open PubMed</x:v>
      </x:c>
      <x:c r="O100" s="31" t="str">
        <x:v>not reported</x:v>
      </x:c>
      <x:c r="P100" s="28" t="str">
        <x:v>abstract only</x:v>
      </x:c>
      <x:c r="Q100" s="28" t="str">
        <x:v>PubMed/MEDLINE export supplied by user | query: not verified from export; see Protocol sheet for reproducible recommended query</x:v>
      </x:c>
      <x:c r="R100" s="28" t="str">
        <x:v>Batch 1 core</x:v>
      </x:c>
      <x:c r="S100" s="28" t="str">
        <x:v>Direct ADHD evidence synthesis/guideline with broad multi-topic relevance.</x:v>
      </x:c>
      <x:c r="T100" s="28" t="str">
        <x:v>not apparent from accessed abstract/metadata</x:v>
      </x:c>
      <x:c r="U100" s="28" t="str">
        <x:v>Correction/erratum noted: Lancet Psychiatry. 2026 Aug;13(8):e11. doi: 10.1016/S2215-0366(26)00175-6. PMID: 42285112</x:v>
      </x:c>
      <x:c r="V100" s="26" t="str">
        <x:v>not reported</x:v>
      </x:c>
      <x:c r="W100" s="28" t="str">
        <x:v>No PMC copy identified; publisher PDF/access must be checked</x:v>
      </x:c>
      <x:c r="X100" s="28" t="str">
        <x:v>Not verified</x:v>
      </x:c>
      <x:c r="Y100" s="31" t="str">
        <x:f>IF(V100="not reported","not reported",HYPERLINK("https://pmc.ncbi.nlm.nih.gov/articles/"&amp;V100&amp;"/","Open Full Text"))</x:f>
        <x:v>not reported</x:v>
      </x:c>
      <x:c r="Z100" s="31" t="e">
        <x:f>IF(L100="not reported","not reported",HYPERLINK("https://doi.org/"&amp;L100,"Open Publisher"))</x:f>
        <x:v>HYPERLINK is not implemented. linkLocation=https://doi.org/10.1016/S2215-0366(26)00091-X, friendlyName=Open Publisher</x:v>
      </x:c>
      <x:c r="AA100" s="28" t="str">
        <x:v>DOI present in PubMed/MEDLINE; no PMCID present.</x:v>
      </x:c>
      <x:c r="AB100" s="28" t="str">
        <x:v>Open the DOI/publisher page. If PDF is paywalled, try Stony Brook Library access, Article Galaxy, or interlibrary loan.</x:v>
      </x:c>
      <x:c r="AC100" s="26" t="str">
        <x:v>2026-09-20</x:v>
      </x:c>
    </x:row>
    <x:row r="101">
      <x:c r="A101" s="26" t="str">
        <x:v>PUBMED-42467432</x:v>
      </x:c>
      <x:c r="B101" s="28" t="str">
        <x:v>Problematic Social Media Use and Attention-Deficit/Hyperactivity Disorder Symptoms in Adolescents.</x:v>
      </x:c>
      <x:c r="C101" s="28" t="str">
        <x:v>Nagata, Jason M; Otmar, Christopher D; Nayak, Sahana; Li, Elizabeth J; Ramappa, Sapna; Ganson, Kyle T; Lavender, Jason M; Testa, Alexander; He, Jinbo; Christakis, Dimitri A; Baker, Fiona C</x:v>
      </x:c>
      <x:c r="D101" s="28" t="n">
        <x:v>2026</x:v>
      </x:c>
      <x:c r="E101" s="28" t="str">
        <x:v>JAMA network open</x:v>
      </x:c>
      <x:c r="F101" s="28" t="str">
        <x:v>Primary study - cohort</x:v>
      </x:c>
      <x:c r="G101" s="28" t="str">
        <x:v>Development &amp; presentation; Recognition &amp; diagnosis; Family &amp; education; Social &amp; structural; Environmental &amp; lifestyle; Life outcomes &amp; lived experience; Historical &amp; contemporary context</x:v>
      </x:c>
      <x:c r="H101" s="28" t="str">
        <x:v>Childhood; Adolescence; aged 9 to 10 years</x:v>
      </x:c>
      <x:c r="I101" s="28" t="str">
        <x:v>Geography (MeSH): United States</x:v>
      </x:c>
      <x:c r="J101" s="28" t="str">
        <x:v>2017-2019; 2021-2023; 2016-2018</x:v>
      </x:c>
      <x:c r="K101" s="28" t="str">
        <x:v>OBJECTIVES: To estimate bidirectional, within-person associations between PSMU and ADHD symptoms across 5 annual assessments, and to test variation by sex.</x:v>
      </x:c>
      <x:c r="L101" s="28" t="str">
        <x:v>10.1001/jamanetworkopen.2026.23748</x:v>
      </x:c>
      <x:c r="M101" s="28" t="str">
        <x:v>42467432</x:v>
      </x:c>
      <x:c r="N101" s="31" t="e">
        <x:f>HYPERLINK("https://pubmed.ncbi.nlm.nih.gov/"&amp;M101&amp;"/","Open PubMed")</x:f>
        <x:v>HYPERLINK is not implemented. linkLocation=https://pubmed.ncbi.nlm.nih.gov/42467432/, friendlyName=Open PubMed</x:v>
      </x:c>
      <x:c r="O101" s="31" t="e">
        <x:f>HYPERLINK("https://pmc.ncbi.nlm.nih.gov/articles/PMC13379756/","Open Full Text")</x:f>
        <x:v>HYPERLINK is not implemented. linkLocation=https://pmc.ncbi.nlm.nih.gov/articles/PMC13379756/, friendlyName=Open Full Text</x:v>
      </x:c>
      <x:c r="P101" s="28" t="str">
        <x:v>abstract only</x:v>
      </x:c>
      <x:c r="Q101" s="28" t="str">
        <x:v>PubMed/MEDLINE export supplied by user | query: not verified from export; see Protocol sheet for reproducible recommended query</x:v>
      </x:c>
      <x:c r="R101" s="28" t="str">
        <x:v>Batch 1 core</x:v>
      </x:c>
      <x:c r="S101" s="28" t="str">
        <x:v>Direct ADHD primary study on diagnosis, family/education, structural conditions, lived experience/outcomes, or environment/lifestyle.</x:v>
      </x:c>
      <x:c r="T101" s="28" t="str">
        <x:v>ABCD / Adolescent Brain Cognitive Development</x:v>
      </x:c>
      <x:c r="U101" s="28" t="str">
        <x:v>none identified in MEDLINE record</x:v>
      </x:c>
      <x:c r="V101" s="26" t="str">
        <x:v>PMC13379756</x:v>
      </x:c>
      <x:c r="W101" s="28" t="str">
        <x:v>PDF available via PMC (verified free full text)</x:v>
      </x:c>
      <x:c r="X101" s="28" t="str">
        <x:v>Yes — PMC</x:v>
      </x:c>
      <x:c r="Y101" s="31" t="e">
        <x:f>IF(V101="not reported","not reported",HYPERLINK("https://pmc.ncbi.nlm.nih.gov/articles/"&amp;V101&amp;"/","Open Full Text"))</x:f>
        <x:v>HYPERLINK is not implemented. linkLocation=https://pmc.ncbi.nlm.nih.gov/articles/PMC13379756/, friendlyName=Open Full Text</x:v>
      </x:c>
      <x:c r="Z101" s="31" t="e">
        <x:f>IF(L101="not reported","not reported",HYPERLINK("https://doi.org/"&amp;L101,"Open Publisher"))</x:f>
        <x:v>HYPERLINK is not implemented. linkLocation=https://doi.org/10.1001/jamanetworkopen.2026.23748, friendlyName=Open Publisher</x:v>
      </x:c>
      <x:c r="AA101" s="28" t="str">
        <x:v>PMCID PMC13379756 present in the PubMed/MEDLINE record.</x:v>
      </x:c>
      <x:c r="AB101" s="28" t="str">
        <x:v>Open the PMC full-text page and use its PDF button/download option.</x:v>
      </x:c>
      <x:c r="AC101" s="26" t="str">
        <x:v>2026-09-20</x:v>
      </x:c>
    </x:row>
    <x:row r="102">
      <x:c r="A102" s="26" t="str">
        <x:v>PUBMED-42274016</x:v>
      </x:c>
      <x:c r="B102" s="28" t="str">
        <x:v>Menstrual health and Attention-Deficit/Hyperactivity Disorder (ADHD) symptoms: A scoping review.</x:v>
      </x:c>
      <x:c r="C102" s="28" t="str">
        <x:v>Kennedy, Gabriela; Baran-Goldwax, Megan; Lippé, Sarah</x:v>
      </x:c>
      <x:c r="D102" s="28" t="n">
        <x:v>2026</x:v>
      </x:c>
      <x:c r="E102" s="28" t="str">
        <x:v>Women's health (London, England)</x:v>
      </x:c>
      <x:c r="F102" s="28" t="str">
        <x:v>Evidence synthesis - review</x:v>
      </x:c>
      <x:c r="G102" s="28" t="str">
        <x:v>Development &amp; presentation; Recognition &amp; diagnosis; Social &amp; structural; Treatment &amp; support; Life outcomes &amp; lived experience</x:v>
      </x:c>
      <x:c r="H102" s="28" t="str">
        <x:v>Not specified</x:v>
      </x:c>
      <x:c r="I102" s="28" t="str">
        <x:v>not reported/not verified</x:v>
      </x:c>
      <x:c r="J102" s="28" t="str">
        <x:v>not reported</x:v>
      </x:c>
      <x:c r="K102" s="28" t="str">
        <x:v>BackgroundLittle is known about how menstrual health characteristics may influence Attention-Deficit/Hyperactivity Disorder (ADHD) symptoms, despite evidence that hormonal fluctuations can affect attention, mood, and behaviour.ObjectiveThis scoping review examined the extent, nature, and quality of the evidence exploring the relationship between menstrual health features and ADHD symptom presentation.Eligibility CriteriaAll primary study designs </x:v>
      </x:c>
      <x:c r="L102" s="28" t="str">
        <x:v>10.1177/17455057261460285</x:v>
      </x:c>
      <x:c r="M102" s="28" t="str">
        <x:v>42274016</x:v>
      </x:c>
      <x:c r="N102" s="31" t="e">
        <x:f>HYPERLINK("https://pubmed.ncbi.nlm.nih.gov/"&amp;M102&amp;"/","Open PubMed")</x:f>
        <x:v>HYPERLINK is not implemented. linkLocation=https://pubmed.ncbi.nlm.nih.gov/42274016/, friendlyName=Open PubMed</x:v>
      </x:c>
      <x:c r="O102" s="31" t="e">
        <x:f>HYPERLINK("https://pmc.ncbi.nlm.nih.gov/articles/PMC13260955/","Open Full Text")</x:f>
        <x:v>HYPERLINK is not implemented. linkLocation=https://pmc.ncbi.nlm.nih.gov/articles/PMC13260955/, friendlyName=Open Full Text</x:v>
      </x:c>
      <x:c r="P102" s="28" t="str">
        <x:v>abstract only</x:v>
      </x:c>
      <x:c r="Q102" s="28" t="str">
        <x:v>PubMed/MEDLINE export supplied by user | query: not verified from export; see Protocol sheet for reproducible recommended query</x:v>
      </x:c>
      <x:c r="R102" s="28" t="str">
        <x:v>Batch 1 core</x:v>
      </x:c>
      <x:c r="S102" s="28" t="str">
        <x:v>Direct ADHD evidence synthesis/guideline with broad multi-topic relevance.</x:v>
      </x:c>
      <x:c r="T102" s="28" t="str">
        <x:v>not apparent from accessed abstract/metadata</x:v>
      </x:c>
      <x:c r="U102" s="28" t="str">
        <x:v>none identified in MEDLINE record</x:v>
      </x:c>
      <x:c r="V102" s="26" t="str">
        <x:v>PMC13260955</x:v>
      </x:c>
      <x:c r="W102" s="28" t="str">
        <x:v>PDF available via PMC (verified free full text)</x:v>
      </x:c>
      <x:c r="X102" s="28" t="str">
        <x:v>Yes — PMC</x:v>
      </x:c>
      <x:c r="Y102" s="31" t="e">
        <x:f>IF(V102="not reported","not reported",HYPERLINK("https://pmc.ncbi.nlm.nih.gov/articles/"&amp;V102&amp;"/","Open Full Text"))</x:f>
        <x:v>HYPERLINK is not implemented. linkLocation=https://pmc.ncbi.nlm.nih.gov/articles/PMC13260955/, friendlyName=Open Full Text</x:v>
      </x:c>
      <x:c r="Z102" s="31" t="e">
        <x:f>IF(L102="not reported","not reported",HYPERLINK("https://doi.org/"&amp;L102,"Open Publisher"))</x:f>
        <x:v>HYPERLINK is not implemented. linkLocation=https://doi.org/10.1177/17455057261460285, friendlyName=Open Publisher</x:v>
      </x:c>
      <x:c r="AA102" s="28" t="str">
        <x:v>PMCID PMC13260955 present in the PubMed/MEDLINE record.</x:v>
      </x:c>
      <x:c r="AB102" s="28" t="str">
        <x:v>Open the PMC full-text page and use its PDF button/download option.</x:v>
      </x:c>
      <x:c r="AC102" s="26" t="str">
        <x:v>2026-09-20</x:v>
      </x:c>
    </x:row>
    <x:row r="103">
      <x:c r="A103" s="26" t="str">
        <x:v>PUBMED-42268594</x:v>
      </x:c>
      <x:c r="B103" s="28" t="str">
        <x:v>Changes in Genetic Contributions to ASD and ADHD by Year of Diagnosis.</x:v>
      </x:c>
      <x:c r="C103" s="28" t="str">
        <x:v>LaBianca, Sonja; Lousdal, Mette Lise; Dybdahl Krebs, Morten; Sahlholdt Hansen, Ole; Georgii Hellberg, Kajsa-Lotta; Lundberg, Mischa; Østerby Sørensen, Johanne; Gådin, Jesper R; Ohlsson, Henrik; Grove, Jakob; Børglum, Anders; Agerbo, Esben; Werge, Thomas; Albiñana, Clara; Vilhjálmsson, Bjarni J; Kendler, Kenneth S; Plana-Ripoll, Oleguer; Schork, Andrew J</x:v>
      </x:c>
      <x:c r="D103" s="28" t="n">
        <x:v>2026</x:v>
      </x:c>
      <x:c r="E103" s="28" t="str">
        <x:v>JAMA psychiatry</x:v>
      </x:c>
      <x:c r="F103" s="28" t="str">
        <x:v>Primary study - cohort</x:v>
      </x:c>
      <x:c r="G103" s="28" t="str">
        <x:v>Development &amp; presentation; Recognition &amp; diagnosis; Family &amp; education; Social &amp; structural; Environmental &amp; lifestyle; Treatment &amp; support; Life outcomes &amp; lived experience</x:v>
      </x:c>
      <x:c r="H103" s="28" t="str">
        <x:v>Childhood; Adolescence</x:v>
      </x:c>
      <x:c r="I103" s="28" t="str">
        <x:v>Geography (MeSH): Denmark</x:v>
      </x:c>
      <x:c r="J103" s="28" t="str">
        <x:v>1994 to 2016; 1994-2016; from 1994 to 2016</x:v>
      </x:c>
      <x:c r="K103" s="28" t="str">
        <x:v>OBJECTIVE: To assess changes in the genetic risk profile of individuals diagnosed with ASD or ADHD by year of incident diagnosis and explore results in comparison with those expected under simulated scenarios.</x:v>
      </x:c>
      <x:c r="L103" s="28" t="str">
        <x:v>10.1001/jamapsychiatry.2026.1450</x:v>
      </x:c>
      <x:c r="M103" s="28" t="str">
        <x:v>42268594</x:v>
      </x:c>
      <x:c r="N103" s="31" t="e">
        <x:f>HYPERLINK("https://pubmed.ncbi.nlm.nih.gov/"&amp;M103&amp;"/","Open PubMed")</x:f>
        <x:v>HYPERLINK is not implemented. linkLocation=https://pubmed.ncbi.nlm.nih.gov/42268594/, friendlyName=Open PubMed</x:v>
      </x:c>
      <x:c r="O103" s="31" t="e">
        <x:f>HYPERLINK("https://pmc.ncbi.nlm.nih.gov/articles/PMC13254805/","Open Full Text")</x:f>
        <x:v>HYPERLINK is not implemented. linkLocation=https://pmc.ncbi.nlm.nih.gov/articles/PMC13254805/, friendlyName=Open Full Text</x:v>
      </x:c>
      <x:c r="P103" s="28" t="str">
        <x:v>abstract only</x:v>
      </x:c>
      <x:c r="Q103" s="28" t="str">
        <x:v>PubMed/MEDLINE export supplied by user | query: not verified from export; see Protocol sheet for reproducible recommended query</x:v>
      </x:c>
      <x:c r="R103" s="28" t="str">
        <x:v>Batch 1 core</x:v>
      </x:c>
      <x:c r="S103" s="28" t="str">
        <x:v>Direct ADHD primary study on diagnosis, family/education, structural conditions, lived experience/outcomes, or environment/lifestyle.</x:v>
      </x:c>
      <x:c r="T103" s="28" t="str">
        <x:v>not apparent from accessed abstract/metadata</x:v>
      </x:c>
      <x:c r="U103" s="28" t="str">
        <x:v>none identified in MEDLINE record</x:v>
      </x:c>
      <x:c r="V103" s="26" t="str">
        <x:v>PMC13254805</x:v>
      </x:c>
      <x:c r="W103" s="28" t="str">
        <x:v>PDF available via PMC (verified free full text)</x:v>
      </x:c>
      <x:c r="X103" s="28" t="str">
        <x:v>Yes — PMC</x:v>
      </x:c>
      <x:c r="Y103" s="31" t="e">
        <x:f>IF(V103="not reported","not reported",HYPERLINK("https://pmc.ncbi.nlm.nih.gov/articles/"&amp;V103&amp;"/","Open Full Text"))</x:f>
        <x:v>HYPERLINK is not implemented. linkLocation=https://pmc.ncbi.nlm.nih.gov/articles/PMC13254805/, friendlyName=Open Full Text</x:v>
      </x:c>
      <x:c r="Z103" s="31" t="e">
        <x:f>IF(L103="not reported","not reported",HYPERLINK("https://doi.org/"&amp;L103,"Open Publisher"))</x:f>
        <x:v>HYPERLINK is not implemented. linkLocation=https://doi.org/10.1001/jamapsychiatry.2026.1450, friendlyName=Open Publisher</x:v>
      </x:c>
      <x:c r="AA103" s="28" t="str">
        <x:v>PMCID PMC13254805 present in the PubMed/MEDLINE record.</x:v>
      </x:c>
      <x:c r="AB103" s="28" t="str">
        <x:v>Open the PMC full-text page and use its PDF button/download option.</x:v>
      </x:c>
      <x:c r="AC103" s="26" t="str">
        <x:v>2026-09-20</x:v>
      </x:c>
    </x:row>
    <x:row r="104">
      <x:c r="A104" s="26" t="str">
        <x:v>PUBMED-42442822</x:v>
      </x:c>
      <x:c r="B104" s="28" t="str">
        <x:v>The Stigmatization of Caregivers of Children With Attention-Deficit/Hyperactivity Disorder: A Systematic Review.</x:v>
      </x:c>
      <x:c r="C104" s="28" t="str">
        <x:v>Guerin, Samuel; McCrossin, Jeffrey; Blanc, Romuald; Cappe, Émilie</x:v>
      </x:c>
      <x:c r="D104" s="28" t="n">
        <x:v>2026</x:v>
      </x:c>
      <x:c r="E104" s="28" t="str">
        <x:v>Family process</x:v>
      </x:c>
      <x:c r="F104" s="28" t="str">
        <x:v>Evidence synthesis - systematic review</x:v>
      </x:c>
      <x:c r="G104" s="28" t="str">
        <x:v>Development &amp; presentation; Recognition &amp; diagnosis; Family &amp; education; Social &amp; structural; Environmental &amp; lifestyle; Treatment &amp; support; Life outcomes &amp; lived experience; Historical &amp; contemporary context</x:v>
      </x:c>
      <x:c r="H104" s="28" t="str">
        <x:v>Childhood; Adulthood</x:v>
      </x:c>
      <x:c r="I104" s="28" t="str">
        <x:v>not reported/not verified</x:v>
      </x:c>
      <x:c r="J104" s="28" t="str">
        <x:v>between 2013 and 2024</x:v>
      </x:c>
      <x:c r="K104" s="28" t="str">
        <x:v>The association between affiliate stigma and caregiver psychological distress underscores the need for targeted interventions, however only one intervention study met inclusion criteria for this review.</x:v>
      </x:c>
      <x:c r="L104" s="28" t="str">
        <x:v>10.1111/famp.70179</x:v>
      </x:c>
      <x:c r="M104" s="28" t="str">
        <x:v>42442822</x:v>
      </x:c>
      <x:c r="N104" s="31" t="e">
        <x:f>HYPERLINK("https://pubmed.ncbi.nlm.nih.gov/"&amp;M104&amp;"/","Open PubMed")</x:f>
        <x:v>HYPERLINK is not implemented. linkLocation=https://pubmed.ncbi.nlm.nih.gov/42442822/, friendlyName=Open PubMed</x:v>
      </x:c>
      <x:c r="O104" s="31" t="e">
        <x:f>HYPERLINK("https://pmc.ncbi.nlm.nih.gov/articles/PMC13364511/","Open Full Text")</x:f>
        <x:v>HYPERLINK is not implemented. linkLocation=https://pmc.ncbi.nlm.nih.gov/articles/PMC13364511/, friendlyName=Open Full Text</x:v>
      </x:c>
      <x:c r="P104" s="28" t="str">
        <x:v>abstract only</x:v>
      </x:c>
      <x:c r="Q104" s="28" t="str">
        <x:v>PubMed/MEDLINE export supplied by user | query: not verified from export; see Protocol sheet for reproducible recommended query</x:v>
      </x:c>
      <x:c r="R104" s="28" t="str">
        <x:v>Batch 1 core</x:v>
      </x:c>
      <x:c r="S104" s="28" t="str">
        <x:v>Direct ADHD evidence synthesis/guideline with broad multi-topic relevance.</x:v>
      </x:c>
      <x:c r="T104" s="28" t="str">
        <x:v>not apparent from accessed abstract/metadata</x:v>
      </x:c>
      <x:c r="U104" s="28" t="str">
        <x:v>none identified in MEDLINE record</x:v>
      </x:c>
      <x:c r="V104" s="26" t="str">
        <x:v>PMC13364511</x:v>
      </x:c>
      <x:c r="W104" s="28" t="str">
        <x:v>PDF available via PMC (verified free full text)</x:v>
      </x:c>
      <x:c r="X104" s="28" t="str">
        <x:v>Yes — PMC</x:v>
      </x:c>
      <x:c r="Y104" s="31" t="e">
        <x:f>IF(V104="not reported","not reported",HYPERLINK("https://pmc.ncbi.nlm.nih.gov/articles/"&amp;V104&amp;"/","Open Full Text"))</x:f>
        <x:v>HYPERLINK is not implemented. linkLocation=https://pmc.ncbi.nlm.nih.gov/articles/PMC13364511/, friendlyName=Open Full Text</x:v>
      </x:c>
      <x:c r="Z104" s="31" t="e">
        <x:f>IF(L104="not reported","not reported",HYPERLINK("https://doi.org/"&amp;L104,"Open Publisher"))</x:f>
        <x:v>HYPERLINK is not implemented. linkLocation=https://doi.org/10.1111/famp.70179, friendlyName=Open Publisher</x:v>
      </x:c>
      <x:c r="AA104" s="28" t="str">
        <x:v>PMCID PMC13364511 present in the PubMed/MEDLINE record.</x:v>
      </x:c>
      <x:c r="AB104" s="28" t="str">
        <x:v>Open the PMC full-text page and use its PDF button/download option.</x:v>
      </x:c>
      <x:c r="AC104" s="26" t="str">
        <x:v>2026-09-20</x:v>
      </x:c>
    </x:row>
    <x:row r="105">
      <x:c r="A105" s="26" t="str">
        <x:v>PUBMED-42455456</x:v>
      </x:c>
      <x:c r="B105" s="28" t="str">
        <x:v>Roles and impacts of pharmacists in attention-deficit hyperactivity disorder services: a scoping review.</x:v>
      </x:c>
      <x:c r="C105" s="28" t="str">
        <x:v>Khan, Muhammad Umair; Naqvi, Atta Abbas; Wong, Ian Chi-Kei; Maidment, Ian; Brown, Graham; Cortese, Samuele</x:v>
      </x:c>
      <x:c r="D105" s="28" t="n">
        <x:v>2026</x:v>
      </x:c>
      <x:c r="E105" s="28" t="str">
        <x:v>International journal of clinical pharmacy</x:v>
      </x:c>
      <x:c r="F105" s="28" t="str">
        <x:v>Evidence synthesis - review</x:v>
      </x:c>
      <x:c r="G105" s="28" t="str">
        <x:v>Development &amp; presentation; Family &amp; education; Social &amp; structural; Treatment &amp; support; Life outcomes &amp; lived experience</x:v>
      </x:c>
      <x:c r="H105" s="28" t="str">
        <x:v>Not specified</x:v>
      </x:c>
      <x:c r="I105" s="28" t="str">
        <x:v>not reported/not verified</x:v>
      </x:c>
      <x:c r="J105" s="28" t="str">
        <x:v>between 2008 and 2025</x:v>
      </x:c>
      <x:c r="K105" s="28" t="str">
        <x:v>AIM: This scoping review aims to map the existing empirical evidence on pharmacist involvement in ADHD services, synthesise reported roles and impacts, and identify key evidence gaps to inform future research and service development.</x:v>
      </x:c>
      <x:c r="L105" s="28" t="str">
        <x:v>10.1007/s11096-026-02184-2</x:v>
      </x:c>
      <x:c r="M105" s="28" t="str">
        <x:v>42455456</x:v>
      </x:c>
      <x:c r="N105" s="31" t="e">
        <x:f>HYPERLINK("https://pubmed.ncbi.nlm.nih.gov/"&amp;M105&amp;"/","Open PubMed")</x:f>
        <x:v>HYPERLINK is not implemented. linkLocation=https://pubmed.ncbi.nlm.nih.gov/42455456/, friendlyName=Open PubMed</x:v>
      </x:c>
      <x:c r="O105" s="31" t="e">
        <x:f>HYPERLINK("https://pmc.ncbi.nlm.nih.gov/articles/PMC13569535/","Open Full Text")</x:f>
        <x:v>HYPERLINK is not implemented. linkLocation=https://pmc.ncbi.nlm.nih.gov/articles/PMC13569535/, friendlyName=Open Full Text</x:v>
      </x:c>
      <x:c r="P105" s="28" t="str">
        <x:v>abstract only</x:v>
      </x:c>
      <x:c r="Q105" s="28" t="str">
        <x:v>PubMed/MEDLINE export supplied by user | query: not verified from export; see Protocol sheet for reproducible recommended query</x:v>
      </x:c>
      <x:c r="R105" s="28" t="str">
        <x:v>Batch 1 core</x:v>
      </x:c>
      <x:c r="S105" s="28" t="str">
        <x:v>Direct ADHD evidence synthesis/guideline with broad multi-topic relevance.</x:v>
      </x:c>
      <x:c r="T105" s="28" t="str">
        <x:v>not apparent from accessed abstract/metadata</x:v>
      </x:c>
      <x:c r="U105" s="28" t="str">
        <x:v>none identified in MEDLINE record</x:v>
      </x:c>
      <x:c r="V105" s="26" t="str">
        <x:v>PMC13569535</x:v>
      </x:c>
      <x:c r="W105" s="28" t="str">
        <x:v>PDF available via PMC (verified free full text)</x:v>
      </x:c>
      <x:c r="X105" s="28" t="str">
        <x:v>Yes — PMC</x:v>
      </x:c>
      <x:c r="Y105" s="31" t="e">
        <x:f>IF(V105="not reported","not reported",HYPERLINK("https://pmc.ncbi.nlm.nih.gov/articles/"&amp;V105&amp;"/","Open Full Text"))</x:f>
        <x:v>HYPERLINK is not implemented. linkLocation=https://pmc.ncbi.nlm.nih.gov/articles/PMC13569535/, friendlyName=Open Full Text</x:v>
      </x:c>
      <x:c r="Z105" s="31" t="e">
        <x:f>IF(L105="not reported","not reported",HYPERLINK("https://doi.org/"&amp;L105,"Open Publisher"))</x:f>
        <x:v>HYPERLINK is not implemented. linkLocation=https://doi.org/10.1007/s11096-026-02184-2, friendlyName=Open Publisher</x:v>
      </x:c>
      <x:c r="AA105" s="28" t="str">
        <x:v>PMCID PMC13569535 present in the PubMed/MEDLINE record.</x:v>
      </x:c>
      <x:c r="AB105" s="28" t="str">
        <x:v>Open the PMC full-text page and use its PDF button/download option.</x:v>
      </x:c>
      <x:c r="AC105" s="26" t="str">
        <x:v>2026-09-20</x:v>
      </x:c>
    </x:row>
    <x:row r="106">
      <x:c r="A106" s="26" t="str">
        <x:v>PUBMED-42185531</x:v>
      </x:c>
      <x:c r="B106" s="28" t="str">
        <x:v>Genetic investigation of the association between maternal dietary patterns and offspring ADHD.</x:v>
      </x:c>
      <x:c r="C106" s="28" t="str">
        <x:v>Aagaard, Kristina; Pedersen, Casper-Emil T; Horner, David; Eliasen, Anders; Brustad, Nicklas; Vinding, Rebecca; Talaei, Mohammad; Shaheen, Seif O; Rosenberg, Julie B; Stokholm, Jakob; Chawes, Bo; Rasmussen, Morten Arendt; Jepsen, Jens Richardt M; Ebdrup, Bjørn H; Havdahl, Alexandra; Hannigan, Laurie J; Bønnelykke, Klaus</x:v>
      </x:c>
      <x:c r="D106" s="28" t="n">
        <x:v>2026</x:v>
      </x:c>
      <x:c r="E106" s="28" t="str">
        <x:v>Molecular psychiatry</x:v>
      </x:c>
      <x:c r="F106" s="28" t="str">
        <x:v>Primary study - cohort</x:v>
      </x:c>
      <x:c r="G106" s="28" t="str">
        <x:v>Development &amp; presentation; Recognition &amp; diagnosis; Social &amp; structural; Environmental &amp; lifestyle; Treatment &amp; support</x:v>
      </x:c>
      <x:c r="H106" s="28" t="str">
        <x:v>Childhood</x:v>
      </x:c>
      <x:c r="I106" s="28" t="str">
        <x:v>not reported/not verified</x:v>
      </x:c>
      <x:c r="J106" s="28" t="str">
        <x:v>not reported</x:v>
      </x:c>
      <x:c r="K106" s="28" t="str">
        <x:v>We investigated whether such associations may be partly attributable to genetic confounding.</x:v>
      </x:c>
      <x:c r="L106" s="28" t="str">
        <x:v>10.1038/s41380-026-03645-w</x:v>
      </x:c>
      <x:c r="M106" s="28" t="str">
        <x:v>42185531</x:v>
      </x:c>
      <x:c r="N106" s="31" t="e">
        <x:f>HYPERLINK("https://pubmed.ncbi.nlm.nih.gov/"&amp;M106&amp;"/","Open PubMed")</x:f>
        <x:v>HYPERLINK is not implemented. linkLocation=https://pubmed.ncbi.nlm.nih.gov/42185531/, friendlyName=Open PubMed</x:v>
      </x:c>
      <x:c r="O106" s="31" t="e">
        <x:f>HYPERLINK("https://pmc.ncbi.nlm.nih.gov/articles/PMC13569445/","Open Full Text")</x:f>
        <x:v>HYPERLINK is not implemented. linkLocation=https://pmc.ncbi.nlm.nih.gov/articles/PMC13569445/, friendlyName=Open Full Text</x:v>
      </x:c>
      <x:c r="P106" s="28" t="str">
        <x:v>abstract only</x:v>
      </x:c>
      <x:c r="Q106" s="28" t="str">
        <x:v>PubMed/MEDLINE export supplied by user | query: not verified from export; see Protocol sheet for reproducible recommended query</x:v>
      </x:c>
      <x:c r="R106" s="28" t="str">
        <x:v>Batch 1 core</x:v>
      </x:c>
      <x:c r="S106" s="28" t="str">
        <x:v>Direct ADHD primary study on diagnosis, family/education, structural conditions, lived experience/outcomes, or environment/lifestyle.</x:v>
      </x:c>
      <x:c r="T106" s="28" t="str">
        <x:v>ALSPAC / Avon Longitudinal Study; MoBa / Norwegian Mother, Father and Child Cohort</x:v>
      </x:c>
      <x:c r="U106" s="28" t="str">
        <x:v>none identified in MEDLINE record</x:v>
      </x:c>
      <x:c r="V106" s="26" t="str">
        <x:v>PMC13569445</x:v>
      </x:c>
      <x:c r="W106" s="28" t="str">
        <x:v>PDF available via PMC (verified free full text)</x:v>
      </x:c>
      <x:c r="X106" s="28" t="str">
        <x:v>Yes — PMC</x:v>
      </x:c>
      <x:c r="Y106" s="31" t="e">
        <x:f>IF(V106="not reported","not reported",HYPERLINK("https://pmc.ncbi.nlm.nih.gov/articles/"&amp;V106&amp;"/","Open Full Text"))</x:f>
        <x:v>HYPERLINK is not implemented. linkLocation=https://pmc.ncbi.nlm.nih.gov/articles/PMC13569445/, friendlyName=Open Full Text</x:v>
      </x:c>
      <x:c r="Z106" s="31" t="e">
        <x:f>IF(L106="not reported","not reported",HYPERLINK("https://doi.org/"&amp;L106,"Open Publisher"))</x:f>
        <x:v>HYPERLINK is not implemented. linkLocation=https://doi.org/10.1038/s41380-026-03645-w, friendlyName=Open Publisher</x:v>
      </x:c>
      <x:c r="AA106" s="28" t="str">
        <x:v>PMCID PMC13569445 present in the PubMed/MEDLINE record.</x:v>
      </x:c>
      <x:c r="AB106" s="28" t="str">
        <x:v>Open the PMC full-text page and use its PDF button/download option.</x:v>
      </x:c>
      <x:c r="AC106" s="26" t="str">
        <x:v>2026-09-20</x:v>
      </x:c>
    </x:row>
    <x:row r="107">
      <x:c r="A107" s="26" t="str">
        <x:v>PUBMED-42130043</x:v>
      </x:c>
      <x:c r="B107" s="28" t="str">
        <x:v>Manganese Exposure and Attention-Deficit/Hyperactivity Disorder-Related Neurobehavioral Outcomes in Children: A Systematic Review of Human Studies.</x:v>
      </x:c>
      <x:c r="C107" s="28" t="str">
        <x:v>Ogut, Enes; Ilgin, Sinem; Atli Eklioglu, Ozlem</x:v>
      </x:c>
      <x:c r="D107" s="28" t="n">
        <x:v>2026</x:v>
      </x:c>
      <x:c r="E107" s="28" t="str">
        <x:v>Journal of child and adolescent psychopharmacology</x:v>
      </x:c>
      <x:c r="F107" s="28" t="str">
        <x:v>Evidence synthesis - systematic review</x:v>
      </x:c>
      <x:c r="G107" s="28" t="str">
        <x:v>Development &amp; presentation; Recognition &amp; diagnosis; Social &amp; structural; Environmental &amp; lifestyle; Treatment &amp; support; Life outcomes &amp; lived experience; Historical &amp; contemporary context</x:v>
      </x:c>
      <x:c r="H107" s="28" t="str">
        <x:v>Childhood</x:v>
      </x:c>
      <x:c r="I107" s="28" t="str">
        <x:v>not reported/not verified</x:v>
      </x:c>
      <x:c r="J107" s="28" t="str">
        <x:v>not reported</x:v>
      </x:c>
      <x:c r="K107" s="28" t="str">
        <x:v>BACKGROUND: Attention-deficit/hyperactivity disorder (ADHD) is a common neurodevelopmental condition with multifactorial etiology involving genetic, neurobiological, and environmental determinants.</x:v>
      </x:c>
      <x:c r="L107" s="28" t="str">
        <x:v>10.1177/10445463261450845</x:v>
      </x:c>
      <x:c r="M107" s="28" t="str">
        <x:v>42130043</x:v>
      </x:c>
      <x:c r="N107" s="31" t="e">
        <x:f>HYPERLINK("https://pubmed.ncbi.nlm.nih.gov/"&amp;M107&amp;"/","Open PubMed")</x:f>
        <x:v>HYPERLINK is not implemented. linkLocation=https://pubmed.ncbi.nlm.nih.gov/42130043/, friendlyName=Open PubMed</x:v>
      </x:c>
      <x:c r="O107" s="31" t="str">
        <x:v>not reported</x:v>
      </x:c>
      <x:c r="P107" s="28" t="str">
        <x:v>abstract only</x:v>
      </x:c>
      <x:c r="Q107" s="28" t="str">
        <x:v>PubMed/MEDLINE export supplied by user | query: not verified from export; see Protocol sheet for reproducible recommended query</x:v>
      </x:c>
      <x:c r="R107" s="28" t="str">
        <x:v>Batch 1 core</x:v>
      </x:c>
      <x:c r="S107" s="28" t="str">
        <x:v>Direct ADHD evidence synthesis/guideline with broad multi-topic relevance.</x:v>
      </x:c>
      <x:c r="T107" s="28" t="str">
        <x:v>not apparent from accessed abstract/metadata</x:v>
      </x:c>
      <x:c r="U107" s="28" t="str">
        <x:v>none identified in MEDLINE record</x:v>
      </x:c>
      <x:c r="V107" s="26" t="str">
        <x:v>not reported</x:v>
      </x:c>
      <x:c r="W107" s="28" t="str">
        <x:v>No PMC copy identified; publisher PDF/access must be checked</x:v>
      </x:c>
      <x:c r="X107" s="28" t="str">
        <x:v>Not verified</x:v>
      </x:c>
      <x:c r="Y107" s="31" t="str">
        <x:f>IF(V107="not reported","not reported",HYPERLINK("https://pmc.ncbi.nlm.nih.gov/articles/"&amp;V107&amp;"/","Open Full Text"))</x:f>
        <x:v>not reported</x:v>
      </x:c>
      <x:c r="Z107" s="31" t="e">
        <x:f>IF(L107="not reported","not reported",HYPERLINK("https://doi.org/"&amp;L107,"Open Publisher"))</x:f>
        <x:v>HYPERLINK is not implemented. linkLocation=https://doi.org/10.1177/10445463261450845, friendlyName=Open Publisher</x:v>
      </x:c>
      <x:c r="AA107" s="28" t="str">
        <x:v>DOI present in PubMed/MEDLINE; no PMCID present.</x:v>
      </x:c>
      <x:c r="AB107" s="28" t="str">
        <x:v>Open the DOI/publisher page. If PDF is paywalled, try Stony Brook Library access, Article Galaxy, or interlibrary loan.</x:v>
      </x:c>
      <x:c r="AC107" s="26" t="str">
        <x:v>2026-09-20</x:v>
      </x:c>
    </x:row>
    <x:row r="108">
      <x:c r="A108" s="26" t="str">
        <x:v>PUBMED-42197085</x:v>
      </x:c>
      <x:c r="B108" s="28" t="str">
        <x:v>Dietary Carbohydrates and ADHD Symptoms: A Systematic Review.</x:v>
      </x:c>
      <x:c r="C108" s="28" t="str">
        <x:v>Panayotova, Gabriela Georgieva; Hachmeriyan, Antoniya</x:v>
      </x:c>
      <x:c r="D108" s="28" t="n">
        <x:v>2026</x:v>
      </x:c>
      <x:c r="E108" s="28" t="str">
        <x:v>Nutrients</x:v>
      </x:c>
      <x:c r="F108" s="28" t="str">
        <x:v>Evidence synthesis - systematic review</x:v>
      </x:c>
      <x:c r="G108" s="28" t="str">
        <x:v>Development &amp; presentation; Recognition &amp; diagnosis; Social &amp; structural; Environmental &amp; lifestyle; Treatment &amp; support; Life outcomes &amp; lived experience</x:v>
      </x:c>
      <x:c r="H108" s="28" t="str">
        <x:v>Childhood; Adolescence; Adulthood</x:v>
      </x:c>
      <x:c r="I108" s="28" t="str">
        <x:v>not reported/not verified</x:v>
      </x:c>
      <x:c r="J108" s="28" t="str">
        <x:v>not reported</x:v>
      </x:c>
      <x:c r="K108" s="28" t="str">
        <x:v>BACKGROUND: Attention-deficit/hyperactivity disorder (ADHD) is a prevalent neurodevelopmental condition with psychosocial impact.</x:v>
      </x:c>
      <x:c r="L108" s="28" t="str">
        <x:v>10.3390/nu18101625</x:v>
      </x:c>
      <x:c r="M108" s="28" t="str">
        <x:v>42197085</x:v>
      </x:c>
      <x:c r="N108" s="31" t="e">
        <x:f>HYPERLINK("https://pubmed.ncbi.nlm.nih.gov/"&amp;M108&amp;"/","Open PubMed")</x:f>
        <x:v>HYPERLINK is not implemented. linkLocation=https://pubmed.ncbi.nlm.nih.gov/42197085/, friendlyName=Open PubMed</x:v>
      </x:c>
      <x:c r="O108" s="31" t="e">
        <x:f>HYPERLINK("https://pmc.ncbi.nlm.nih.gov/articles/PMC13209895/","Open Full Text")</x:f>
        <x:v>HYPERLINK is not implemented. linkLocation=https://pmc.ncbi.nlm.nih.gov/articles/PMC13209895/, friendlyName=Open Full Text</x:v>
      </x:c>
      <x:c r="P108" s="28" t="str">
        <x:v>abstract only</x:v>
      </x:c>
      <x:c r="Q108" s="28" t="str">
        <x:v>PubMed/MEDLINE export supplied by user | query: not verified from export; see Protocol sheet for reproducible recommended query</x:v>
      </x:c>
      <x:c r="R108" s="28" t="str">
        <x:v>Batch 1 core</x:v>
      </x:c>
      <x:c r="S108" s="28" t="str">
        <x:v>Direct ADHD evidence synthesis/guideline with broad multi-topic relevance.</x:v>
      </x:c>
      <x:c r="T108" s="28" t="str">
        <x:v>not apparent from accessed abstract/metadata</x:v>
      </x:c>
      <x:c r="U108" s="28" t="str">
        <x:v>none identified in MEDLINE record</x:v>
      </x:c>
      <x:c r="V108" s="26" t="str">
        <x:v>PMC13209895</x:v>
      </x:c>
      <x:c r="W108" s="28" t="str">
        <x:v>PDF available via PMC (verified free full text)</x:v>
      </x:c>
      <x:c r="X108" s="28" t="str">
        <x:v>Yes — PMC</x:v>
      </x:c>
      <x:c r="Y108" s="31" t="e">
        <x:f>IF(V108="not reported","not reported",HYPERLINK("https://pmc.ncbi.nlm.nih.gov/articles/"&amp;V108&amp;"/","Open Full Text"))</x:f>
        <x:v>HYPERLINK is not implemented. linkLocation=https://pmc.ncbi.nlm.nih.gov/articles/PMC13209895/, friendlyName=Open Full Text</x:v>
      </x:c>
      <x:c r="Z108" s="31" t="e">
        <x:f>IF(L108="not reported","not reported",HYPERLINK("https://doi.org/"&amp;L108,"Open Publisher"))</x:f>
        <x:v>HYPERLINK is not implemented. linkLocation=https://doi.org/10.3390/nu18101625, friendlyName=Open Publisher</x:v>
      </x:c>
      <x:c r="AA108" s="28" t="str">
        <x:v>PMCID PMC13209895 present in the PubMed/MEDLINE record.</x:v>
      </x:c>
      <x:c r="AB108" s="28" t="str">
        <x:v>Open the PMC full-text page and use its PDF button/download option.</x:v>
      </x:c>
      <x:c r="AC108" s="26" t="str">
        <x:v>2026-09-20</x:v>
      </x:c>
    </x:row>
    <x:row r="109">
      <x:c r="A109" s="26" t="str">
        <x:v>PUBMED-42537007</x:v>
      </x:c>
      <x:c r="B109" s="28" t="str">
        <x:v>Attention deficit/hyperactivity disorder diagnosis in adulthood: Prevalence and predictive utility of neuropsychological scales.</x:v>
      </x:c>
      <x:c r="C109" s="28" t="str">
        <x:v>Pleshkevich, Maria; Broomfield, Robiann; Burton, Sydney; Castro, Gabriela; Gill, Alyssa G; Jerram, Matthew; Parsa, Setari</x:v>
      </x:c>
      <x:c r="D109" s="28" t="n">
        <x:v>2026</x:v>
      </x:c>
      <x:c r="E109" s="28" t="str">
        <x:v>Archives of clinical neuropsychology : the official journal of the National Academy of Neuropsychologists</x:v>
      </x:c>
      <x:c r="F109" s="28" t="str">
        <x:v>Primary study - cross-sectional</x:v>
      </x:c>
      <x:c r="G109" s="28" t="str">
        <x:v>Development &amp; presentation; Recognition &amp; diagnosis; Family &amp; education; Social &amp; structural</x:v>
      </x:c>
      <x:c r="H109" s="28" t="str">
        <x:v>Adulthood</x:v>
      </x:c>
      <x:c r="I109" s="28" t="str">
        <x:v>not reported/not verified</x:v>
      </x:c>
      <x:c r="J109" s="28" t="str">
        <x:v>not reported</x:v>
      </x:c>
      <x:c r="K109" s="28" t="str">
        <x:v>OBJECTIVE: This cross-sectional study investigated the prevalence of adult Attention Deficit/Hyperactivity Disorder (ADHD) evaluations in an outpatient neuropsychology clinic and the sensitivity and specificity of neuropsychological assessments in differentiating ADHD with comorbid psychiatric conditions from psychiatric-related cognitive deficits.</x:v>
      </x:c>
      <x:c r="L109" s="28" t="str">
        <x:v>10.1093/arclin/acag057</x:v>
      </x:c>
      <x:c r="M109" s="28" t="str">
        <x:v>42537007</x:v>
      </x:c>
      <x:c r="N109" s="31" t="e">
        <x:f>HYPERLINK("https://pubmed.ncbi.nlm.nih.gov/"&amp;M109&amp;"/","Open PubMed")</x:f>
        <x:v>HYPERLINK is not implemented. linkLocation=https://pubmed.ncbi.nlm.nih.gov/42537007/, friendlyName=Open PubMed</x:v>
      </x:c>
      <x:c r="O109" s="31" t="str">
        <x:v>not reported</x:v>
      </x:c>
      <x:c r="P109" s="28" t="str">
        <x:v>abstract only</x:v>
      </x:c>
      <x:c r="Q109" s="28" t="str">
        <x:v>PubMed/MEDLINE export supplied by user | query: not verified from export; see Protocol sheet for reproducible recommended query</x:v>
      </x:c>
      <x:c r="R109" s="28" t="str">
        <x:v>Batch 1 core</x:v>
      </x:c>
      <x:c r="S109" s="28" t="str">
        <x:v>Direct ADHD primary study on diagnosis, family/education, structural conditions, lived experience/outcomes, or environment/lifestyle.</x:v>
      </x:c>
      <x:c r="T109" s="28" t="str">
        <x:v>not apparent from accessed abstract/metadata</x:v>
      </x:c>
      <x:c r="U109" s="28" t="str">
        <x:v>none identified in MEDLINE record</x:v>
      </x:c>
      <x:c r="V109" s="26" t="str">
        <x:v>not reported</x:v>
      </x:c>
      <x:c r="W109" s="28" t="str">
        <x:v>No PMC copy identified; publisher PDF/access must be checked</x:v>
      </x:c>
      <x:c r="X109" s="28" t="str">
        <x:v>Not verified</x:v>
      </x:c>
      <x:c r="Y109" s="31" t="str">
        <x:f>IF(V109="not reported","not reported",HYPERLINK("https://pmc.ncbi.nlm.nih.gov/articles/"&amp;V109&amp;"/","Open Full Text"))</x:f>
        <x:v>not reported</x:v>
      </x:c>
      <x:c r="Z109" s="31" t="e">
        <x:f>IF(L109="not reported","not reported",HYPERLINK("https://doi.org/"&amp;L109,"Open Publisher"))</x:f>
        <x:v>HYPERLINK is not implemented. linkLocation=https://doi.org/10.1093/arclin/acag057, friendlyName=Open Publisher</x:v>
      </x:c>
      <x:c r="AA109" s="28" t="str">
        <x:v>DOI present in PubMed/MEDLINE; no PMCID present.</x:v>
      </x:c>
      <x:c r="AB109" s="28" t="str">
        <x:v>Open the DOI/publisher page. If PDF is paywalled, try Stony Brook Library access, Article Galaxy, or interlibrary loan.</x:v>
      </x:c>
      <x:c r="AC109" s="26" t="str">
        <x:v>2026-09-20</x:v>
      </x:c>
    </x:row>
    <x:row r="110">
      <x:c r="A110" s="26" t="str">
        <x:v>PUBMED-42690084</x:v>
      </x:c>
      <x:c r="B110" s="28" t="str">
        <x:v>Pharmacotherapies for Co-Occurring Stimulant Use Disorder and Attention-Deficit/Hyperactivity Disorder: A Network Meta-Analysis.</x:v>
      </x:c>
      <x:c r="C110" s="28" t="str">
        <x:v>Oliva, Henrique N P; Pulido-Saavedra, Alejandra; Paredes Naveda, Alisson M; Forselius, Emerson; Potenza, Marc N; Jegede, Oluwole O; Angarita, Gustavo A</x:v>
      </x:c>
      <x:c r="D110" s="28" t="n">
        <x:v>2026</x:v>
      </x:c>
      <x:c r="E110" s="28" t="str">
        <x:v>The Journal of clinical psychiatry</x:v>
      </x:c>
      <x:c r="F110" s="28" t="str">
        <x:v>Evidence synthesis - meta-analysis</x:v>
      </x:c>
      <x:c r="G110" s="28" t="str">
        <x:v>Development &amp; presentation; Social &amp; structural; Treatment &amp; support; Life outcomes &amp; lived experience</x:v>
      </x:c>
      <x:c r="H110" s="28" t="str">
        <x:v>Adulthood</x:v>
      </x:c>
      <x:c r="I110" s="28" t="str">
        <x:v>not reported/not verified</x:v>
      </x:c>
      <x:c r="J110" s="28" t="str">
        <x:v>not reported</x:v>
      </x:c>
      <x:c r="K110" s="28" t="str">
        <x:v>Objective: To evaluate the benefit of pharmacotherapies for adults with co-occurring stimulant use disorder (StUD) and attention-deficit/hyperactivity disorder (ADHD) using network meta-analysis.</x:v>
      </x:c>
      <x:c r="L110" s="28" t="str">
        <x:v>10.4088/JCP.26r16478</x:v>
      </x:c>
      <x:c r="M110" s="28" t="str">
        <x:v>42690084</x:v>
      </x:c>
      <x:c r="N110" s="31" t="e">
        <x:f>HYPERLINK("https://pubmed.ncbi.nlm.nih.gov/"&amp;M110&amp;"/","Open PubMed")</x:f>
        <x:v>HYPERLINK is not implemented. linkLocation=https://pubmed.ncbi.nlm.nih.gov/42690084/, friendlyName=Open PubMed</x:v>
      </x:c>
      <x:c r="O110" s="31" t="str">
        <x:v>not reported</x:v>
      </x:c>
      <x:c r="P110" s="28" t="str">
        <x:v>abstract only</x:v>
      </x:c>
      <x:c r="Q110" s="28" t="str">
        <x:v>PubMed/MEDLINE export supplied by user | query: not verified from export; see Protocol sheet for reproducible recommended query</x:v>
      </x:c>
      <x:c r="R110" s="28" t="str">
        <x:v>Batch 1 core</x:v>
      </x:c>
      <x:c r="S110" s="28" t="str">
        <x:v>Direct ADHD evidence synthesis/guideline with broad multi-topic relevance.</x:v>
      </x:c>
      <x:c r="T110" s="28" t="str">
        <x:v>not apparent from accessed abstract/metadata</x:v>
      </x:c>
      <x:c r="U110" s="28" t="str">
        <x:v>none identified in MEDLINE record</x:v>
      </x:c>
      <x:c r="V110" s="26" t="str">
        <x:v>not reported</x:v>
      </x:c>
      <x:c r="W110" s="28" t="str">
        <x:v>No PMC copy identified; publisher PDF/access must be checked</x:v>
      </x:c>
      <x:c r="X110" s="28" t="str">
        <x:v>Not verified</x:v>
      </x:c>
      <x:c r="Y110" s="31" t="str">
        <x:f>IF(V110="not reported","not reported",HYPERLINK("https://pmc.ncbi.nlm.nih.gov/articles/"&amp;V110&amp;"/","Open Full Text"))</x:f>
        <x:v>not reported</x:v>
      </x:c>
      <x:c r="Z110" s="31" t="e">
        <x:f>IF(L110="not reported","not reported",HYPERLINK("https://doi.org/"&amp;L110,"Open Publisher"))</x:f>
        <x:v>HYPERLINK is not implemented. linkLocation=https://doi.org/10.4088/JCP.26r16478, friendlyName=Open Publisher</x:v>
      </x:c>
      <x:c r="AA110" s="28" t="str">
        <x:v>DOI present in PubMed/MEDLINE; no PMCID present.</x:v>
      </x:c>
      <x:c r="AB110" s="28" t="str">
        <x:v>Open the DOI/publisher page. If PDF is paywalled, try Stony Brook Library access, Article Galaxy, or interlibrary loan.</x:v>
      </x:c>
      <x:c r="AC110" s="26" t="str">
        <x:v>2026-09-20</x:v>
      </x:c>
    </x:row>
    <x:row r="111">
      <x:c r="A111" s="26" t="str">
        <x:v>PUBMED-42284935</x:v>
      </x:c>
      <x:c r="B111" s="28" t="str">
        <x:v>Physical exercise interventions for health outcomes in children and adolescents with attention deficit hyperactivity disorder: An umbrella review with meta-analysis.</x:v>
      </x:c>
      <x:c r="C111" s="28" t="str">
        <x:v>Zhu, Feilong; Zhang, Xi; Wu, Yu; Li, Yingying; Ren, Yuanchun; Zhang, Ming</x:v>
      </x:c>
      <x:c r="D111" s="28" t="n">
        <x:v>2026</x:v>
      </x:c>
      <x:c r="E111" s="28" t="str">
        <x:v>Psychiatry research</x:v>
      </x:c>
      <x:c r="F111" s="28" t="str">
        <x:v>Evidence synthesis - meta-analysis</x:v>
      </x:c>
      <x:c r="G111" s="28" t="str">
        <x:v>Development &amp; presentation; Recognition &amp; diagnosis; Family &amp; education; Social &amp; structural; Environmental &amp; lifestyle; Treatment &amp; support; Life outcomes &amp; lived experience</x:v>
      </x:c>
      <x:c r="H111" s="28" t="str">
        <x:v>Childhood; Adolescence</x:v>
      </x:c>
      <x:c r="I111" s="28" t="str">
        <x:v>not reported/not verified</x:v>
      </x:c>
      <x:c r="J111" s="28" t="str">
        <x:v>not reported</x:v>
      </x:c>
      <x:c r="K111" s="28" t="str">
        <x:v>OBJECTIVES: This umbrella review synthesized meta-analytic evidence on the effects of physical exercise interventions on ADHD-related and broader functional outcomes in children and adolescents with ADHD.</x:v>
      </x:c>
      <x:c r="L111" s="28" t="str">
        <x:v>10.1016/j.psychres.2026.117267</x:v>
      </x:c>
      <x:c r="M111" s="28" t="str">
        <x:v>42284935</x:v>
      </x:c>
      <x:c r="N111" s="31" t="e">
        <x:f>HYPERLINK("https://pubmed.ncbi.nlm.nih.gov/"&amp;M111&amp;"/","Open PubMed")</x:f>
        <x:v>HYPERLINK is not implemented. linkLocation=https://pubmed.ncbi.nlm.nih.gov/42284935/, friendlyName=Open PubMed</x:v>
      </x:c>
      <x:c r="O111" s="31" t="str">
        <x:v>not reported</x:v>
      </x:c>
      <x:c r="P111" s="28" t="str">
        <x:v>abstract only</x:v>
      </x:c>
      <x:c r="Q111" s="28" t="str">
        <x:v>PubMed/MEDLINE export supplied by user | query: not verified from export; see Protocol sheet for reproducible recommended query</x:v>
      </x:c>
      <x:c r="R111" s="28" t="str">
        <x:v>Batch 1 core</x:v>
      </x:c>
      <x:c r="S111" s="28" t="str">
        <x:v>Direct ADHD evidence synthesis/guideline with broad multi-topic relevance.</x:v>
      </x:c>
      <x:c r="T111" s="28" t="str">
        <x:v>not apparent from accessed abstract/metadata</x:v>
      </x:c>
      <x:c r="U111" s="28" t="str">
        <x:v>none identified in MEDLINE record</x:v>
      </x:c>
      <x:c r="V111" s="26" t="str">
        <x:v>not reported</x:v>
      </x:c>
      <x:c r="W111" s="28" t="str">
        <x:v>No PMC copy identified; publisher PDF/access must be checked</x:v>
      </x:c>
      <x:c r="X111" s="28" t="str">
        <x:v>Not verified</x:v>
      </x:c>
      <x:c r="Y111" s="31" t="str">
        <x:f>IF(V111="not reported","not reported",HYPERLINK("https://pmc.ncbi.nlm.nih.gov/articles/"&amp;V111&amp;"/","Open Full Text"))</x:f>
        <x:v>not reported</x:v>
      </x:c>
      <x:c r="Z111" s="31" t="e">
        <x:f>IF(L111="not reported","not reported",HYPERLINK("https://doi.org/"&amp;L111,"Open Publisher"))</x:f>
        <x:v>HYPERLINK is not implemented. linkLocation=https://doi.org/10.1016/j.psychres.2026.117267, friendlyName=Open Publisher</x:v>
      </x:c>
      <x:c r="AA111" s="28" t="str">
        <x:v>DOI present in PubMed/MEDLINE; no PMCID present.</x:v>
      </x:c>
      <x:c r="AB111" s="28" t="str">
        <x:v>Open the DOI/publisher page. If PDF is paywalled, try Stony Brook Library access, Article Galaxy, or interlibrary loan.</x:v>
      </x:c>
      <x:c r="AC111" s="26" t="str">
        <x:v>2026-09-20</x:v>
      </x:c>
    </x:row>
    <x:row r="112">
      <x:c r="A112" s="26" t="str">
        <x:v>PUBMED-42612166</x:v>
      </x:c>
      <x:c r="B112" s="28" t="str">
        <x:v>Differentiating Fetal Alcohol Spectrum Disorders From Attention-Deficit Hyperactivity Disorder and Reviewing Diagnostic Guidelines.</x:v>
      </x:c>
      <x:c r="C112" s="28" t="str">
        <x:v>Capes, Todd J; Aldrovandi, Silvio; Khan, Reshmail; Amanatidou, Virginia; Tsaprouni, Loukia; Mavritsaki, Eirini</x:v>
      </x:c>
      <x:c r="D112" s="28" t="n">
        <x:v>2026</x:v>
      </x:c>
      <x:c r="E112" s="28" t="str">
        <x:v>Annals of the New York Academy of Sciences</x:v>
      </x:c>
      <x:c r="F112" s="28" t="str">
        <x:v>Evidence synthesis - review</x:v>
      </x:c>
      <x:c r="G112" s="28" t="str">
        <x:v>Development &amp; presentation; Recognition &amp; diagnosis; Social &amp; structural; Environmental &amp; lifestyle; Treatment &amp; support; Life outcomes &amp; lived experience</x:v>
      </x:c>
      <x:c r="H112" s="28" t="str">
        <x:v>Not specified</x:v>
      </x:c>
      <x:c r="I112" s="28" t="str">
        <x:v>not reported/not verified</x:v>
      </x:c>
      <x:c r="J112" s="28" t="str">
        <x:v>not reported</x:v>
      </x:c>
      <x:c r="K112" s="28" t="str">
        <x:v>To understand these distinctions, we evaluated whether proposed neurobehavioral disorder associated with prenatal alcohol exposure (ND-PAE) criteria in the appendix of the Diagnostic and Statistical Manual for Mental Disorders (Fifth Edition) can differentiate FASD from ADHD.</x:v>
      </x:c>
      <x:c r="L112" s="28" t="str">
        <x:v>10.1111/nyas.70343</x:v>
      </x:c>
      <x:c r="M112" s="28" t="str">
        <x:v>42612166</x:v>
      </x:c>
      <x:c r="N112" s="31" t="e">
        <x:f>HYPERLINK("https://pubmed.ncbi.nlm.nih.gov/"&amp;M112&amp;"/","Open PubMed")</x:f>
        <x:v>HYPERLINK is not implemented. linkLocation=https://pubmed.ncbi.nlm.nih.gov/42612166/, friendlyName=Open PubMed</x:v>
      </x:c>
      <x:c r="O112" s="31" t="e">
        <x:f>HYPERLINK("https://pmc.ncbi.nlm.nih.gov/articles/PMC13488999/","Open Full Text")</x:f>
        <x:v>HYPERLINK is not implemented. linkLocation=https://pmc.ncbi.nlm.nih.gov/articles/PMC13488999/, friendlyName=Open Full Text</x:v>
      </x:c>
      <x:c r="P112" s="28" t="str">
        <x:v>abstract only</x:v>
      </x:c>
      <x:c r="Q112" s="28" t="str">
        <x:v>PubMed/MEDLINE export supplied by user | query: not verified from export; see Protocol sheet for reproducible recommended query</x:v>
      </x:c>
      <x:c r="R112" s="28" t="str">
        <x:v>Batch 1 core</x:v>
      </x:c>
      <x:c r="S112" s="28" t="str">
        <x:v>Direct ADHD evidence synthesis/guideline with broad multi-topic relevance.</x:v>
      </x:c>
      <x:c r="T112" s="28" t="str">
        <x:v>not apparent from accessed abstract/metadata</x:v>
      </x:c>
      <x:c r="U112" s="28" t="str">
        <x:v>none identified in MEDLINE record</x:v>
      </x:c>
      <x:c r="V112" s="26" t="str">
        <x:v>PMC13488999</x:v>
      </x:c>
      <x:c r="W112" s="28" t="str">
        <x:v>PDF available via PMC (verified free full text)</x:v>
      </x:c>
      <x:c r="X112" s="28" t="str">
        <x:v>Yes — PMC</x:v>
      </x:c>
      <x:c r="Y112" s="31" t="e">
        <x:f>IF(V112="not reported","not reported",HYPERLINK("https://pmc.ncbi.nlm.nih.gov/articles/"&amp;V112&amp;"/","Open Full Text"))</x:f>
        <x:v>HYPERLINK is not implemented. linkLocation=https://pmc.ncbi.nlm.nih.gov/articles/PMC13488999/, friendlyName=Open Full Text</x:v>
      </x:c>
      <x:c r="Z112" s="31" t="e">
        <x:f>IF(L112="not reported","not reported",HYPERLINK("https://doi.org/"&amp;L112,"Open Publisher"))</x:f>
        <x:v>HYPERLINK is not implemented. linkLocation=https://doi.org/10.1111/nyas.70343, friendlyName=Open Publisher</x:v>
      </x:c>
      <x:c r="AA112" s="28" t="str">
        <x:v>PMCID PMC13488999 present in the PubMed/MEDLINE record.</x:v>
      </x:c>
      <x:c r="AB112" s="28" t="str">
        <x:v>Open the PMC full-text page and use its PDF button/download option.</x:v>
      </x:c>
      <x:c r="AC112" s="26" t="str">
        <x:v>2026-09-20</x:v>
      </x:c>
    </x:row>
    <x:row r="113">
      <x:c r="A113" s="26" t="str">
        <x:v>PUBMED-42396898</x:v>
      </x:c>
      <x:c r="B113" s="28" t="str">
        <x:v>Intervention effects of long-term exercise on executive function in children and adolescents with attention-deficit hyperactivity disorder: a three-level meta-analysis of randomised controlled trials.</x:v>
      </x:c>
      <x:c r="C113" s="28" t="str">
        <x:v>Wang, Haiyan; Zhou, Jilan; Zhao, Lei</x:v>
      </x:c>
      <x:c r="D113" s="28" t="n">
        <x:v>2026</x:v>
      </x:c>
      <x:c r="E113" s="28" t="str">
        <x:v>Journal of global health</x:v>
      </x:c>
      <x:c r="F113" s="28" t="str">
        <x:v>Evidence synthesis - meta-analysis</x:v>
      </x:c>
      <x:c r="G113" s="28" t="str">
        <x:v>Development &amp; presentation; Social &amp; structural; Environmental &amp; lifestyle; Treatment &amp; support</x:v>
      </x:c>
      <x:c r="H113" s="28" t="str">
        <x:v>Childhood; Adolescence</x:v>
      </x:c>
      <x:c r="I113" s="28" t="str">
        <x:v>not reported/not verified</x:v>
      </x:c>
      <x:c r="J113" s="28" t="str">
        <x:v>not reported</x:v>
      </x:c>
      <x:c r="K113" s="28" t="str">
        <x:v>We assessed evidence quality with GRADEpro.</x:v>
      </x:c>
      <x:c r="L113" s="28" t="str">
        <x:v>10.7189/jogh.16.04233</x:v>
      </x:c>
      <x:c r="M113" s="28" t="str">
        <x:v>42396898</x:v>
      </x:c>
      <x:c r="N113" s="31" t="e">
        <x:f>HYPERLINK("https://pubmed.ncbi.nlm.nih.gov/"&amp;M113&amp;"/","Open PubMed")</x:f>
        <x:v>HYPERLINK is not implemented. linkLocation=https://pubmed.ncbi.nlm.nih.gov/42396898/, friendlyName=Open PubMed</x:v>
      </x:c>
      <x:c r="O113" s="31" t="e">
        <x:f>HYPERLINK("https://pmc.ncbi.nlm.nih.gov/articles/PMC13329939/","Open Full Text")</x:f>
        <x:v>HYPERLINK is not implemented. linkLocation=https://pmc.ncbi.nlm.nih.gov/articles/PMC13329939/, friendlyName=Open Full Text</x:v>
      </x:c>
      <x:c r="P113" s="28" t="str">
        <x:v>abstract only</x:v>
      </x:c>
      <x:c r="Q113" s="28" t="str">
        <x:v>PubMed/MEDLINE export supplied by user | query: not verified from export; see Protocol sheet for reproducible recommended query</x:v>
      </x:c>
      <x:c r="R113" s="28" t="str">
        <x:v>Batch 1 core</x:v>
      </x:c>
      <x:c r="S113" s="28" t="str">
        <x:v>Direct ADHD evidence synthesis/guideline with broad multi-topic relevance.</x:v>
      </x:c>
      <x:c r="T113" s="28" t="str">
        <x:v>not apparent from accessed abstract/metadata</x:v>
      </x:c>
      <x:c r="U113" s="28" t="str">
        <x:v>none identified in MEDLINE record</x:v>
      </x:c>
      <x:c r="V113" s="26" t="str">
        <x:v>PMC13329939</x:v>
      </x:c>
      <x:c r="W113" s="28" t="str">
        <x:v>PDF available via PMC (verified free full text)</x:v>
      </x:c>
      <x:c r="X113" s="28" t="str">
        <x:v>Yes — PMC</x:v>
      </x:c>
      <x:c r="Y113" s="31" t="e">
        <x:f>IF(V113="not reported","not reported",HYPERLINK("https://pmc.ncbi.nlm.nih.gov/articles/"&amp;V113&amp;"/","Open Full Text"))</x:f>
        <x:v>HYPERLINK is not implemented. linkLocation=https://pmc.ncbi.nlm.nih.gov/articles/PMC13329939/, friendlyName=Open Full Text</x:v>
      </x:c>
      <x:c r="Z113" s="31" t="e">
        <x:f>IF(L113="not reported","not reported",HYPERLINK("https://doi.org/"&amp;L113,"Open Publisher"))</x:f>
        <x:v>HYPERLINK is not implemented. linkLocation=https://doi.org/10.7189/jogh.16.04233, friendlyName=Open Publisher</x:v>
      </x:c>
      <x:c r="AA113" s="28" t="str">
        <x:v>PMCID PMC13329939 present in the PubMed/MEDLINE record.</x:v>
      </x:c>
      <x:c r="AB113" s="28" t="str">
        <x:v>Open the PMC full-text page and use its PDF button/download option.</x:v>
      </x:c>
      <x:c r="AC113" s="26" t="str">
        <x:v>2026-09-20</x:v>
      </x:c>
    </x:row>
    <x:row r="114">
      <x:c r="A114" s="26" t="str">
        <x:v>PUBMED-42390514</x:v>
      </x:c>
      <x:c r="B114" s="28" t="str">
        <x:v>What Predicts Attention-Deficit/Hyperactivity Disorder Literacy in Primary Schoolteachers?</x:v>
      </x:c>
      <x:c r="C114" s="28" t="str">
        <x:v>Jome, Jemy J; Prabhu, Vidya; Sekaran, Varalakshmi Chandra; Lakshmi, R Vani</x:v>
      </x:c>
      <x:c r="D114" s="28" t="n">
        <x:v>2026</x:v>
      </x:c>
      <x:c r="E114" s="28" t="str">
        <x:v>The Nigerian postgraduate medical journal</x:v>
      </x:c>
      <x:c r="F114" s="28" t="str">
        <x:v>Primary study - cross-sectional</x:v>
      </x:c>
      <x:c r="G114" s="28" t="str">
        <x:v>Development &amp; presentation; Family &amp; education; Social &amp; structural; Historical &amp; contemporary context</x:v>
      </x:c>
      <x:c r="H114" s="28" t="str">
        <x:v>Childhood; Adulthood</x:v>
      </x:c>
      <x:c r="I114" s="28" t="str">
        <x:v>Geography (MeSH): India; Setting (MeSH): Schools</x:v>
      </x:c>
      <x:c r="J114" s="28" t="str">
        <x:v>not reported</x:v>
      </x:c>
      <x:c r="K114" s="28" t="str">
        <x:v>AIMS: This study was conducted to evaluate the Mental Health Literacy (MHL) of primary schoolteachers regarding ADHD and to identify the predictors of MHL among teachers.</x:v>
      </x:c>
      <x:c r="L114" s="28" t="str">
        <x:v>10.4103/npmj.npmj_213_25</x:v>
      </x:c>
      <x:c r="M114" s="28" t="str">
        <x:v>42390514</x:v>
      </x:c>
      <x:c r="N114" s="31" t="e">
        <x:f>HYPERLINK("https://pubmed.ncbi.nlm.nih.gov/"&amp;M114&amp;"/","Open PubMed")</x:f>
        <x:v>HYPERLINK is not implemented. linkLocation=https://pubmed.ncbi.nlm.nih.gov/42390514/, friendlyName=Open PubMed</x:v>
      </x:c>
      <x:c r="O114" s="31" t="str">
        <x:v>not reported</x:v>
      </x:c>
      <x:c r="P114" s="28" t="str">
        <x:v>abstract only</x:v>
      </x:c>
      <x:c r="Q114" s="28" t="str">
        <x:v>PubMed/MEDLINE export supplied by user | query: not verified from export; see Protocol sheet for reproducible recommended query</x:v>
      </x:c>
      <x:c r="R114" s="28" t="str">
        <x:v>Batch 1 core</x:v>
      </x:c>
      <x:c r="S114" s="28" t="str">
        <x:v>Direct ADHD primary study on diagnosis, family/education, structural conditions, lived experience/outcomes, or environment/lifestyle.</x:v>
      </x:c>
      <x:c r="T114" s="28" t="str">
        <x:v>not apparent from accessed abstract/metadata</x:v>
      </x:c>
      <x:c r="U114" s="28" t="str">
        <x:v>none identified in MEDLINE record</x:v>
      </x:c>
      <x:c r="V114" s="26" t="str">
        <x:v>not reported</x:v>
      </x:c>
      <x:c r="W114" s="28" t="str">
        <x:v>No PMC copy identified; publisher PDF/access must be checked</x:v>
      </x:c>
      <x:c r="X114" s="28" t="str">
        <x:v>Not verified</x:v>
      </x:c>
      <x:c r="Y114" s="31" t="str">
        <x:f>IF(V114="not reported","not reported",HYPERLINK("https://pmc.ncbi.nlm.nih.gov/articles/"&amp;V114&amp;"/","Open Full Text"))</x:f>
        <x:v>not reported</x:v>
      </x:c>
      <x:c r="Z114" s="31" t="e">
        <x:f>IF(L114="not reported","not reported",HYPERLINK("https://doi.org/"&amp;L114,"Open Publisher"))</x:f>
        <x:v>HYPERLINK is not implemented. linkLocation=https://doi.org/10.4103/npmj.npmj_213_25, friendlyName=Open Publisher</x:v>
      </x:c>
      <x:c r="AA114" s="28" t="str">
        <x:v>DOI present in PubMed/MEDLINE; no PMCID present.</x:v>
      </x:c>
      <x:c r="AB114" s="28" t="str">
        <x:v>Open the DOI/publisher page. If PDF is paywalled, try Stony Brook Library access, Article Galaxy, or interlibrary loan.</x:v>
      </x:c>
      <x:c r="AC114" s="26" t="str">
        <x:v>2026-09-20</x:v>
      </x:c>
    </x:row>
    <x:row r="115">
      <x:c r="A115" s="26" t="str">
        <x:v>PUBMED-42267530</x:v>
      </x:c>
      <x:c r="B115" s="28" t="str">
        <x:v>A comprehensive overview of the biological foundations of ADHD.</x:v>
      </x:c>
      <x:c r="C115" s="28" t="str">
        <x:v>Folego-Temoteo, Isabella; Lima, Yago C; Grevet, Eugenio H; Vidor, Marcos V; de A Tavares, Maria Eduarda; da Silva, Bruna S; Bau, Claiton H D; Rovaris, Diego L</x:v>
      </x:c>
      <x:c r="D115" s="28" t="n">
        <x:v>2026</x:v>
      </x:c>
      <x:c r="E115" s="28" t="str">
        <x:v>Bioscience reports</x:v>
      </x:c>
      <x:c r="F115" s="28" t="str">
        <x:v>Evidence synthesis - review</x:v>
      </x:c>
      <x:c r="G115" s="28" t="str">
        <x:v>Development &amp; presentation; Recognition &amp; diagnosis; Social &amp; structural; Environmental &amp; lifestyle</x:v>
      </x:c>
      <x:c r="H115" s="28" t="str">
        <x:v>Not specified</x:v>
      </x:c>
      <x:c r="I115" s="28" t="str">
        <x:v>not reported/not verified</x:v>
      </x:c>
      <x:c r="J115" s="28" t="str">
        <x:v>not reported</x:v>
      </x:c>
      <x:c r="K115" s="28" t="str">
        <x:v>Attention-deficit/hyperactivity disorder (ADHD) is a neurodevelopmental condition marked by persistent and impairing patterns of inattention, hyperactivity, and impulsivity.</x:v>
      </x:c>
      <x:c r="L115" s="28" t="str">
        <x:v>10.1042/BSR20254061</x:v>
      </x:c>
      <x:c r="M115" s="28" t="str">
        <x:v>42267530</x:v>
      </x:c>
      <x:c r="N115" s="31" t="e">
        <x:f>HYPERLINK("https://pubmed.ncbi.nlm.nih.gov/"&amp;M115&amp;"/","Open PubMed")</x:f>
        <x:v>HYPERLINK is not implemented. linkLocation=https://pubmed.ncbi.nlm.nih.gov/42267530/, friendlyName=Open PubMed</x:v>
      </x:c>
      <x:c r="O115" s="31" t="e">
        <x:f>HYPERLINK("https://pmc.ncbi.nlm.nih.gov/articles/PMC13259830/","Open Full Text")</x:f>
        <x:v>HYPERLINK is not implemented. linkLocation=https://pmc.ncbi.nlm.nih.gov/articles/PMC13259830/, friendlyName=Open Full Text</x:v>
      </x:c>
      <x:c r="P115" s="28" t="str">
        <x:v>abstract only</x:v>
      </x:c>
      <x:c r="Q115" s="28" t="str">
        <x:v>PubMed/MEDLINE export supplied by user | query: not verified from export; see Protocol sheet for reproducible recommended query</x:v>
      </x:c>
      <x:c r="R115" s="28" t="str">
        <x:v>Batch 1 core</x:v>
      </x:c>
      <x:c r="S115" s="28" t="str">
        <x:v>Direct ADHD evidence synthesis/guideline with broad multi-topic relevance.</x:v>
      </x:c>
      <x:c r="T115" s="28" t="str">
        <x:v>not apparent from accessed abstract/metadata</x:v>
      </x:c>
      <x:c r="U115" s="28" t="str">
        <x:v>none identified in MEDLINE record</x:v>
      </x:c>
      <x:c r="V115" s="26" t="str">
        <x:v>PMC13259830</x:v>
      </x:c>
      <x:c r="W115" s="28" t="str">
        <x:v>PDF available via PMC (verified free full text)</x:v>
      </x:c>
      <x:c r="X115" s="28" t="str">
        <x:v>Yes — PMC</x:v>
      </x:c>
      <x:c r="Y115" s="31" t="e">
        <x:f>IF(V115="not reported","not reported",HYPERLINK("https://pmc.ncbi.nlm.nih.gov/articles/"&amp;V115&amp;"/","Open Full Text"))</x:f>
        <x:v>HYPERLINK is not implemented. linkLocation=https://pmc.ncbi.nlm.nih.gov/articles/PMC13259830/, friendlyName=Open Full Text</x:v>
      </x:c>
      <x:c r="Z115" s="31" t="e">
        <x:f>IF(L115="not reported","not reported",HYPERLINK("https://doi.org/"&amp;L115,"Open Publisher"))</x:f>
        <x:v>HYPERLINK is not implemented. linkLocation=https://doi.org/10.1042/BSR20254061, friendlyName=Open Publisher</x:v>
      </x:c>
      <x:c r="AA115" s="28" t="str">
        <x:v>PMCID PMC13259830 present in the PubMed/MEDLINE record.</x:v>
      </x:c>
      <x:c r="AB115" s="28" t="str">
        <x:v>Open the PMC full-text page and use its PDF button/download option.</x:v>
      </x:c>
      <x:c r="AC115" s="26" t="str">
        <x:v>2026-09-20</x:v>
      </x:c>
    </x:row>
    <x:row r="116">
      <x:c r="A116" s="26" t="str">
        <x:v>PUBMED-42096966</x:v>
      </x:c>
      <x:c r="B116" s="28" t="str">
        <x:v>The influence of existing interventions on sleep of youth with attention-deficit/hyperactivity disorder: A meta-analysis of randomized controlled trials.</x:v>
      </x:c>
      <x:c r="C116" s="28" t="str">
        <x:v>Fang, Yuan; Wang, Zixin; Zhang, Mengge; Sun, Fenghua</x:v>
      </x:c>
      <x:c r="D116" s="28" t="n">
        <x:v>2026</x:v>
      </x:c>
      <x:c r="E116" s="28" t="str">
        <x:v>Sleep medicine reviews</x:v>
      </x:c>
      <x:c r="F116" s="28" t="str">
        <x:v>Evidence synthesis - meta-analysis</x:v>
      </x:c>
      <x:c r="G116" s="28" t="str">
        <x:v>Development &amp; presentation; Social &amp; structural; Environmental &amp; lifestyle; Treatment &amp; support; Life outcomes &amp; lived experience</x:v>
      </x:c>
      <x:c r="H116" s="28" t="str">
        <x:v>Childhood; Adolescence</x:v>
      </x:c>
      <x:c r="I116" s="28" t="str">
        <x:v>not reported/not verified</x:v>
      </x:c>
      <x:c r="J116" s="28" t="str">
        <x:v>not reported</x:v>
      </x:c>
      <x:c r="K116" s="28" t="str">
        <x:v>This review indicates that a multi-component and tailored-designed intervention represents important personalized strategies for improving sleep in youths with ADHD.</x:v>
      </x:c>
      <x:c r="L116" s="28" t="str">
        <x:v>10.1016/j.smrv.2026.102303</x:v>
      </x:c>
      <x:c r="M116" s="28" t="str">
        <x:v>42096966</x:v>
      </x:c>
      <x:c r="N116" s="31" t="e">
        <x:f>HYPERLINK("https://pubmed.ncbi.nlm.nih.gov/"&amp;M116&amp;"/","Open PubMed")</x:f>
        <x:v>HYPERLINK is not implemented. linkLocation=https://pubmed.ncbi.nlm.nih.gov/42096966/, friendlyName=Open PubMed</x:v>
      </x:c>
      <x:c r="O116" s="31" t="str">
        <x:v>not reported</x:v>
      </x:c>
      <x:c r="P116" s="28" t="str">
        <x:v>abstract only</x:v>
      </x:c>
      <x:c r="Q116" s="28" t="str">
        <x:v>PubMed/MEDLINE export supplied by user | query: not verified from export; see Protocol sheet for reproducible recommended query</x:v>
      </x:c>
      <x:c r="R116" s="28" t="str">
        <x:v>Batch 1 core</x:v>
      </x:c>
      <x:c r="S116" s="28" t="str">
        <x:v>Direct ADHD evidence synthesis/guideline with broad multi-topic relevance.</x:v>
      </x:c>
      <x:c r="T116" s="28" t="str">
        <x:v>not apparent from accessed abstract/metadata</x:v>
      </x:c>
      <x:c r="U116" s="28" t="str">
        <x:v>none identified in MEDLINE record</x:v>
      </x:c>
      <x:c r="V116" s="26" t="str">
        <x:v>not reported</x:v>
      </x:c>
      <x:c r="W116" s="28" t="str">
        <x:v>No PMC copy identified; publisher PDF/access must be checked</x:v>
      </x:c>
      <x:c r="X116" s="28" t="str">
        <x:v>Not verified</x:v>
      </x:c>
      <x:c r="Y116" s="31" t="str">
        <x:f>IF(V116="not reported","not reported",HYPERLINK("https://pmc.ncbi.nlm.nih.gov/articles/"&amp;V116&amp;"/","Open Full Text"))</x:f>
        <x:v>not reported</x:v>
      </x:c>
      <x:c r="Z116" s="31" t="e">
        <x:f>IF(L116="not reported","not reported",HYPERLINK("https://doi.org/"&amp;L116,"Open Publisher"))</x:f>
        <x:v>HYPERLINK is not implemented. linkLocation=https://doi.org/10.1016/j.smrv.2026.102303, friendlyName=Open Publisher</x:v>
      </x:c>
      <x:c r="AA116" s="28" t="str">
        <x:v>DOI present in PubMed/MEDLINE; no PMCID present.</x:v>
      </x:c>
      <x:c r="AB116" s="28" t="str">
        <x:v>Open the DOI/publisher page. If PDF is paywalled, try Stony Brook Library access, Article Galaxy, or interlibrary loan.</x:v>
      </x:c>
      <x:c r="AC116" s="26" t="str">
        <x:v>2026-09-20</x:v>
      </x:c>
    </x:row>
    <x:row r="117">
      <x:c r="A117" s="26" t="str">
        <x:v>PUBMED-42175348</x:v>
      </x:c>
      <x:c r="B117" s="28" t="str">
        <x:v>Emerging Digital Interventions for ADHD: An Overview of Ongoing Clinical Trials.</x:v>
      </x:c>
      <x:c r="C117" s="28" t="str">
        <x:v>Gabarron, Elia; Lopez-Resa, Patricia; Rivera-Romero, Octavio; Lopez-Campos, Guillermo; Denecke, Kerstin</x:v>
      </x:c>
      <x:c r="D117" s="28" t="n">
        <x:v>2026</x:v>
      </x:c>
      <x:c r="E117" s="28" t="str">
        <x:v>Studies in health technology and informatics</x:v>
      </x:c>
      <x:c r="F117" s="28" t="str">
        <x:v>Evidence synthesis - review</x:v>
      </x:c>
      <x:c r="G117" s="28" t="str">
        <x:v>Development &amp; presentation; Recognition &amp; diagnosis; Family &amp; education; Social &amp; structural; Environmental &amp; lifestyle; Treatment &amp; support; Life outcomes &amp; lived experience</x:v>
      </x:c>
      <x:c r="H117" s="28" t="str">
        <x:v>Childhood; Adulthood</x:v>
      </x:c>
      <x:c r="I117" s="28" t="str">
        <x:v>not reported/not verified</x:v>
      </x:c>
      <x:c r="J117" s="28" t="str">
        <x:v>not reported</x:v>
      </x:c>
      <x:c r="K117" s="28" t="str">
        <x:v>INTRODUCTION: Attention-deficit/hyperactivity disorder (ADHD) is a neurodevelopmental condition characterized by inattention, hyperactivity and impulsivity.</x:v>
      </x:c>
      <x:c r="L117" s="28" t="str">
        <x:v>10.3233/SHTI260681</x:v>
      </x:c>
      <x:c r="M117" s="28" t="str">
        <x:v>42175348</x:v>
      </x:c>
      <x:c r="N117" s="31" t="e">
        <x:f>HYPERLINK("https://pubmed.ncbi.nlm.nih.gov/"&amp;M117&amp;"/","Open PubMed")</x:f>
        <x:v>HYPERLINK is not implemented. linkLocation=https://pubmed.ncbi.nlm.nih.gov/42175348/, friendlyName=Open PubMed</x:v>
      </x:c>
      <x:c r="O117" s="31" t="str">
        <x:v>not reported</x:v>
      </x:c>
      <x:c r="P117" s="28" t="str">
        <x:v>abstract only</x:v>
      </x:c>
      <x:c r="Q117" s="28" t="str">
        <x:v>PubMed/MEDLINE export supplied by user | query: not verified from export; see Protocol sheet for reproducible recommended query</x:v>
      </x:c>
      <x:c r="R117" s="28" t="str">
        <x:v>Batch 1 core</x:v>
      </x:c>
      <x:c r="S117" s="28" t="str">
        <x:v>Direct ADHD evidence synthesis/guideline with broad multi-topic relevance.</x:v>
      </x:c>
      <x:c r="T117" s="28" t="str">
        <x:v>not apparent from accessed abstract/metadata</x:v>
      </x:c>
      <x:c r="U117" s="28" t="str">
        <x:v>none identified in MEDLINE record</x:v>
      </x:c>
      <x:c r="V117" s="26" t="str">
        <x:v>not reported</x:v>
      </x:c>
      <x:c r="W117" s="28" t="str">
        <x:v>No PMC copy identified; publisher PDF/access must be checked</x:v>
      </x:c>
      <x:c r="X117" s="28" t="str">
        <x:v>Not verified</x:v>
      </x:c>
      <x:c r="Y117" s="31" t="str">
        <x:f>IF(V117="not reported","not reported",HYPERLINK("https://pmc.ncbi.nlm.nih.gov/articles/"&amp;V117&amp;"/","Open Full Text"))</x:f>
        <x:v>not reported</x:v>
      </x:c>
      <x:c r="Z117" s="31" t="e">
        <x:f>IF(L117="not reported","not reported",HYPERLINK("https://doi.org/"&amp;L117,"Open Publisher"))</x:f>
        <x:v>HYPERLINK is not implemented. linkLocation=https://doi.org/10.3233/SHTI260681, friendlyName=Open Publisher</x:v>
      </x:c>
      <x:c r="AA117" s="28" t="str">
        <x:v>DOI present in PubMed/MEDLINE; no PMCID present.</x:v>
      </x:c>
      <x:c r="AB117" s="28" t="str">
        <x:v>Open the DOI/publisher page. If PDF is paywalled, try Stony Brook Library access, Article Galaxy, or interlibrary loan.</x:v>
      </x:c>
      <x:c r="AC117" s="26" t="str">
        <x:v>2026-09-20</x:v>
      </x:c>
    </x:row>
    <x:row r="118">
      <x:c r="A118" s="26" t="str">
        <x:v>PUBMED-42373174</x:v>
      </x:c>
      <x:c r="B118" s="28" t="str">
        <x:v>Psychosocial experiences of adults living with attention-deficit/hyperactivity disorder: a qualitative systematic review protocol.</x:v>
      </x:c>
      <x:c r="C118" s="28" t="str">
        <x:v>Fahad, A H M; Chowdhury, N M Rabiul Awal; Urme, Salma Akter</x:v>
      </x:c>
      <x:c r="D118" s="28" t="n">
        <x:v>2026</x:v>
      </x:c>
      <x:c r="E118" s="28" t="str">
        <x:v>BMJ open</x:v>
      </x:c>
      <x:c r="F118" s="28" t="str">
        <x:v>Evidence synthesis - systematic review</x:v>
      </x:c>
      <x:c r="G118" s="28" t="str">
        <x:v>Development &amp; presentation; Recognition &amp; diagnosis; Family &amp; education; Social &amp; structural; Environmental &amp; lifestyle; Treatment &amp; support; Life outcomes &amp; lived experience</x:v>
      </x:c>
      <x:c r="H118" s="28" t="str">
        <x:v>Adulthood</x:v>
      </x:c>
      <x:c r="I118" s="28" t="str">
        <x:v>not reported/not verified</x:v>
      </x:c>
      <x:c r="J118" s="28" t="str">
        <x:v>not reported</x:v>
      </x:c>
      <x:c r="K118" s="28" t="str">
        <x:v>This study aims to systematically synthesise qualitative evidence to develop a comprehensive understanding of how adults with ADHD navigate these psychosocial challenges.</x:v>
      </x:c>
      <x:c r="L118" s="28" t="str">
        <x:v>10.1136/bmjopen-2026-119568</x:v>
      </x:c>
      <x:c r="M118" s="28" t="str">
        <x:v>42373174</x:v>
      </x:c>
      <x:c r="N118" s="31" t="e">
        <x:f>HYPERLINK("https://pubmed.ncbi.nlm.nih.gov/"&amp;M118&amp;"/","Open PubMed")</x:f>
        <x:v>HYPERLINK is not implemented. linkLocation=https://pubmed.ncbi.nlm.nih.gov/42373174/, friendlyName=Open PubMed</x:v>
      </x:c>
      <x:c r="O118" s="31" t="e">
        <x:f>HYPERLINK("https://pmc.ncbi.nlm.nih.gov/articles/PMC13331145/","Open Full Text")</x:f>
        <x:v>HYPERLINK is not implemented. linkLocation=https://pmc.ncbi.nlm.nih.gov/articles/PMC13331145/, friendlyName=Open Full Text</x:v>
      </x:c>
      <x:c r="P118" s="28" t="str">
        <x:v>abstract only</x:v>
      </x:c>
      <x:c r="Q118" s="28" t="str">
        <x:v>PubMed/MEDLINE export supplied by user | query: not verified from export; see Protocol sheet for reproducible recommended query</x:v>
      </x:c>
      <x:c r="R118" s="28" t="str">
        <x:v>Batch 1 core</x:v>
      </x:c>
      <x:c r="S118" s="28" t="str">
        <x:v>Direct ADHD evidence synthesis/guideline with broad multi-topic relevance.</x:v>
      </x:c>
      <x:c r="T118" s="28" t="str">
        <x:v>not apparent from accessed abstract/metadata</x:v>
      </x:c>
      <x:c r="U118" s="28" t="str">
        <x:v>none identified in MEDLINE record</x:v>
      </x:c>
      <x:c r="V118" s="26" t="str">
        <x:v>PMC13331145</x:v>
      </x:c>
      <x:c r="W118" s="28" t="str">
        <x:v>PDF available via PMC (verified free full text)</x:v>
      </x:c>
      <x:c r="X118" s="28" t="str">
        <x:v>Yes — PMC</x:v>
      </x:c>
      <x:c r="Y118" s="31" t="e">
        <x:f>IF(V118="not reported","not reported",HYPERLINK("https://pmc.ncbi.nlm.nih.gov/articles/"&amp;V118&amp;"/","Open Full Text"))</x:f>
        <x:v>HYPERLINK is not implemented. linkLocation=https://pmc.ncbi.nlm.nih.gov/articles/PMC13331145/, friendlyName=Open Full Text</x:v>
      </x:c>
      <x:c r="Z118" s="31" t="e">
        <x:f>IF(L118="not reported","not reported",HYPERLINK("https://doi.org/"&amp;L118,"Open Publisher"))</x:f>
        <x:v>HYPERLINK is not implemented. linkLocation=https://doi.org/10.1136/bmjopen-2026-119568, friendlyName=Open Publisher</x:v>
      </x:c>
      <x:c r="AA118" s="28" t="str">
        <x:v>PMCID PMC13331145 present in the PubMed/MEDLINE record.</x:v>
      </x:c>
      <x:c r="AB118" s="28" t="str">
        <x:v>Open the PMC full-text page and use its PDF button/download option.</x:v>
      </x:c>
      <x:c r="AC118" s="26" t="str">
        <x:v>2026-09-20</x:v>
      </x:c>
    </x:row>
    <x:row r="119">
      <x:c r="A119" s="26" t="str">
        <x:v>PUBMED-42543801</x:v>
      </x:c>
      <x:c r="B119" s="28" t="str">
        <x:v>Gut Microbiome and ADHD: A Narrative Review of Clinical Evidence and Practice Implications.</x:v>
      </x:c>
      <x:c r="C119" s="28" t="str">
        <x:v>Sadowska, Kinga; Hart, Kathryn</x:v>
      </x:c>
      <x:c r="D119" s="28" t="n">
        <x:v>2026</x:v>
      </x:c>
      <x:c r="E119" s="28" t="str">
        <x:v>Journal of human nutrition and dietetics : the official journal of the British Dietetic Association</x:v>
      </x:c>
      <x:c r="F119" s="28" t="str">
        <x:v>Evidence synthesis - review</x:v>
      </x:c>
      <x:c r="G119" s="28" t="str">
        <x:v>Development &amp; presentation; Social &amp; structural; Environmental &amp; lifestyle; Treatment &amp; support</x:v>
      </x:c>
      <x:c r="H119" s="28" t="str">
        <x:v>Childhood; Adulthood</x:v>
      </x:c>
      <x:c r="I119" s="28" t="str">
        <x:v>not reported/not verified</x:v>
      </x:c>
      <x:c r="J119" s="28" t="str">
        <x:v>not reported</x:v>
      </x:c>
      <x:c r="K119" s="28" t="str">
        <x:v>OBJECTIVE: This narrative review evaluates the current evidence on the efficacy of probiotic interventions for Attention Deficit Hyperactivity Disorder (ADHD) symptoms in both medicated and drug-naïve paediatric and adult populations and assesses the implications for clinical dietetic practice.</x:v>
      </x:c>
      <x:c r="L119" s="28" t="str">
        <x:v>10.1111/jhn.70327</x:v>
      </x:c>
      <x:c r="M119" s="28" t="str">
        <x:v>42543801</x:v>
      </x:c>
      <x:c r="N119" s="31" t="e">
        <x:f>HYPERLINK("https://pubmed.ncbi.nlm.nih.gov/"&amp;M119&amp;"/","Open PubMed")</x:f>
        <x:v>HYPERLINK is not implemented. linkLocation=https://pubmed.ncbi.nlm.nih.gov/42543801/, friendlyName=Open PubMed</x:v>
      </x:c>
      <x:c r="O119" s="31" t="e">
        <x:f>HYPERLINK("https://pmc.ncbi.nlm.nih.gov/articles/PMC13430089/","Open Full Text")</x:f>
        <x:v>HYPERLINK is not implemented. linkLocation=https://pmc.ncbi.nlm.nih.gov/articles/PMC13430089/, friendlyName=Open Full Text</x:v>
      </x:c>
      <x:c r="P119" s="28" t="str">
        <x:v>abstract only</x:v>
      </x:c>
      <x:c r="Q119" s="28" t="str">
        <x:v>PubMed/MEDLINE export supplied by user | query: not verified from export; see Protocol sheet for reproducible recommended query</x:v>
      </x:c>
      <x:c r="R119" s="28" t="str">
        <x:v>Batch 1 core</x:v>
      </x:c>
      <x:c r="S119" s="28" t="str">
        <x:v>Direct ADHD evidence synthesis/guideline with broad multi-topic relevance.</x:v>
      </x:c>
      <x:c r="T119" s="28" t="str">
        <x:v>not apparent from accessed abstract/metadata</x:v>
      </x:c>
      <x:c r="U119" s="28" t="str">
        <x:v>none identified in MEDLINE record</x:v>
      </x:c>
      <x:c r="V119" s="26" t="str">
        <x:v>PMC13430089</x:v>
      </x:c>
      <x:c r="W119" s="28" t="str">
        <x:v>PDF available via PMC (verified free full text)</x:v>
      </x:c>
      <x:c r="X119" s="28" t="str">
        <x:v>Yes — PMC</x:v>
      </x:c>
      <x:c r="Y119" s="31" t="e">
        <x:f>IF(V119="not reported","not reported",HYPERLINK("https://pmc.ncbi.nlm.nih.gov/articles/"&amp;V119&amp;"/","Open Full Text"))</x:f>
        <x:v>HYPERLINK is not implemented. linkLocation=https://pmc.ncbi.nlm.nih.gov/articles/PMC13430089/, friendlyName=Open Full Text</x:v>
      </x:c>
      <x:c r="Z119" s="31" t="e">
        <x:f>IF(L119="not reported","not reported",HYPERLINK("https://doi.org/"&amp;L119,"Open Publisher"))</x:f>
        <x:v>HYPERLINK is not implemented. linkLocation=https://doi.org/10.1111/jhn.70327, friendlyName=Open Publisher</x:v>
      </x:c>
      <x:c r="AA119" s="28" t="str">
        <x:v>PMCID PMC13430089 present in the PubMed/MEDLINE record.</x:v>
      </x:c>
      <x:c r="AB119" s="28" t="str">
        <x:v>Open the PMC full-text page and use its PDF button/download option.</x:v>
      </x:c>
      <x:c r="AC119" s="26" t="str">
        <x:v>2026-09-20</x:v>
      </x:c>
    </x:row>
    <x:row r="120">
      <x:c r="A120" s="26" t="str">
        <x:v>PUBMED-42297153</x:v>
      </x:c>
      <x:c r="B120" s="28" t="str">
        <x:v>The quest to find genuine adult ADHD: Navigating diagnostic challenges of malingering - a review.</x:v>
      </x:c>
      <x:c r="C120" s="28" t="str">
        <x:v>Ratti, Giorgio; Callari, Antonio; Nosari, Guido; Peyvandi, Aida; Bianchi, Alessandro Rodolfo; Delvecchio, Giuseppe</x:v>
      </x:c>
      <x:c r="D120" s="28" t="n">
        <x:v>2026</x:v>
      </x:c>
      <x:c r="E120" s="28" t="str">
        <x:v>Journal of affective disorders</x:v>
      </x:c>
      <x:c r="F120" s="28" t="str">
        <x:v>Evidence synthesis - review</x:v>
      </x:c>
      <x:c r="G120" s="28" t="str">
        <x:v>Development &amp; presentation; Recognition &amp; diagnosis; Family &amp; education; Social &amp; structural; Treatment &amp; support; Life outcomes &amp; lived experience</x:v>
      </x:c>
      <x:c r="H120" s="28" t="str">
        <x:v>Adulthood</x:v>
      </x:c>
      <x:c r="I120" s="28" t="str">
        <x:v>not reported/not verified</x:v>
      </x:c>
      <x:c r="J120" s="28" t="str">
        <x:v>not reported</x:v>
      </x:c>
      <x:c r="K120" s="28" t="str">
        <x:v>This review examined current evidence on the detection of malingered presentations in adult ADHD assessment.</x:v>
      </x:c>
      <x:c r="L120" s="28" t="str">
        <x:v>10.1016/j.jad.2026.122137</x:v>
      </x:c>
      <x:c r="M120" s="28" t="str">
        <x:v>42297153</x:v>
      </x:c>
      <x:c r="N120" s="31" t="e">
        <x:f>HYPERLINK("https://pubmed.ncbi.nlm.nih.gov/"&amp;M120&amp;"/","Open PubMed")</x:f>
        <x:v>HYPERLINK is not implemented. linkLocation=https://pubmed.ncbi.nlm.nih.gov/42297153/, friendlyName=Open PubMed</x:v>
      </x:c>
      <x:c r="O120" s="31" t="str">
        <x:v>not reported</x:v>
      </x:c>
      <x:c r="P120" s="28" t="str">
        <x:v>abstract only</x:v>
      </x:c>
      <x:c r="Q120" s="28" t="str">
        <x:v>PubMed/MEDLINE export supplied by user | query: not verified from export; see Protocol sheet for reproducible recommended query</x:v>
      </x:c>
      <x:c r="R120" s="28" t="str">
        <x:v>Batch 1 core</x:v>
      </x:c>
      <x:c r="S120" s="28" t="str">
        <x:v>Direct ADHD evidence synthesis/guideline with broad multi-topic relevance.</x:v>
      </x:c>
      <x:c r="T120" s="28" t="str">
        <x:v>not apparent from accessed abstract/metadata</x:v>
      </x:c>
      <x:c r="U120" s="28" t="str">
        <x:v>none identified in MEDLINE record</x:v>
      </x:c>
      <x:c r="V120" s="26" t="str">
        <x:v>not reported</x:v>
      </x:c>
      <x:c r="W120" s="28" t="str">
        <x:v>No PMC copy identified; publisher PDF/access must be checked</x:v>
      </x:c>
      <x:c r="X120" s="28" t="str">
        <x:v>Not verified</x:v>
      </x:c>
      <x:c r="Y120" s="31" t="str">
        <x:f>IF(V120="not reported","not reported",HYPERLINK("https://pmc.ncbi.nlm.nih.gov/articles/"&amp;V120&amp;"/","Open Full Text"))</x:f>
        <x:v>not reported</x:v>
      </x:c>
      <x:c r="Z120" s="31" t="e">
        <x:f>IF(L120="not reported","not reported",HYPERLINK("https://doi.org/"&amp;L120,"Open Publisher"))</x:f>
        <x:v>HYPERLINK is not implemented. linkLocation=https://doi.org/10.1016/j.jad.2026.122137, friendlyName=Open Publisher</x:v>
      </x:c>
      <x:c r="AA120" s="28" t="str">
        <x:v>DOI present in PubMed/MEDLINE; no PMCID present.</x:v>
      </x:c>
      <x:c r="AB120" s="28" t="str">
        <x:v>Open the DOI/publisher page. If PDF is paywalled, try Stony Brook Library access, Article Galaxy, or interlibrary loan.</x:v>
      </x:c>
      <x:c r="AC120" s="26" t="str">
        <x:v>2026-09-20</x:v>
      </x:c>
    </x:row>
    <x:row r="121">
      <x:c r="A121" s="26" t="str">
        <x:v>PUBMED-42216788</x:v>
      </x:c>
      <x:c r="B121" s="28" t="str">
        <x:v>A Systematic Review of Lived Experiences of Receiving a Diagnosis of ADHD in Adulthood.</x:v>
      </x:c>
      <x:c r="C121" s="28" t="str">
        <x:v>McGill, Lucy; Jardim-Lalor, Isabella; O'Connor, Cliodhna</x:v>
      </x:c>
      <x:c r="D121" s="28" t="n">
        <x:v>2026</x:v>
      </x:c>
      <x:c r="E121" s="28" t="str">
        <x:v>Journal of attention disorders</x:v>
      </x:c>
      <x:c r="F121" s="28" t="str">
        <x:v>Evidence synthesis - systematic review</x:v>
      </x:c>
      <x:c r="G121" s="28" t="str">
        <x:v>Development &amp; presentation; Recognition &amp; diagnosis; Social &amp; structural; Treatment &amp; support; Life outcomes &amp; lived experience</x:v>
      </x:c>
      <x:c r="H121" s="28" t="str">
        <x:v>Adulthood</x:v>
      </x:c>
      <x:c r="I121" s="28" t="str">
        <x:v>not reported/not verified</x:v>
      </x:c>
      <x:c r="J121" s="28" t="str">
        <x:v>not reported</x:v>
      </x:c>
      <x:c r="K121" s="28" t="str">
        <x:v>OBJECTIVE: With rising numbers of adults seeking and receiving ADHD diagnoses, understanding their first-hand experiences of the diagnostic process is key for sensitive support and service design.</x:v>
      </x:c>
      <x:c r="L121" s="28" t="str">
        <x:v>10.1177/10870547261455946</x:v>
      </x:c>
      <x:c r="M121" s="28" t="str">
        <x:v>42216788</x:v>
      </x:c>
      <x:c r="N121" s="31" t="e">
        <x:f>HYPERLINK("https://pubmed.ncbi.nlm.nih.gov/"&amp;M121&amp;"/","Open PubMed")</x:f>
        <x:v>HYPERLINK is not implemented. linkLocation=https://pubmed.ncbi.nlm.nih.gov/42216788/, friendlyName=Open PubMed</x:v>
      </x:c>
      <x:c r="O121" s="31" t="e">
        <x:f>HYPERLINK("https://pmc.ncbi.nlm.nih.gov/articles/PMC13538929/","Open Full Text")</x:f>
        <x:v>HYPERLINK is not implemented. linkLocation=https://pmc.ncbi.nlm.nih.gov/articles/PMC13538929/, friendlyName=Open Full Text</x:v>
      </x:c>
      <x:c r="P121" s="28" t="str">
        <x:v>abstract only</x:v>
      </x:c>
      <x:c r="Q121" s="28" t="str">
        <x:v>PubMed/MEDLINE export supplied by user | query: not verified from export; see Protocol sheet for reproducible recommended query</x:v>
      </x:c>
      <x:c r="R121" s="28" t="str">
        <x:v>Batch 1 core</x:v>
      </x:c>
      <x:c r="S121" s="28" t="str">
        <x:v>Direct ADHD evidence synthesis/guideline with broad multi-topic relevance.</x:v>
      </x:c>
      <x:c r="T121" s="28" t="str">
        <x:v>not apparent from accessed abstract/metadata</x:v>
      </x:c>
      <x:c r="U121" s="28" t="str">
        <x:v>none identified in MEDLINE record</x:v>
      </x:c>
      <x:c r="V121" s="26" t="str">
        <x:v>PMC13538929</x:v>
      </x:c>
      <x:c r="W121" s="28" t="str">
        <x:v>PDF available via PMC (verified free full text)</x:v>
      </x:c>
      <x:c r="X121" s="28" t="str">
        <x:v>Yes — PMC</x:v>
      </x:c>
      <x:c r="Y121" s="31" t="e">
        <x:f>IF(V121="not reported","not reported",HYPERLINK("https://pmc.ncbi.nlm.nih.gov/articles/"&amp;V121&amp;"/","Open Full Text"))</x:f>
        <x:v>HYPERLINK is not implemented. linkLocation=https://pmc.ncbi.nlm.nih.gov/articles/PMC13538929/, friendlyName=Open Full Text</x:v>
      </x:c>
      <x:c r="Z121" s="31" t="e">
        <x:f>IF(L121="not reported","not reported",HYPERLINK("https://doi.org/"&amp;L121,"Open Publisher"))</x:f>
        <x:v>HYPERLINK is not implemented. linkLocation=https://doi.org/10.1177/10870547261455946, friendlyName=Open Publisher</x:v>
      </x:c>
      <x:c r="AA121" s="28" t="str">
        <x:v>PMCID PMC13538929 present in the PubMed/MEDLINE record.</x:v>
      </x:c>
      <x:c r="AB121" s="28" t="str">
        <x:v>Open the PMC full-text page and use its PDF button/download option.</x:v>
      </x:c>
      <x:c r="AC121" s="26" t="str">
        <x:v>2026-09-20</x:v>
      </x:c>
    </x:row>
    <x:row r="122">
      <x:c r="A122" s="26" t="str">
        <x:v>PUBMED-42429286</x:v>
      </x:c>
      <x:c r="B122" s="28" t="str">
        <x:v>Systematic Review and Meta-Analysis of Attention Deficit Hyperactivity Disorder: First Estimates of the Prevalence by Sex Amongst People Who Use Psychoactive Substances and Alcohol.</x:v>
      </x:c>
      <x:c r="C122" s="28" t="str">
        <x:v>Comiskey, Catherine; McDonagh, David; Banka-Cullen, Sonam Prakashini; James, Philip; Lavelle Cafferkey, Sadie; Eustace-Cook, Jessica</x:v>
      </x:c>
      <x:c r="D122" s="28" t="n">
        <x:v>2026</x:v>
      </x:c>
      <x:c r="E122" s="28" t="str">
        <x:v>Journal of dual diagnosis</x:v>
      </x:c>
      <x:c r="F122" s="28" t="str">
        <x:v>Evidence synthesis - meta-analysis</x:v>
      </x:c>
      <x:c r="G122" s="28" t="str">
        <x:v>Development &amp; presentation; Recognition &amp; diagnosis; Social &amp; structural; Environmental &amp; lifestyle; Treatment &amp; support; Life outcomes &amp; lived experience</x:v>
      </x:c>
      <x:c r="H122" s="28" t="str">
        <x:v>Childhood; Adulthood</x:v>
      </x:c>
      <x:c r="I122" s="28" t="str">
        <x:v>not reported/not verified</x:v>
      </x:c>
      <x:c r="J122" s="28" t="str">
        <x:v>not reported</x:v>
      </x:c>
      <x:c r="K122" s="28" t="str">
        <x:v>Objective: The World Health Organization describes neurodevelopmental disorders as behavioral and cognitive disorders that occur during a baby's developmental period: these include autism spectrum disorder (ASD) and attention deficit hyperactivity disorder (ADHD) amongst others.</x:v>
      </x:c>
      <x:c r="L122" s="28" t="str">
        <x:v>10.1080/15504263.2026.2686088</x:v>
      </x:c>
      <x:c r="M122" s="28" t="str">
        <x:v>42429286</x:v>
      </x:c>
      <x:c r="N122" s="31" t="e">
        <x:f>HYPERLINK("https://pubmed.ncbi.nlm.nih.gov/"&amp;M122&amp;"/","Open PubMed")</x:f>
        <x:v>HYPERLINK is not implemented. linkLocation=https://pubmed.ncbi.nlm.nih.gov/42429286/, friendlyName=Open PubMed</x:v>
      </x:c>
      <x:c r="O122" s="31" t="str">
        <x:v>not reported</x:v>
      </x:c>
      <x:c r="P122" s="28" t="str">
        <x:v>abstract only</x:v>
      </x:c>
      <x:c r="Q122" s="28" t="str">
        <x:v>PubMed/MEDLINE export supplied by user | query: not verified from export; see Protocol sheet for reproducible recommended query</x:v>
      </x:c>
      <x:c r="R122" s="28" t="str">
        <x:v>Batch 1 core</x:v>
      </x:c>
      <x:c r="S122" s="28" t="str">
        <x:v>Direct ADHD evidence synthesis/guideline with broad multi-topic relevance.</x:v>
      </x:c>
      <x:c r="T122" s="28" t="str">
        <x:v>not apparent from accessed abstract/metadata</x:v>
      </x:c>
      <x:c r="U122" s="28" t="str">
        <x:v>none identified in MEDLINE record</x:v>
      </x:c>
      <x:c r="V122" s="26" t="str">
        <x:v>not reported</x:v>
      </x:c>
      <x:c r="W122" s="28" t="str">
        <x:v>No PMC copy identified; publisher PDF/access must be checked</x:v>
      </x:c>
      <x:c r="X122" s="28" t="str">
        <x:v>Not verified</x:v>
      </x:c>
      <x:c r="Y122" s="31" t="str">
        <x:f>IF(V122="not reported","not reported",HYPERLINK("https://pmc.ncbi.nlm.nih.gov/articles/"&amp;V122&amp;"/","Open Full Text"))</x:f>
        <x:v>not reported</x:v>
      </x:c>
      <x:c r="Z122" s="31" t="e">
        <x:f>IF(L122="not reported","not reported",HYPERLINK("https://doi.org/"&amp;L122,"Open Publisher"))</x:f>
        <x:v>HYPERLINK is not implemented. linkLocation=https://doi.org/10.1080/15504263.2026.2686088, friendlyName=Open Publisher</x:v>
      </x:c>
      <x:c r="AA122" s="28" t="str">
        <x:v>DOI present in PubMed/MEDLINE; no PMCID present.</x:v>
      </x:c>
      <x:c r="AB122" s="28" t="str">
        <x:v>Open the DOI/publisher page. If PDF is paywalled, try Stony Brook Library access, Article Galaxy, or interlibrary loan.</x:v>
      </x:c>
      <x:c r="AC122" s="26" t="str">
        <x:v>2026-09-20</x:v>
      </x:c>
    </x:row>
    <x:row r="123">
      <x:c r="A123" s="26" t="str">
        <x:v>PUBMED-42248832</x:v>
      </x:c>
      <x:c r="B123" s="28" t="str">
        <x:v>Prenatal stress, excitatory-inhibitory imbalance, and ADHD risk: a hypothesis-driven perspective on psilocybin-induced neuroplasticity.</x:v>
      </x:c>
      <x:c r="C123" s="28" t="str">
        <x:v>Ahmadian-Moghadam, Samaneh; Roshan-Milani, Shiva; Saboory, Ehsan</x:v>
      </x:c>
      <x:c r="D123" s="28" t="n">
        <x:v>2026</x:v>
      </x:c>
      <x:c r="E123" s="28" t="str">
        <x:v>Translational psychiatry</x:v>
      </x:c>
      <x:c r="F123" s="28" t="str">
        <x:v>Evidence synthesis - review</x:v>
      </x:c>
      <x:c r="G123" s="28" t="str">
        <x:v>Development &amp; presentation; Social &amp; structural; Environmental &amp; lifestyle; Treatment &amp; support; Life outcomes &amp; lived experience</x:v>
      </x:c>
      <x:c r="H123" s="28" t="str">
        <x:v>Adulthood</x:v>
      </x:c>
      <x:c r="I123" s="28" t="str">
        <x:v>not reported/not verified</x:v>
      </x:c>
      <x:c r="J123" s="28" t="str">
        <x:v>not reported</x:v>
      </x:c>
      <x:c r="K123" s="28" t="str">
        <x:v>Attention-deficit/hyperactivity disorder (ADHD) is a prevalent neurodevelopmental condition in which prenatal stress and long-lasting disruptions of excitatory-inhibitory (E/I) balance have been implicated as key vulnerability factors.</x:v>
      </x:c>
      <x:c r="L123" s="28" t="str">
        <x:v>10.1038/s41398-026-04151-x</x:v>
      </x:c>
      <x:c r="M123" s="28" t="str">
        <x:v>42248832</x:v>
      </x:c>
      <x:c r="N123" s="31" t="e">
        <x:f>HYPERLINK("https://pubmed.ncbi.nlm.nih.gov/"&amp;M123&amp;"/","Open PubMed")</x:f>
        <x:v>HYPERLINK is not implemented. linkLocation=https://pubmed.ncbi.nlm.nih.gov/42248832/, friendlyName=Open PubMed</x:v>
      </x:c>
      <x:c r="O123" s="31" t="e">
        <x:f>HYPERLINK("https://pmc.ncbi.nlm.nih.gov/articles/PMC13457855/","Open Full Text")</x:f>
        <x:v>HYPERLINK is not implemented. linkLocation=https://pmc.ncbi.nlm.nih.gov/articles/PMC13457855/, friendlyName=Open Full Text</x:v>
      </x:c>
      <x:c r="P123" s="28" t="str">
        <x:v>abstract only</x:v>
      </x:c>
      <x:c r="Q123" s="28" t="str">
        <x:v>PubMed/MEDLINE export supplied by user | query: not verified from export; see Protocol sheet for reproducible recommended query</x:v>
      </x:c>
      <x:c r="R123" s="28" t="str">
        <x:v>Batch 1 core</x:v>
      </x:c>
      <x:c r="S123" s="28" t="str">
        <x:v>Direct ADHD evidence synthesis/guideline with broad multi-topic relevance.</x:v>
      </x:c>
      <x:c r="T123" s="28" t="str">
        <x:v>not apparent from accessed abstract/metadata</x:v>
      </x:c>
      <x:c r="U123" s="28" t="str">
        <x:v>none identified in MEDLINE record</x:v>
      </x:c>
      <x:c r="V123" s="26" t="str">
        <x:v>PMC13457855</x:v>
      </x:c>
      <x:c r="W123" s="28" t="str">
        <x:v>PDF available via PMC (verified free full text)</x:v>
      </x:c>
      <x:c r="X123" s="28" t="str">
        <x:v>Yes — PMC</x:v>
      </x:c>
      <x:c r="Y123" s="31" t="e">
        <x:f>IF(V123="not reported","not reported",HYPERLINK("https://pmc.ncbi.nlm.nih.gov/articles/"&amp;V123&amp;"/","Open Full Text"))</x:f>
        <x:v>HYPERLINK is not implemented. linkLocation=https://pmc.ncbi.nlm.nih.gov/articles/PMC13457855/, friendlyName=Open Full Text</x:v>
      </x:c>
      <x:c r="Z123" s="31" t="e">
        <x:f>IF(L123="not reported","not reported",HYPERLINK("https://doi.org/"&amp;L123,"Open Publisher"))</x:f>
        <x:v>HYPERLINK is not implemented. linkLocation=https://doi.org/10.1038/s41398-026-04151-x, friendlyName=Open Publisher</x:v>
      </x:c>
      <x:c r="AA123" s="28" t="str">
        <x:v>PMCID PMC13457855 present in the PubMed/MEDLINE record.</x:v>
      </x:c>
      <x:c r="AB123" s="28" t="str">
        <x:v>Open the PMC full-text page and use its PDF button/download option.</x:v>
      </x:c>
      <x:c r="AC123" s="26" t="str">
        <x:v>2026-09-20</x:v>
      </x:c>
    </x:row>
    <x:row r="124">
      <x:c r="A124" s="26" t="str">
        <x:v>PUBMED-42234108</x:v>
      </x:c>
      <x:c r="B124" s="28" t="str">
        <x:v>The impact of maternal vitamin D levels during pregnancy and risk of autism spectrum disorder and attention deficit hyperactivity disorder diagnosis and symptoms in offspring: a systematic review and dose-response meta-analysis.</x:v>
      </x:c>
      <x:c r="C124" s="28" t="str">
        <x:v>Bandini, Laura; Vinceti, Beatrice; Urbano, Teresa; Plazzi, Giuseppe; Filippini, Tommaso; Vinceti, Marco</x:v>
      </x:c>
      <x:c r="D124" s="28" t="n">
        <x:v>2026</x:v>
      </x:c>
      <x:c r="E124" s="28" t="str">
        <x:v>European child &amp; adolescent psychiatry</x:v>
      </x:c>
      <x:c r="F124" s="28" t="str">
        <x:v>Evidence synthesis - meta-analysis</x:v>
      </x:c>
      <x:c r="G124" s="28" t="str">
        <x:v>Development &amp; presentation; Recognition &amp; diagnosis; Social &amp; structural; Environmental &amp; lifestyle; Historical &amp; contemporary context</x:v>
      </x:c>
      <x:c r="H124" s="28" t="str">
        <x:v>Childhood</x:v>
      </x:c>
      <x:c r="I124" s="28" t="str">
        <x:v>not reported/not verified</x:v>
      </x:c>
      <x:c r="J124" s="28" t="str">
        <x:v>not reported</x:v>
      </x:c>
      <x:c r="K124" s="28" t="str">
        <x:v>In this review, we investigated the association between maternal 25-hydroxyvitamin D status during pregnancy and the risk of diagnosis and symptoms of ASD and ADHD in offspring in developmental age.</x:v>
      </x:c>
      <x:c r="L124" s="28" t="str">
        <x:v>10.1007/s00787-026-03059-7</x:v>
      </x:c>
      <x:c r="M124" s="28" t="str">
        <x:v>42234108</x:v>
      </x:c>
      <x:c r="N124" s="31" t="e">
        <x:f>HYPERLINK("https://pubmed.ncbi.nlm.nih.gov/"&amp;M124&amp;"/","Open PubMed")</x:f>
        <x:v>HYPERLINK is not implemented. linkLocation=https://pubmed.ncbi.nlm.nih.gov/42234108/, friendlyName=Open PubMed</x:v>
      </x:c>
      <x:c r="O124" s="31" t="e">
        <x:f>HYPERLINK("https://pmc.ncbi.nlm.nih.gov/articles/PMC13427813/","Open Full Text")</x:f>
        <x:v>HYPERLINK is not implemented. linkLocation=https://pmc.ncbi.nlm.nih.gov/articles/PMC13427813/, friendlyName=Open Full Text</x:v>
      </x:c>
      <x:c r="P124" s="28" t="str">
        <x:v>abstract only</x:v>
      </x:c>
      <x:c r="Q124" s="28" t="str">
        <x:v>PubMed/MEDLINE export supplied by user | query: not verified from export; see Protocol sheet for reproducible recommended query</x:v>
      </x:c>
      <x:c r="R124" s="28" t="str">
        <x:v>Batch 1 core</x:v>
      </x:c>
      <x:c r="S124" s="28" t="str">
        <x:v>Direct ADHD evidence synthesis/guideline with broad multi-topic relevance.</x:v>
      </x:c>
      <x:c r="T124" s="28" t="str">
        <x:v>not apparent from accessed abstract/metadata</x:v>
      </x:c>
      <x:c r="U124" s="28" t="str">
        <x:v>none identified in MEDLINE record</x:v>
      </x:c>
      <x:c r="V124" s="26" t="str">
        <x:v>PMC13427813</x:v>
      </x:c>
      <x:c r="W124" s="28" t="str">
        <x:v>PDF available via PMC (verified free full text)</x:v>
      </x:c>
      <x:c r="X124" s="28" t="str">
        <x:v>Yes — PMC</x:v>
      </x:c>
      <x:c r="Y124" s="31" t="e">
        <x:f>IF(V124="not reported","not reported",HYPERLINK("https://pmc.ncbi.nlm.nih.gov/articles/"&amp;V124&amp;"/","Open Full Text"))</x:f>
        <x:v>HYPERLINK is not implemented. linkLocation=https://pmc.ncbi.nlm.nih.gov/articles/PMC13427813/, friendlyName=Open Full Text</x:v>
      </x:c>
      <x:c r="Z124" s="31" t="e">
        <x:f>IF(L124="not reported","not reported",HYPERLINK("https://doi.org/"&amp;L124,"Open Publisher"))</x:f>
        <x:v>HYPERLINK is not implemented. linkLocation=https://doi.org/10.1007/s00787-026-03059-7, friendlyName=Open Publisher</x:v>
      </x:c>
      <x:c r="AA124" s="28" t="str">
        <x:v>PMCID PMC13427813 present in the PubMed/MEDLINE record.</x:v>
      </x:c>
      <x:c r="AB124" s="28" t="str">
        <x:v>Open the PMC full-text page and use its PDF button/download option.</x:v>
      </x:c>
      <x:c r="AC124" s="26" t="str">
        <x:v>2026-09-20</x:v>
      </x:c>
    </x:row>
    <x:row r="125">
      <x:c r="A125" s="26" t="str">
        <x:v>PUBMED-42226168</x:v>
      </x:c>
      <x:c r="B125" s="28" t="str">
        <x:v>Physical activity profiles of attention-deficit/hyperactivity disorder symptoms among preschool children.</x:v>
      </x:c>
      <x:c r="C125" s="28" t="str">
        <x:v>Zhang, Lili; You, Cun; Ma, Jianying; Miao, Xueqing; Fan, Mingyuan; Zeng, Xiyuan; Li, Wangsong; Yin, Xiaofeng; Hu, Yanqi</x:v>
      </x:c>
      <x:c r="D125" s="28" t="n">
        <x:v>2026</x:v>
      </x:c>
      <x:c r="E125" s="28" t="str">
        <x:v>BMC pediatrics</x:v>
      </x:c>
      <x:c r="F125" s="28" t="str">
        <x:v>Primary study - case-control</x:v>
      </x:c>
      <x:c r="G125" s="28" t="str">
        <x:v>Development &amp; presentation; Recognition &amp; diagnosis; Family &amp; education; Environmental &amp; lifestyle; Treatment &amp; support</x:v>
      </x:c>
      <x:c r="H125" s="28" t="str">
        <x:v>Childhood</x:v>
      </x:c>
      <x:c r="I125" s="28" t="str">
        <x:v>not reported/not verified</x:v>
      </x:c>
      <x:c r="J125" s="28" t="str">
        <x:v>not reported</x:v>
      </x:c>
      <x:c r="K125" s="28" t="str">
        <x:v>AIM: The study aims to investigate the association of physical activity level and ADHD symptoms and focus on characterizing physical activity profiles of preschool children with ADHD symptoms.</x:v>
      </x:c>
      <x:c r="L125" s="28" t="str">
        <x:v>10.1186/s12887-026-06963-8</x:v>
      </x:c>
      <x:c r="M125" s="28" t="str">
        <x:v>42226168</x:v>
      </x:c>
      <x:c r="N125" s="31" t="e">
        <x:f>HYPERLINK("https://pubmed.ncbi.nlm.nih.gov/"&amp;M125&amp;"/","Open PubMed")</x:f>
        <x:v>HYPERLINK is not implemented. linkLocation=https://pubmed.ncbi.nlm.nih.gov/42226168/, friendlyName=Open PubMed</x:v>
      </x:c>
      <x:c r="O125" s="31" t="e">
        <x:f>HYPERLINK("https://pmc.ncbi.nlm.nih.gov/articles/PMC13439915/","Open Full Text")</x:f>
        <x:v>HYPERLINK is not implemented. linkLocation=https://pmc.ncbi.nlm.nih.gov/articles/PMC13439915/, friendlyName=Open Full Text</x:v>
      </x:c>
      <x:c r="P125" s="28" t="str">
        <x:v>abstract only</x:v>
      </x:c>
      <x:c r="Q125" s="28" t="str">
        <x:v>PubMed/MEDLINE export supplied by user | query: not verified from export; see Protocol sheet for reproducible recommended query</x:v>
      </x:c>
      <x:c r="R125" s="28" t="str">
        <x:v>Batch 1 core</x:v>
      </x:c>
      <x:c r="S125" s="28" t="str">
        <x:v>Direct ADHD primary study on diagnosis, family/education, structural conditions, lived experience/outcomes, or environment/lifestyle.</x:v>
      </x:c>
      <x:c r="T125" s="28" t="str">
        <x:v>not apparent from accessed abstract/metadata</x:v>
      </x:c>
      <x:c r="U125" s="28" t="str">
        <x:v>none identified in MEDLINE record</x:v>
      </x:c>
      <x:c r="V125" s="26" t="str">
        <x:v>PMC13439915</x:v>
      </x:c>
      <x:c r="W125" s="28" t="str">
        <x:v>PDF available via PMC (verified free full text)</x:v>
      </x:c>
      <x:c r="X125" s="28" t="str">
        <x:v>Yes — PMC</x:v>
      </x:c>
      <x:c r="Y125" s="31" t="e">
        <x:f>IF(V125="not reported","not reported",HYPERLINK("https://pmc.ncbi.nlm.nih.gov/articles/"&amp;V125&amp;"/","Open Full Text"))</x:f>
        <x:v>HYPERLINK is not implemented. linkLocation=https://pmc.ncbi.nlm.nih.gov/articles/PMC13439915/, friendlyName=Open Full Text</x:v>
      </x:c>
      <x:c r="Z125" s="31" t="e">
        <x:f>IF(L125="not reported","not reported",HYPERLINK("https://doi.org/"&amp;L125,"Open Publisher"))</x:f>
        <x:v>HYPERLINK is not implemented. linkLocation=https://doi.org/10.1186/s12887-026-06963-8, friendlyName=Open Publisher</x:v>
      </x:c>
      <x:c r="AA125" s="28" t="str">
        <x:v>PMCID PMC13439915 present in the PubMed/MEDLINE record.</x:v>
      </x:c>
      <x:c r="AB125" s="28" t="str">
        <x:v>Open the PMC full-text page and use its PDF button/download option.</x:v>
      </x:c>
      <x:c r="AC125" s="26" t="str">
        <x:v>2026-09-20</x:v>
      </x:c>
    </x:row>
    <x:row r="126">
      <x:c r="A126" s="26" t="str">
        <x:v>PUBMED-42466994</x:v>
      </x:c>
      <x:c r="B126" s="28" t="str">
        <x:v>"Hormones rule me": A qualitative exploration of the impact of perimenopause on women with ADHD.</x:v>
      </x:c>
      <x:c r="C126" s="28" t="str">
        <x:v>Kini-Seery, Christina; Trevaskis, Samantha; Kilbride, Ken; Wrigley, Margo; Bramham, Jessica</x:v>
      </x:c>
      <x:c r="D126" s="28" t="n">
        <x:v>2026</x:v>
      </x:c>
      <x:c r="E126" s="28" t="str">
        <x:v>Women's health (London, England)</x:v>
      </x:c>
      <x:c r="F126" s="28" t="str">
        <x:v>Primary study - qualitative</x:v>
      </x:c>
      <x:c r="G126" s="28" t="str">
        <x:v>Development &amp; presentation; Social &amp; structural; Life outcomes &amp; lived experience; Historical &amp; contemporary context</x:v>
      </x:c>
      <x:c r="H126" s="28" t="str">
        <x:v>Adulthood</x:v>
      </x:c>
      <x:c r="I126" s="28" t="str">
        <x:v>Geography (MeSH): Ireland</x:v>
      </x:c>
      <x:c r="J126" s="28" t="str">
        <x:v>not reported</x:v>
      </x:c>
      <x:c r="K126" s="28" t="str">
        <x:v>BackgroundPerimenopause appears to be a particularly complicated period for women with Attention-Deficit Hyperactivity Disorder (ADHD), who report increased physical, sexual, and mood-related symptoms compared to neurotypical women.ObjectivesThe present study sought to investigate qualitatively how women with ADHD experience perimenopause.DesignThe present study employed a qualitative, phenomenological design.MethodsNineteen cisgender women with </x:v>
      </x:c>
      <x:c r="L126" s="28" t="str">
        <x:v>10.1177/17455057261450178</x:v>
      </x:c>
      <x:c r="M126" s="28" t="str">
        <x:v>42466994</x:v>
      </x:c>
      <x:c r="N126" s="31" t="e">
        <x:f>HYPERLINK("https://pubmed.ncbi.nlm.nih.gov/"&amp;M126&amp;"/","Open PubMed")</x:f>
        <x:v>HYPERLINK is not implemented. linkLocation=https://pubmed.ncbi.nlm.nih.gov/42466994/, friendlyName=Open PubMed</x:v>
      </x:c>
      <x:c r="O126" s="31" t="e">
        <x:f>HYPERLINK("https://pmc.ncbi.nlm.nih.gov/articles/PMC13379672/","Open Full Text")</x:f>
        <x:v>HYPERLINK is not implemented. linkLocation=https://pmc.ncbi.nlm.nih.gov/articles/PMC13379672/, friendlyName=Open Full Text</x:v>
      </x:c>
      <x:c r="P126" s="28" t="str">
        <x:v>abstract only</x:v>
      </x:c>
      <x:c r="Q126" s="28" t="str">
        <x:v>PubMed/MEDLINE export supplied by user | query: not verified from export; see Protocol sheet for reproducible recommended query</x:v>
      </x:c>
      <x:c r="R126" s="28" t="str">
        <x:v>Batch 1 core</x:v>
      </x:c>
      <x:c r="S126" s="28" t="str">
        <x:v>Direct ADHD primary study on diagnosis, family/education, structural conditions, lived experience/outcomes, or environment/lifestyle.</x:v>
      </x:c>
      <x:c r="T126" s="28" t="str">
        <x:v>not apparent from accessed abstract/metadata</x:v>
      </x:c>
      <x:c r="U126" s="28" t="str">
        <x:v>none identified in MEDLINE record</x:v>
      </x:c>
      <x:c r="V126" s="26" t="str">
        <x:v>PMC13379672</x:v>
      </x:c>
      <x:c r="W126" s="28" t="str">
        <x:v>PDF available via PMC (verified free full text)</x:v>
      </x:c>
      <x:c r="X126" s="28" t="str">
        <x:v>Yes — PMC</x:v>
      </x:c>
      <x:c r="Y126" s="31" t="e">
        <x:f>IF(V126="not reported","not reported",HYPERLINK("https://pmc.ncbi.nlm.nih.gov/articles/"&amp;V126&amp;"/","Open Full Text"))</x:f>
        <x:v>HYPERLINK is not implemented. linkLocation=https://pmc.ncbi.nlm.nih.gov/articles/PMC13379672/, friendlyName=Open Full Text</x:v>
      </x:c>
      <x:c r="Z126" s="31" t="e">
        <x:f>IF(L126="not reported","not reported",HYPERLINK("https://doi.org/"&amp;L126,"Open Publisher"))</x:f>
        <x:v>HYPERLINK is not implemented. linkLocation=https://doi.org/10.1177/17455057261450178, friendlyName=Open Publisher</x:v>
      </x:c>
      <x:c r="AA126" s="28" t="str">
        <x:v>PMCID PMC13379672 present in the PubMed/MEDLINE record.</x:v>
      </x:c>
      <x:c r="AB126" s="28" t="str">
        <x:v>Open the PMC full-text page and use its PDF button/download option.</x:v>
      </x:c>
      <x:c r="AC126" s="26" t="str">
        <x:v>2026-09-20</x:v>
      </x:c>
    </x:row>
    <x:row r="127">
      <x:c r="A127" s="26" t="str">
        <x:v>PUBMED-42614105</x:v>
      </x:c>
      <x:c r="B127" s="28" t="str">
        <x:v>Multimodal Digital Therapeutics Enhanced by Task Design and AI for Attention-Deficit/Hyperactivity Disorder Core Symptoms and Executive Functions in Children and Adolescents: Systematic Review and Network Meta-Analysis of Randomized Controlled Trials.</x:v>
      </x:c>
      <x:c r="C127" s="28" t="str">
        <x:v>Hao, Zhixiang; Xu, Hongli; Wang, Chen; Wang, Bingjie; Qiu, Zhengang</x:v>
      </x:c>
      <x:c r="D127" s="28" t="n">
        <x:v>2026</x:v>
      </x:c>
      <x:c r="E127" s="28" t="str">
        <x:v>Journal of medical Internet research</x:v>
      </x:c>
      <x:c r="F127" s="28" t="str">
        <x:v>Evidence synthesis - meta-analysis</x:v>
      </x:c>
      <x:c r="G127" s="28" t="str">
        <x:v>Development &amp; presentation; Recognition &amp; diagnosis; Family &amp; education; Social &amp; structural; Treatment &amp; support; Life outcomes &amp; lived experience</x:v>
      </x:c>
      <x:c r="H127" s="28" t="str">
        <x:v>Childhood; Adolescence; aged 4 to 17 years</x:v>
      </x:c>
      <x:c r="I127" s="28" t="str">
        <x:v>not reported/not verified</x:v>
      </x:c>
      <x:c r="J127" s="28" t="str">
        <x:v>not reported</x:v>
      </x:c>
      <x:c r="K127" s="28" t="str">
        <x:v>OBJECTIVE: This network meta-analysis (NMA) compared 4 DTx modalities (single-task, cognitive-motor dual-task, AI-integrated single-task, and AI-integrated cognitive-motor dual-task DTx) on core ADHD symptoms and executive functions, identified the optimal modality, and explored treatment moderators.</x:v>
      </x:c>
      <x:c r="L127" s="28" t="str">
        <x:v>10.2196/95043</x:v>
      </x:c>
      <x:c r="M127" s="28" t="str">
        <x:v>42614105</x:v>
      </x:c>
      <x:c r="N127" s="31" t="e">
        <x:f>HYPERLINK("https://pubmed.ncbi.nlm.nih.gov/"&amp;M127&amp;"/","Open PubMed")</x:f>
        <x:v>HYPERLINK is not implemented. linkLocation=https://pubmed.ncbi.nlm.nih.gov/42614105/, friendlyName=Open PubMed</x:v>
      </x:c>
      <x:c r="O127" s="31" t="e">
        <x:f>HYPERLINK("https://pmc.ncbi.nlm.nih.gov/articles/PMC13487414/","Open Full Text")</x:f>
        <x:v>HYPERLINK is not implemented. linkLocation=https://pmc.ncbi.nlm.nih.gov/articles/PMC13487414/, friendlyName=Open Full Text</x:v>
      </x:c>
      <x:c r="P127" s="28" t="str">
        <x:v>abstract only</x:v>
      </x:c>
      <x:c r="Q127" s="28" t="str">
        <x:v>PubMed/MEDLINE export supplied by user | query: not verified from export; see Protocol sheet for reproducible recommended query</x:v>
      </x:c>
      <x:c r="R127" s="28" t="str">
        <x:v>Batch 1 core</x:v>
      </x:c>
      <x:c r="S127" s="28" t="str">
        <x:v>Direct ADHD evidence synthesis/guideline with broad multi-topic relevance.</x:v>
      </x:c>
      <x:c r="T127" s="28" t="str">
        <x:v>not apparent from accessed abstract/metadata</x:v>
      </x:c>
      <x:c r="U127" s="28" t="str">
        <x:v>none identified in MEDLINE record</x:v>
      </x:c>
      <x:c r="V127" s="26" t="str">
        <x:v>PMC13487414</x:v>
      </x:c>
      <x:c r="W127" s="28" t="str">
        <x:v>PDF available via PMC (verified free full text)</x:v>
      </x:c>
      <x:c r="X127" s="28" t="str">
        <x:v>Yes — PMC</x:v>
      </x:c>
      <x:c r="Y127" s="31" t="e">
        <x:f>IF(V127="not reported","not reported",HYPERLINK("https://pmc.ncbi.nlm.nih.gov/articles/"&amp;V127&amp;"/","Open Full Text"))</x:f>
        <x:v>HYPERLINK is not implemented. linkLocation=https://pmc.ncbi.nlm.nih.gov/articles/PMC13487414/, friendlyName=Open Full Text</x:v>
      </x:c>
      <x:c r="Z127" s="31" t="e">
        <x:f>IF(L127="not reported","not reported",HYPERLINK("https://doi.org/"&amp;L127,"Open Publisher"))</x:f>
        <x:v>HYPERLINK is not implemented. linkLocation=https://doi.org/10.2196/95043, friendlyName=Open Publisher</x:v>
      </x:c>
      <x:c r="AA127" s="28" t="str">
        <x:v>PMCID PMC13487414 present in the PubMed/MEDLINE record.</x:v>
      </x:c>
      <x:c r="AB127" s="28" t="str">
        <x:v>Open the PMC full-text page and use its PDF button/download option.</x:v>
      </x:c>
      <x:c r="AC127" s="26" t="str">
        <x:v>2026-09-20</x:v>
      </x:c>
    </x:row>
    <x:row r="128">
      <x:c r="A128" s="26" t="str">
        <x:v>PUBMED-42175507</x:v>
      </x:c>
      <x:c r="B128" s="28" t="str">
        <x:v>The association between asthma and ADHD in children and adolescents: An observational study and a meta-analysis of Mendelian randomization studies.</x:v>
      </x:c>
      <x:c r="C128" s="28" t="str">
        <x:v>Lan, Xiaohui; Zhong, Ni; Tang, Zixi; Tang, Zebin; Liu, Jiajie; Leng, Xinxin; Huang, Junneng; Sun, Jichao; Ai, Jun</x:v>
      </x:c>
      <x:c r="D128" s="28" t="n">
        <x:v>2026</x:v>
      </x:c>
      <x:c r="E128" s="28" t="str">
        <x:v>Medicine</x:v>
      </x:c>
      <x:c r="F128" s="28" t="str">
        <x:v>Evidence synthesis - meta-analysis</x:v>
      </x:c>
      <x:c r="G128" s="28" t="str">
        <x:v>Development &amp; presentation; Recognition &amp; diagnosis; Family &amp; education; Social &amp; structural; Environmental &amp; lifestyle; Life outcomes &amp; lived experience</x:v>
      </x:c>
      <x:c r="H128" s="28" t="str">
        <x:v>Childhood; Adolescence; Adulthood</x:v>
      </x:c>
      <x:c r="I128" s="28" t="str">
        <x:v>not reported/not verified</x:v>
      </x:c>
      <x:c r="J128" s="28" t="str">
        <x:v>1999 to 2004</x:v>
      </x:c>
      <x:c r="K128" s="28" t="str">
        <x:v>Observational epidemiological analysis and a meta-analysis of Mendelian randomization (MR) were used to investigate the association between attention-deficit/hyperactivity disorder (ADHD) and asthma in children and adolescents.</x:v>
      </x:c>
      <x:c r="L128" s="28" t="str">
        <x:v>10.1097/MD.0000000000048878</x:v>
      </x:c>
      <x:c r="M128" s="28" t="str">
        <x:v>42175507</x:v>
      </x:c>
      <x:c r="N128" s="31" t="e">
        <x:f>HYPERLINK("https://pubmed.ncbi.nlm.nih.gov/"&amp;M128&amp;"/","Open PubMed")</x:f>
        <x:v>HYPERLINK is not implemented. linkLocation=https://pubmed.ncbi.nlm.nih.gov/42175507/, friendlyName=Open PubMed</x:v>
      </x:c>
      <x:c r="O128" s="31" t="e">
        <x:f>HYPERLINK("https://pmc.ncbi.nlm.nih.gov/articles/PMC13200984/","Open Full Text")</x:f>
        <x:v>HYPERLINK is not implemented. linkLocation=https://pmc.ncbi.nlm.nih.gov/articles/PMC13200984/, friendlyName=Open Full Text</x:v>
      </x:c>
      <x:c r="P128" s="28" t="str">
        <x:v>abstract only</x:v>
      </x:c>
      <x:c r="Q128" s="28" t="str">
        <x:v>PubMed/MEDLINE export supplied by user | query: not verified from export; see Protocol sheet for reproducible recommended query</x:v>
      </x:c>
      <x:c r="R128" s="28" t="str">
        <x:v>Batch 1 core</x:v>
      </x:c>
      <x:c r="S128" s="28" t="str">
        <x:v>Direct ADHD evidence synthesis/guideline with broad multi-topic relevance.</x:v>
      </x:c>
      <x:c r="T128" s="28" t="str">
        <x:v>not apparent from accessed abstract/metadata</x:v>
      </x:c>
      <x:c r="U128" s="28" t="str">
        <x:v>none identified in MEDLINE record</x:v>
      </x:c>
      <x:c r="V128" s="26" t="str">
        <x:v>PMC13200984</x:v>
      </x:c>
      <x:c r="W128" s="28" t="str">
        <x:v>PDF available via PMC (verified free full text)</x:v>
      </x:c>
      <x:c r="X128" s="28" t="str">
        <x:v>Yes — PMC</x:v>
      </x:c>
      <x:c r="Y128" s="31" t="e">
        <x:f>IF(V128="not reported","not reported",HYPERLINK("https://pmc.ncbi.nlm.nih.gov/articles/"&amp;V128&amp;"/","Open Full Text"))</x:f>
        <x:v>HYPERLINK is not implemented. linkLocation=https://pmc.ncbi.nlm.nih.gov/articles/PMC13200984/, friendlyName=Open Full Text</x:v>
      </x:c>
      <x:c r="Z128" s="31" t="e">
        <x:f>IF(L128="not reported","not reported",HYPERLINK("https://doi.org/"&amp;L128,"Open Publisher"))</x:f>
        <x:v>HYPERLINK is not implemented. linkLocation=https://doi.org/10.1097/MD.0000000000048878, friendlyName=Open Publisher</x:v>
      </x:c>
      <x:c r="AA128" s="28" t="str">
        <x:v>PMCID PMC13200984 present in the PubMed/MEDLINE record.</x:v>
      </x:c>
      <x:c r="AB128" s="28" t="str">
        <x:v>Open the PMC full-text page and use its PDF button/download option.</x:v>
      </x:c>
      <x:c r="AC128" s="26" t="str">
        <x:v>2026-09-20</x:v>
      </x:c>
    </x:row>
    <x:row r="129">
      <x:c r="A129" s="26" t="str">
        <x:v>PUBMED-42579111</x:v>
      </x:c>
      <x:c r="B129" s="28" t="str">
        <x:v>Sex- and Trimester-Specific Associations of Prenatal Co-Exposure to Organophosphate Esters and Phthalates with Preschoolers' Trajectories of Co-Occurring ADHD and ASD Symptoms: Cord Blood Metabolomic Study in the Ma'anshan Birth Cohort.</x:v>
      </x:c>
      <x:c r="C129" s="28" t="str">
        <x:v>Wang, Xing; Tong, Juan; Lu, Mengjuan; Luo, Ling; Liu, Yuan; Huang, Qizheng; Lv, Ping; Zheng, Yimin; Gan, Hong; Geng, Menglong; Tao, Shuman; Tao, Xingyong; Yan, Shuangqin; Gao, Guopeng; Wu, Xiaoyan; Huang, Kun; Cao, Yunxia; Gao, Hui; Tao, Fangbiao</x:v>
      </x:c>
      <x:c r="D129" s="28" t="n">
        <x:v>2026</x:v>
      </x:c>
      <x:c r="E129" s="28" t="str">
        <x:v>Environmental science &amp; technology</x:v>
      </x:c>
      <x:c r="F129" s="28" t="str">
        <x:v>Primary study - cohort</x:v>
      </x:c>
      <x:c r="G129" s="28" t="str">
        <x:v>Development &amp; presentation; Family &amp; education; Social &amp; structural; Environmental &amp; lifestyle</x:v>
      </x:c>
      <x:c r="H129" s="28" t="str">
        <x:v>Childhood</x:v>
      </x:c>
      <x:c r="I129" s="28" t="str">
        <x:v>not reported/not verified</x:v>
      </x:c>
      <x:c r="J129" s="28" t="str">
        <x:v>not reported</x:v>
      </x:c>
      <x:c r="K129" s="28" t="str">
        <x:v>This study highlights OPE/PAE neurotoxicity and reveals novel cord metabolomic insights.</x:v>
      </x:c>
      <x:c r="L129" s="28" t="str">
        <x:v>10.1021/acs.est.6c01402</x:v>
      </x:c>
      <x:c r="M129" s="28" t="str">
        <x:v>42579111</x:v>
      </x:c>
      <x:c r="N129" s="31" t="e">
        <x:f>HYPERLINK("https://pubmed.ncbi.nlm.nih.gov/"&amp;M129&amp;"/","Open PubMed")</x:f>
        <x:v>HYPERLINK is not implemented. linkLocation=https://pubmed.ncbi.nlm.nih.gov/42579111/, friendlyName=Open PubMed</x:v>
      </x:c>
      <x:c r="O129" s="31" t="str">
        <x:v>not reported</x:v>
      </x:c>
      <x:c r="P129" s="28" t="str">
        <x:v>abstract only</x:v>
      </x:c>
      <x:c r="Q129" s="28" t="str">
        <x:v>PubMed/MEDLINE export supplied by user | query: not verified from export; see Protocol sheet for reproducible recommended query</x:v>
      </x:c>
      <x:c r="R129" s="28" t="str">
        <x:v>Batch 1 core</x:v>
      </x:c>
      <x:c r="S129" s="28" t="str">
        <x:v>Direct ADHD primary study on diagnosis, family/education, structural conditions, lived experience/outcomes, or environment/lifestyle.</x:v>
      </x:c>
      <x:c r="T129" s="28" t="str">
        <x:v>not apparent from accessed abstract/metadata</x:v>
      </x:c>
      <x:c r="U129" s="28" t="str">
        <x:v>none identified in MEDLINE record</x:v>
      </x:c>
      <x:c r="V129" s="26" t="str">
        <x:v>not reported</x:v>
      </x:c>
      <x:c r="W129" s="28" t="str">
        <x:v>No PMC copy identified; publisher PDF/access must be checked</x:v>
      </x:c>
      <x:c r="X129" s="28" t="str">
        <x:v>Not verified</x:v>
      </x:c>
      <x:c r="Y129" s="31" t="str">
        <x:f>IF(V129="not reported","not reported",HYPERLINK("https://pmc.ncbi.nlm.nih.gov/articles/"&amp;V129&amp;"/","Open Full Text"))</x:f>
        <x:v>not reported</x:v>
      </x:c>
      <x:c r="Z129" s="31" t="e">
        <x:f>IF(L129="not reported","not reported",HYPERLINK("https://doi.org/"&amp;L129,"Open Publisher"))</x:f>
        <x:v>HYPERLINK is not implemented. linkLocation=https://doi.org/10.1021/acs.est.6c01402, friendlyName=Open Publisher</x:v>
      </x:c>
      <x:c r="AA129" s="28" t="str">
        <x:v>DOI present in PubMed/MEDLINE; no PMCID present.</x:v>
      </x:c>
      <x:c r="AB129" s="28" t="str">
        <x:v>Open the DOI/publisher page. If PDF is paywalled, try Stony Brook Library access, Article Galaxy, or interlibrary loan.</x:v>
      </x:c>
      <x:c r="AC129" s="26" t="str">
        <x:v>2026-09-20</x:v>
      </x:c>
    </x:row>
    <x:row r="130">
      <x:c r="A130" s="26" t="str">
        <x:v>PUBMED-42218194</x:v>
      </x:c>
      <x:c r="B130" s="28" t="str">
        <x:v>Machine learning-based screening model for Tic disorders comorbid with attention-deficit/hyperactivity disorder in children and SHAP value interpretation: a retrospective observational study.</x:v>
      </x:c>
      <x:c r="C130" s="28" t="str">
        <x:v>Chen, Zilin; Wang, Xu; Chai, YuXin; Hu, YuChen; Jia, Ru; Han, Fei</x:v>
      </x:c>
      <x:c r="D130" s="28" t="n">
        <x:v>2026</x:v>
      </x:c>
      <x:c r="E130" s="28" t="str">
        <x:v>Scientific reports</x:v>
      </x:c>
      <x:c r="F130" s="28" t="str">
        <x:v>Primary study - cohort</x:v>
      </x:c>
      <x:c r="G130" s="28" t="str">
        <x:v>Development &amp; presentation; Recognition &amp; diagnosis; Family &amp; education; Social &amp; structural; Environmental &amp; lifestyle; Treatment &amp; support; Historical &amp; contemporary context</x:v>
      </x:c>
      <x:c r="H130" s="28" t="str">
        <x:v>Childhood; Adolescence</x:v>
      </x:c>
      <x:c r="I130" s="28" t="str">
        <x:v>Geography (MeSH): China</x:v>
      </x:c>
      <x:c r="J130" s="28" t="str">
        <x:v>not reported</x:v>
      </x:c>
      <x:c r="K130" s="28" t="str">
        <x:v>This study aimed to develop a machine learning-based classification model to identify children with TD who have a higher model-predicted probability of ADHD comorbidity, thereby potentially aiding diagnostic accuracy and treatment planning.</x:v>
      </x:c>
      <x:c r="L130" s="28" t="str">
        <x:v>10.1038/s41598-026-54609-7</x:v>
      </x:c>
      <x:c r="M130" s="28" t="str">
        <x:v>42218194</x:v>
      </x:c>
      <x:c r="N130" s="31" t="e">
        <x:f>HYPERLINK("https://pubmed.ncbi.nlm.nih.gov/"&amp;M130&amp;"/","Open PubMed")</x:f>
        <x:v>HYPERLINK is not implemented. linkLocation=https://pubmed.ncbi.nlm.nih.gov/42218194/, friendlyName=Open PubMed</x:v>
      </x:c>
      <x:c r="O130" s="31" t="e">
        <x:f>HYPERLINK("https://pmc.ncbi.nlm.nih.gov/articles/PMC13578749/","Open Full Text")</x:f>
        <x:v>HYPERLINK is not implemented. linkLocation=https://pmc.ncbi.nlm.nih.gov/articles/PMC13578749/, friendlyName=Open Full Text</x:v>
      </x:c>
      <x:c r="P130" s="28" t="str">
        <x:v>abstract only</x:v>
      </x:c>
      <x:c r="Q130" s="28" t="str">
        <x:v>PubMed/MEDLINE export supplied by user | query: not verified from export; see Protocol sheet for reproducible recommended query</x:v>
      </x:c>
      <x:c r="R130" s="28" t="str">
        <x:v>Batch 1 core</x:v>
      </x:c>
      <x:c r="S130" s="28" t="str">
        <x:v>Direct ADHD primary study on diagnosis, family/education, structural conditions, lived experience/outcomes, or environment/lifestyle.</x:v>
      </x:c>
      <x:c r="T130" s="28" t="str">
        <x:v>not apparent from accessed abstract/metadata</x:v>
      </x:c>
      <x:c r="U130" s="28" t="str">
        <x:v>none identified in MEDLINE record</x:v>
      </x:c>
      <x:c r="V130" s="26" t="str">
        <x:v>PMC13578749</x:v>
      </x:c>
      <x:c r="W130" s="28" t="str">
        <x:v>PDF available via PMC (verified free full text)</x:v>
      </x:c>
      <x:c r="X130" s="28" t="str">
        <x:v>Yes — PMC</x:v>
      </x:c>
      <x:c r="Y130" s="31" t="e">
        <x:f>IF(V130="not reported","not reported",HYPERLINK("https://pmc.ncbi.nlm.nih.gov/articles/"&amp;V130&amp;"/","Open Full Text"))</x:f>
        <x:v>HYPERLINK is not implemented. linkLocation=https://pmc.ncbi.nlm.nih.gov/articles/PMC13578749/, friendlyName=Open Full Text</x:v>
      </x:c>
      <x:c r="Z130" s="31" t="e">
        <x:f>IF(L130="not reported","not reported",HYPERLINK("https://doi.org/"&amp;L130,"Open Publisher"))</x:f>
        <x:v>HYPERLINK is not implemented. linkLocation=https://doi.org/10.1038/s41598-026-54609-7, friendlyName=Open Publisher</x:v>
      </x:c>
      <x:c r="AA130" s="28" t="str">
        <x:v>PMCID PMC13578749 present in the PubMed/MEDLINE record.</x:v>
      </x:c>
      <x:c r="AB130" s="28" t="str">
        <x:v>Open the PMC full-text page and use its PDF button/download option.</x:v>
      </x:c>
      <x:c r="AC130" s="26" t="str">
        <x:v>2026-09-20</x:v>
      </x:c>
    </x:row>
    <x:row r="131">
      <x:c r="A131" s="26" t="str">
        <x:v>PUBMED-42034588</x:v>
      </x:c>
      <x:c r="B131" s="28" t="str">
        <x:v>Comprehensive overview of triclosan neurotoxicity and construction of adverse outcome pathways using a systems toxicology approach: Triclosan-induced attention-deficit hyperactivity disorder as an example.</x:v>
      </x:c>
      <x:c r="C131" s="28" t="str">
        <x:v>Shang, Jianing; Cui, He; Shu, Chang; Zheng, Linlin; Liu, Fu; Peng, Yuxuan; Wei, Ziyun; Ni, Xiao; Liu, Jieyu</x:v>
      </x:c>
      <x:c r="D131" s="28" t="n">
        <x:v>2026</x:v>
      </x:c>
      <x:c r="E131" s="28" t="str">
        <x:v>Ecotoxicology and environmental safety</x:v>
      </x:c>
      <x:c r="F131" s="28" t="str">
        <x:v>Evidence synthesis - review</x:v>
      </x:c>
      <x:c r="G131" s="28" t="str">
        <x:v>Development &amp; presentation; Recognition &amp; diagnosis; Social &amp; structural; Environmental &amp; lifestyle; Treatment &amp; support; Life outcomes &amp; lived experience</x:v>
      </x:c>
      <x:c r="H131" s="28" t="str">
        <x:v>Not specified</x:v>
      </x:c>
      <x:c r="I131" s="28" t="str">
        <x:v>not reported/not verified</x:v>
      </x:c>
      <x:c r="J131" s="28" t="str">
        <x:v>not reported</x:v>
      </x:c>
      <x:c r="K131" s="28" t="str">
        <x:v>This review summarizes the status of environmental and human TCS exposure and systematically outlines its neurotoxic effects.</x:v>
      </x:c>
      <x:c r="L131" s="28" t="str">
        <x:v>10.1016/j.ecoenv.2026.120169</x:v>
      </x:c>
      <x:c r="M131" s="28" t="str">
        <x:v>42034588</x:v>
      </x:c>
      <x:c r="N131" s="31" t="e">
        <x:f>HYPERLINK("https://pubmed.ncbi.nlm.nih.gov/"&amp;M131&amp;"/","Open PubMed")</x:f>
        <x:v>HYPERLINK is not implemented. linkLocation=https://pubmed.ncbi.nlm.nih.gov/42034588/, friendlyName=Open PubMed</x:v>
      </x:c>
      <x:c r="O131" s="31" t="str">
        <x:v>not reported</x:v>
      </x:c>
      <x:c r="P131" s="28" t="str">
        <x:v>abstract only</x:v>
      </x:c>
      <x:c r="Q131" s="28" t="str">
        <x:v>PubMed/MEDLINE export supplied by user | query: not verified from export; see Protocol sheet for reproducible recommended query</x:v>
      </x:c>
      <x:c r="R131" s="28" t="str">
        <x:v>Batch 1 core</x:v>
      </x:c>
      <x:c r="S131" s="28" t="str">
        <x:v>Direct ADHD evidence synthesis/guideline with broad multi-topic relevance.</x:v>
      </x:c>
      <x:c r="T131" s="28" t="str">
        <x:v>not apparent from accessed abstract/metadata</x:v>
      </x:c>
      <x:c r="U131" s="28" t="str">
        <x:v>none identified in MEDLINE record</x:v>
      </x:c>
      <x:c r="V131" s="26" t="str">
        <x:v>not reported</x:v>
      </x:c>
      <x:c r="W131" s="28" t="str">
        <x:v>No PMC copy identified; publisher PDF/access must be checked</x:v>
      </x:c>
      <x:c r="X131" s="28" t="str">
        <x:v>Not verified</x:v>
      </x:c>
      <x:c r="Y131" s="31" t="str">
        <x:f>IF(V131="not reported","not reported",HYPERLINK("https://pmc.ncbi.nlm.nih.gov/articles/"&amp;V131&amp;"/","Open Full Text"))</x:f>
        <x:v>not reported</x:v>
      </x:c>
      <x:c r="Z131" s="31" t="e">
        <x:f>IF(L131="not reported","not reported",HYPERLINK("https://doi.org/"&amp;L131,"Open Publisher"))</x:f>
        <x:v>HYPERLINK is not implemented. linkLocation=https://doi.org/10.1016/j.ecoenv.2026.120169, friendlyName=Open Publisher</x:v>
      </x:c>
      <x:c r="AA131" s="28" t="str">
        <x:v>DOI present in PubMed/MEDLINE; no PMCID present.</x:v>
      </x:c>
      <x:c r="AB131" s="28" t="str">
        <x:v>Open the DOI/publisher page. If PDF is paywalled, try Stony Brook Library access, Article Galaxy, or interlibrary loan.</x:v>
      </x:c>
      <x:c r="AC131" s="26" t="str">
        <x:v>2026-09-20</x:v>
      </x:c>
    </x:row>
    <x:row r="132">
      <x:c r="A132" s="26" t="str">
        <x:v>PUBMED-41982046</x:v>
      </x:c>
      <x:c r="B132" s="28" t="str">
        <x:v>Mental Health and Coping in Women With ADHD During the Pandemic.</x:v>
      </x:c>
      <x:c r="C132" s="28" t="str">
        <x:v>Nurgitz, Rebecca; Miller, Carlin J</x:v>
      </x:c>
      <x:c r="D132" s="28" t="n">
        <x:v>2026</x:v>
      </x:c>
      <x:c r="E132" s="28" t="str">
        <x:v>Journal of attention disorders</x:v>
      </x:c>
      <x:c r="F132" s="28" t="str">
        <x:v>Primary study - qualitative</x:v>
      </x:c>
      <x:c r="G132" s="28" t="str">
        <x:v>Development &amp; presentation; Recognition &amp; diagnosis; Social &amp; structural; Environmental &amp; lifestyle; Treatment &amp; support; Life outcomes &amp; lived experience; Historical &amp; contemporary context</x:v>
      </x:c>
      <x:c r="H132" s="28" t="str">
        <x:v>Adolescence; Adulthood</x:v>
      </x:c>
      <x:c r="I132" s="28" t="str">
        <x:v>not reported/not verified</x:v>
      </x:c>
      <x:c r="J132" s="28" t="str">
        <x:v>not reported</x:v>
      </x:c>
      <x:c r="K132" s="28" t="str">
        <x:v>OBJECTIVE: A diverse group of 307 females (17-30 years of age) was recruited for an online mixed methods study on mental health and coping in women with ADHD.</x:v>
      </x:c>
      <x:c r="L132" s="28" t="str">
        <x:v>10.1177/10870547261437893</x:v>
      </x:c>
      <x:c r="M132" s="28" t="str">
        <x:v>41982046</x:v>
      </x:c>
      <x:c r="N132" s="31" t="e">
        <x:f>HYPERLINK("https://pubmed.ncbi.nlm.nih.gov/"&amp;M132&amp;"/","Open PubMed")</x:f>
        <x:v>HYPERLINK is not implemented. linkLocation=https://pubmed.ncbi.nlm.nih.gov/41982046/, friendlyName=Open PubMed</x:v>
      </x:c>
      <x:c r="O132" s="31" t="e">
        <x:f>HYPERLINK("https://pmc.ncbi.nlm.nih.gov/articles/PMC13400798/","Open Full Text")</x:f>
        <x:v>HYPERLINK is not implemented. linkLocation=https://pmc.ncbi.nlm.nih.gov/articles/PMC13400798/, friendlyName=Open Full Text</x:v>
      </x:c>
      <x:c r="P132" s="28" t="str">
        <x:v>abstract only</x:v>
      </x:c>
      <x:c r="Q132" s="28" t="str">
        <x:v>PubMed/MEDLINE export supplied by user | query: not verified from export; see Protocol sheet for reproducible recommended query</x:v>
      </x:c>
      <x:c r="R132" s="28" t="str">
        <x:v>Batch 1 core</x:v>
      </x:c>
      <x:c r="S132" s="28" t="str">
        <x:v>Direct ADHD primary study on diagnosis, family/education, structural conditions, lived experience/outcomes, or environment/lifestyle.</x:v>
      </x:c>
      <x:c r="T132" s="28" t="str">
        <x:v>not apparent from accessed abstract/metadata</x:v>
      </x:c>
      <x:c r="U132" s="28" t="str">
        <x:v>none identified in MEDLINE record</x:v>
      </x:c>
      <x:c r="V132" s="26" t="str">
        <x:v>PMC13400798</x:v>
      </x:c>
      <x:c r="W132" s="28" t="str">
        <x:v>PDF available via PMC (verified free full text)</x:v>
      </x:c>
      <x:c r="X132" s="28" t="str">
        <x:v>Yes — PMC</x:v>
      </x:c>
      <x:c r="Y132" s="31" t="e">
        <x:f>IF(V132="not reported","not reported",HYPERLINK("https://pmc.ncbi.nlm.nih.gov/articles/"&amp;V132&amp;"/","Open Full Text"))</x:f>
        <x:v>HYPERLINK is not implemented. linkLocation=https://pmc.ncbi.nlm.nih.gov/articles/PMC13400798/, friendlyName=Open Full Text</x:v>
      </x:c>
      <x:c r="Z132" s="31" t="e">
        <x:f>IF(L132="not reported","not reported",HYPERLINK("https://doi.org/"&amp;L132,"Open Publisher"))</x:f>
        <x:v>HYPERLINK is not implemented. linkLocation=https://doi.org/10.1177/10870547261437893, friendlyName=Open Publisher</x:v>
      </x:c>
      <x:c r="AA132" s="28" t="str">
        <x:v>PMCID PMC13400798 present in the PubMed/MEDLINE record.</x:v>
      </x:c>
      <x:c r="AB132" s="28" t="str">
        <x:v>Open the PMC full-text page and use its PDF button/download option.</x:v>
      </x:c>
      <x:c r="AC132" s="26" t="str">
        <x:v>2026-09-20</x:v>
      </x:c>
    </x:row>
    <x:row r="133">
      <x:c r="A133" s="26" t="str">
        <x:v>PUBMED-42514426</x:v>
      </x:c>
      <x:c r="B133" s="28" t="str">
        <x:v>Probiotic Supplementation in Children and Adolescents with ADHD: A Systematic Review and Meta-Analysis of ADHD-Related and Emotional-Behavioral Outcomes.</x:v>
      </x:c>
      <x:c r="C133" s="28" t="str">
        <x:v>Yan, Yizhen; Wu, Haotian; Han, Mengke; Zhao, Li; Mao, Shan-Shan</x:v>
      </x:c>
      <x:c r="D133" s="28" t="n">
        <x:v>2026</x:v>
      </x:c>
      <x:c r="E133" s="28" t="str">
        <x:v>Nutrients</x:v>
      </x:c>
      <x:c r="F133" s="28" t="str">
        <x:v>Evidence synthesis - meta-analysis</x:v>
      </x:c>
      <x:c r="G133" s="28" t="str">
        <x:v>Development &amp; presentation; Recognition &amp; diagnosis; Family &amp; education; Social &amp; structural; Environmental &amp; lifestyle; Treatment &amp; support; Life outcomes &amp; lived experience</x:v>
      </x:c>
      <x:c r="H133" s="28" t="str">
        <x:v>Childhood; Adolescence</x:v>
      </x:c>
      <x:c r="I133" s="28" t="str">
        <x:v>not reported/not verified</x:v>
      </x:c>
      <x:c r="J133" s="28" t="str">
        <x:v>not reported</x:v>
      </x:c>
      <x:c r="K133" s="28" t="str">
        <x:v>OBJECTIVE: This systematic review and meta-analysis evaluated the effects of probiotic supplementation on ADHD-related clinical outcomes and emotional-behavioral outcomes in children and adolescents.</x:v>
      </x:c>
      <x:c r="L133" s="28" t="str">
        <x:v>10.3390/nu18142357</x:v>
      </x:c>
      <x:c r="M133" s="28" t="str">
        <x:v>42514426</x:v>
      </x:c>
      <x:c r="N133" s="31" t="e">
        <x:f>HYPERLINK("https://pubmed.ncbi.nlm.nih.gov/"&amp;M133&amp;"/","Open PubMed")</x:f>
        <x:v>HYPERLINK is not implemented. linkLocation=https://pubmed.ncbi.nlm.nih.gov/42514426/, friendlyName=Open PubMed</x:v>
      </x:c>
      <x:c r="O133" s="31" t="e">
        <x:f>HYPERLINK("https://pmc.ncbi.nlm.nih.gov/articles/PMC13415223/","Open Full Text")</x:f>
        <x:v>HYPERLINK is not implemented. linkLocation=https://pmc.ncbi.nlm.nih.gov/articles/PMC13415223/, friendlyName=Open Full Text</x:v>
      </x:c>
      <x:c r="P133" s="28" t="str">
        <x:v>abstract only</x:v>
      </x:c>
      <x:c r="Q133" s="28" t="str">
        <x:v>PubMed/MEDLINE export supplied by user | query: not verified from export; see Protocol sheet for reproducible recommended query</x:v>
      </x:c>
      <x:c r="R133" s="28" t="str">
        <x:v>Batch 1 core</x:v>
      </x:c>
      <x:c r="S133" s="28" t="str">
        <x:v>Direct ADHD evidence synthesis/guideline with broad multi-topic relevance.</x:v>
      </x:c>
      <x:c r="T133" s="28" t="str">
        <x:v>not apparent from accessed abstract/metadata</x:v>
      </x:c>
      <x:c r="U133" s="28" t="str">
        <x:v>none identified in MEDLINE record</x:v>
      </x:c>
      <x:c r="V133" s="26" t="str">
        <x:v>PMC13415223</x:v>
      </x:c>
      <x:c r="W133" s="28" t="str">
        <x:v>PDF available via PMC (verified free full text)</x:v>
      </x:c>
      <x:c r="X133" s="28" t="str">
        <x:v>Yes — PMC</x:v>
      </x:c>
      <x:c r="Y133" s="31" t="e">
        <x:f>IF(V133="not reported","not reported",HYPERLINK("https://pmc.ncbi.nlm.nih.gov/articles/"&amp;V133&amp;"/","Open Full Text"))</x:f>
        <x:v>HYPERLINK is not implemented. linkLocation=https://pmc.ncbi.nlm.nih.gov/articles/PMC13415223/, friendlyName=Open Full Text</x:v>
      </x:c>
      <x:c r="Z133" s="31" t="e">
        <x:f>IF(L133="not reported","not reported",HYPERLINK("https://doi.org/"&amp;L133,"Open Publisher"))</x:f>
        <x:v>HYPERLINK is not implemented. linkLocation=https://doi.org/10.3390/nu18142357, friendlyName=Open Publisher</x:v>
      </x:c>
      <x:c r="AA133" s="28" t="str">
        <x:v>PMCID PMC13415223 present in the PubMed/MEDLINE record.</x:v>
      </x:c>
      <x:c r="AB133" s="28" t="str">
        <x:v>Open the PMC full-text page and use its PDF button/download option.</x:v>
      </x:c>
      <x:c r="AC133" s="26" t="str">
        <x:v>2026-09-20</x:v>
      </x:c>
    </x:row>
    <x:row r="134">
      <x:c r="A134" s="26" t="str">
        <x:v>PUBMED-42664236</x:v>
      </x:c>
      <x:c r="B134" s="28" t="str">
        <x:v>Long-term effects of cognitive behavioural therapy on the quality of life in adult ADHD.</x:v>
      </x:c>
      <x:c r="C134" s="28" t="str">
        <x:v>Wettstein, Ravian; Navarro-Ovando, Valentina; Janke, Viktoria; Mathôt, Ron; Dumont, Glenn</x:v>
      </x:c>
      <x:c r="D134" s="28" t="n">
        <x:v>2026</x:v>
      </x:c>
      <x:c r="E134" s="28" t="str">
        <x:v>PloS one</x:v>
      </x:c>
      <x:c r="F134" s="28" t="str">
        <x:v>Primary study - cohort</x:v>
      </x:c>
      <x:c r="G134" s="28" t="str">
        <x:v>Development &amp; presentation; Family &amp; education; Social &amp; structural; Treatment &amp; support; Life outcomes &amp; lived experience</x:v>
      </x:c>
      <x:c r="H134" s="28" t="str">
        <x:v>Adulthood</x:v>
      </x:c>
      <x:c r="I134" s="28" t="str">
        <x:v>not reported/not verified</x:v>
      </x:c>
      <x:c r="J134" s="28" t="str">
        <x:v>not reported</x:v>
      </x:c>
      <x:c r="K134" s="28" t="str">
        <x:v>This study examined the long-term effects (4-8 years) of Cognitive Behavioural Therapy (CBT), added to pharmacotherapy and psychoeducation (PE), on quality of life (QoL) in adults with Attention-Deficit/Hyperactivity Disorder (ADHD).</x:v>
      </x:c>
      <x:c r="L134" s="28" t="str">
        <x:v>10.1371/journal.pone.0356825</x:v>
      </x:c>
      <x:c r="M134" s="28" t="str">
        <x:v>42664236</x:v>
      </x:c>
      <x:c r="N134" s="31" t="e">
        <x:f>HYPERLINK("https://pubmed.ncbi.nlm.nih.gov/"&amp;M134&amp;"/","Open PubMed")</x:f>
        <x:v>HYPERLINK is not implemented. linkLocation=https://pubmed.ncbi.nlm.nih.gov/42664236/, friendlyName=Open PubMed</x:v>
      </x:c>
      <x:c r="O134" s="31" t="e">
        <x:f>HYPERLINK("https://pmc.ncbi.nlm.nih.gov/articles/PMC13524267/","Open Full Text")</x:f>
        <x:v>HYPERLINK is not implemented. linkLocation=https://pmc.ncbi.nlm.nih.gov/articles/PMC13524267/, friendlyName=Open Full Text</x:v>
      </x:c>
      <x:c r="P134" s="28" t="str">
        <x:v>abstract only</x:v>
      </x:c>
      <x:c r="Q134" s="28" t="str">
        <x:v>PubMed/MEDLINE export supplied by user | query: not verified from export; see Protocol sheet for reproducible recommended query</x:v>
      </x:c>
      <x:c r="R134" s="28" t="str">
        <x:v>Batch 1 core</x:v>
      </x:c>
      <x:c r="S134" s="28" t="str">
        <x:v>Direct ADHD primary study on diagnosis, family/education, structural conditions, lived experience/outcomes, or environment/lifestyle.</x:v>
      </x:c>
      <x:c r="T134" s="28" t="str">
        <x:v>not apparent from accessed abstract/metadata</x:v>
      </x:c>
      <x:c r="U134" s="28" t="str">
        <x:v>none identified in MEDLINE record</x:v>
      </x:c>
      <x:c r="V134" s="26" t="str">
        <x:v>PMC13524267</x:v>
      </x:c>
      <x:c r="W134" s="28" t="str">
        <x:v>PDF available via PMC (verified free full text)</x:v>
      </x:c>
      <x:c r="X134" s="28" t="str">
        <x:v>Yes — PMC</x:v>
      </x:c>
      <x:c r="Y134" s="31" t="e">
        <x:f>IF(V134="not reported","not reported",HYPERLINK("https://pmc.ncbi.nlm.nih.gov/articles/"&amp;V134&amp;"/","Open Full Text"))</x:f>
        <x:v>HYPERLINK is not implemented. linkLocation=https://pmc.ncbi.nlm.nih.gov/articles/PMC13524267/, friendlyName=Open Full Text</x:v>
      </x:c>
      <x:c r="Z134" s="31" t="e">
        <x:f>IF(L134="not reported","not reported",HYPERLINK("https://doi.org/"&amp;L134,"Open Publisher"))</x:f>
        <x:v>HYPERLINK is not implemented. linkLocation=https://doi.org/10.1371/journal.pone.0356825, friendlyName=Open Publisher</x:v>
      </x:c>
      <x:c r="AA134" s="28" t="str">
        <x:v>PMCID PMC13524267 present in the PubMed/MEDLINE record.</x:v>
      </x:c>
      <x:c r="AB134" s="28" t="str">
        <x:v>Open the PMC full-text page and use its PDF button/download option.</x:v>
      </x:c>
      <x:c r="AC134" s="26" t="str">
        <x:v>2026-09-20</x:v>
      </x:c>
    </x:row>
    <x:row r="135">
      <x:c r="A135" s="26" t="str">
        <x:v>PUBMED-42297499</x:v>
      </x:c>
      <x:c r="B135" s="28" t="str">
        <x:v>Occupational injury risk and workplace safety challenges among adults with ADHD: A systematic review.</x:v>
      </x:c>
      <x:c r="C135" s="28" t="str">
        <x:v>Min, Seung Nam</x:v>
      </x:c>
      <x:c r="D135" s="28" t="n">
        <x:v>2026</x:v>
      </x:c>
      <x:c r="E135" s="28" t="str">
        <x:v>Journal of safety research</x:v>
      </x:c>
      <x:c r="F135" s="28" t="str">
        <x:v>Evidence synthesis - systematic review</x:v>
      </x:c>
      <x:c r="G135" s="28" t="str">
        <x:v>Development &amp; presentation; Recognition &amp; diagnosis; Social &amp; structural; Environmental &amp; lifestyle; Treatment &amp; support; Life outcomes &amp; lived experience; Historical &amp; contemporary context</x:v>
      </x:c>
      <x:c r="H135" s="28" t="str">
        <x:v>Adulthood</x:v>
      </x:c>
      <x:c r="I135" s="28" t="str">
        <x:v>Setting (MeSH): Workplace</x:v>
      </x:c>
      <x:c r="J135" s="28" t="str">
        <x:v>not reported</x:v>
      </x:c>
      <x:c r="K135" s="28" t="str">
        <x:v>OBJECTIVE: This study systematically reviews the literature to examine the association between adult ADHD and occupational injuries, focusing on risk patterns, contributing mechanisms, and potential workplace accommodations.</x:v>
      </x:c>
      <x:c r="L135" s="28" t="str">
        <x:v>10.1016/j.jsr.2026.04.012</x:v>
      </x:c>
      <x:c r="M135" s="28" t="str">
        <x:v>42297499</x:v>
      </x:c>
      <x:c r="N135" s="31" t="e">
        <x:f>HYPERLINK("https://pubmed.ncbi.nlm.nih.gov/"&amp;M135&amp;"/","Open PubMed")</x:f>
        <x:v>HYPERLINK is not implemented. linkLocation=https://pubmed.ncbi.nlm.nih.gov/42297499/, friendlyName=Open PubMed</x:v>
      </x:c>
      <x:c r="O135" s="31" t="str">
        <x:v>not reported</x:v>
      </x:c>
      <x:c r="P135" s="28" t="str">
        <x:v>abstract only</x:v>
      </x:c>
      <x:c r="Q135" s="28" t="str">
        <x:v>PubMed/MEDLINE export supplied by user | query: not verified from export; see Protocol sheet for reproducible recommended query</x:v>
      </x:c>
      <x:c r="R135" s="28" t="str">
        <x:v>Batch 1 core</x:v>
      </x:c>
      <x:c r="S135" s="28" t="str">
        <x:v>Direct ADHD evidence synthesis/guideline with broad multi-topic relevance.</x:v>
      </x:c>
      <x:c r="T135" s="28" t="str">
        <x:v>not apparent from accessed abstract/metadata</x:v>
      </x:c>
      <x:c r="U135" s="28" t="str">
        <x:v>none identified in MEDLINE record</x:v>
      </x:c>
      <x:c r="V135" s="26" t="str">
        <x:v>not reported</x:v>
      </x:c>
      <x:c r="W135" s="28" t="str">
        <x:v>No PMC copy identified; publisher PDF/access must be checked</x:v>
      </x:c>
      <x:c r="X135" s="28" t="str">
        <x:v>Not verified</x:v>
      </x:c>
      <x:c r="Y135" s="31" t="str">
        <x:f>IF(V135="not reported","not reported",HYPERLINK("https://pmc.ncbi.nlm.nih.gov/articles/"&amp;V135&amp;"/","Open Full Text"))</x:f>
        <x:v>not reported</x:v>
      </x:c>
      <x:c r="Z135" s="31" t="e">
        <x:f>IF(L135="not reported","not reported",HYPERLINK("https://doi.org/"&amp;L135,"Open Publisher"))</x:f>
        <x:v>HYPERLINK is not implemented. linkLocation=https://doi.org/10.1016/j.jsr.2026.04.012, friendlyName=Open Publisher</x:v>
      </x:c>
      <x:c r="AA135" s="28" t="str">
        <x:v>DOI present in PubMed/MEDLINE; no PMCID present.</x:v>
      </x:c>
      <x:c r="AB135" s="28" t="str">
        <x:v>Open the DOI/publisher page. If PDF is paywalled, try Stony Brook Library access, Article Galaxy, or interlibrary loan.</x:v>
      </x:c>
      <x:c r="AC135" s="26" t="str">
        <x:v>2026-09-20</x:v>
      </x:c>
    </x:row>
    <x:row r="136">
      <x:c r="A136" s="26" t="str">
        <x:v>PUBMED-42348958</x:v>
      </x:c>
      <x:c r="B136" s="28" t="str">
        <x:v>Are children and adolescents with ADHD less physically fit? Findings from a systematic review and meta-analysis.</x:v>
      </x:c>
      <x:c r="C136" s="28" t="str">
        <x:v>Blanco-Martínez, Nerea; Diz-Gómez, José Carlos; Outeda-Monteagudo, Benito; Carballo-Afonso, Rocío; Ayán-Pérez, Carlos</x:v>
      </x:c>
      <x:c r="D136" s="28" t="n">
        <x:v>2026</x:v>
      </x:c>
      <x:c r="E136" s="28" t="str">
        <x:v>Archives de pediatrie : organe officiel de la Societe francaise de pediatrie</x:v>
      </x:c>
      <x:c r="F136" s="28" t="str">
        <x:v>Evidence synthesis - meta-analysis</x:v>
      </x:c>
      <x:c r="G136" s="28" t="str">
        <x:v>Development &amp; presentation; Recognition &amp; diagnosis; Social &amp; structural; Life outcomes &amp; lived experience</x:v>
      </x:c>
      <x:c r="H136" s="28" t="str">
        <x:v>Childhood; Adolescence</x:v>
      </x:c>
      <x:c r="I136" s="28" t="str">
        <x:v>not reported/not verified</x:v>
      </x:c>
      <x:c r="J136" s="28" t="str">
        <x:v>not reported</x:v>
      </x:c>
      <x:c r="K136" s="28" t="str">
        <x:v>OBJECTIVE: To systematically review and meta-analyze differences in health-related physical fitness between children and adolescents with and without ADHD.</x:v>
      </x:c>
      <x:c r="L136" s="28" t="str">
        <x:v>10.1016/j.arcped.2026.105583</x:v>
      </x:c>
      <x:c r="M136" s="28" t="str">
        <x:v>42348958</x:v>
      </x:c>
      <x:c r="N136" s="31" t="e">
        <x:f>HYPERLINK("https://pubmed.ncbi.nlm.nih.gov/"&amp;M136&amp;"/","Open PubMed")</x:f>
        <x:v>HYPERLINK is not implemented. linkLocation=https://pubmed.ncbi.nlm.nih.gov/42348958/, friendlyName=Open PubMed</x:v>
      </x:c>
      <x:c r="O136" s="31" t="str">
        <x:v>not reported</x:v>
      </x:c>
      <x:c r="P136" s="28" t="str">
        <x:v>abstract only</x:v>
      </x:c>
      <x:c r="Q136" s="28" t="str">
        <x:v>PubMed/MEDLINE export supplied by user | query: not verified from export; see Protocol sheet for reproducible recommended query</x:v>
      </x:c>
      <x:c r="R136" s="28" t="str">
        <x:v>Batch 1 core</x:v>
      </x:c>
      <x:c r="S136" s="28" t="str">
        <x:v>Direct ADHD evidence synthesis/guideline with broad multi-topic relevance.</x:v>
      </x:c>
      <x:c r="T136" s="28" t="str">
        <x:v>not apparent from accessed abstract/metadata</x:v>
      </x:c>
      <x:c r="U136" s="28" t="str">
        <x:v>none identified in MEDLINE record</x:v>
      </x:c>
      <x:c r="V136" s="26" t="str">
        <x:v>not reported</x:v>
      </x:c>
      <x:c r="W136" s="28" t="str">
        <x:v>No PMC copy identified; publisher PDF/access must be checked</x:v>
      </x:c>
      <x:c r="X136" s="28" t="str">
        <x:v>Not verified</x:v>
      </x:c>
      <x:c r="Y136" s="31" t="str">
        <x:f>IF(V136="not reported","not reported",HYPERLINK("https://pmc.ncbi.nlm.nih.gov/articles/"&amp;V136&amp;"/","Open Full Text"))</x:f>
        <x:v>not reported</x:v>
      </x:c>
      <x:c r="Z136" s="31" t="e">
        <x:f>IF(L136="not reported","not reported",HYPERLINK("https://doi.org/"&amp;L136,"Open Publisher"))</x:f>
        <x:v>HYPERLINK is not implemented. linkLocation=https://doi.org/10.1016/j.arcped.2026.105583, friendlyName=Open Publisher</x:v>
      </x:c>
      <x:c r="AA136" s="28" t="str">
        <x:v>DOI present in PubMed/MEDLINE; no PMCID present.</x:v>
      </x:c>
      <x:c r="AB136" s="28" t="str">
        <x:v>Open the DOI/publisher page. If PDF is paywalled, try Stony Brook Library access, Article Galaxy, or interlibrary loan.</x:v>
      </x:c>
      <x:c r="AC136" s="26" t="str">
        <x:v>2026-09-20</x:v>
      </x:c>
    </x:row>
    <x:row r="137">
      <x:c r="A137" s="26" t="str">
        <x:v>PUBMED-42176184</x:v>
      </x:c>
      <x:c r="B137" s="28" t="str">
        <x:v>The Impact of Untreated Attention-Deficit/Hyperactivity Disorder on Motor Vehicle Accidents: A Systematic Review and Meta-Analysis.</x:v>
      </x:c>
      <x:c r="C137" s="28" t="str">
        <x:v>Childress, Ann; Malik, Hirah; Potenziano, Jim</x:v>
      </x:c>
      <x:c r="D137" s="28" t="n">
        <x:v>2026</x:v>
      </x:c>
      <x:c r="E137" s="28" t="str">
        <x:v>Advances in therapy</x:v>
      </x:c>
      <x:c r="F137" s="28" t="str">
        <x:v>Evidence synthesis - meta-analysis</x:v>
      </x:c>
      <x:c r="G137" s="28" t="str">
        <x:v>Development &amp; presentation; Environmental &amp; lifestyle; Treatment &amp; support; Life outcomes &amp; lived experience</x:v>
      </x:c>
      <x:c r="H137" s="28" t="str">
        <x:v>Not specified</x:v>
      </x:c>
      <x:c r="I137" s="28" t="str">
        <x:v>not reported/not verified</x:v>
      </x:c>
      <x:c r="J137" s="28" t="str">
        <x:v>not reported</x:v>
      </x:c>
      <x:c r="K137" s="28" t="str">
        <x:v>INTRODUCTION: This meta-analysis quantified the dangers of driving with untreated ADHD and compares consequences for untreated drivers with ADHD to those of better publicized accident risk factors.</x:v>
      </x:c>
      <x:c r="L137" s="28" t="str">
        <x:v>10.1007/s12325-026-03638-9</x:v>
      </x:c>
      <x:c r="M137" s="28" t="str">
        <x:v>42176184</x:v>
      </x:c>
      <x:c r="N137" s="31" t="e">
        <x:f>HYPERLINK("https://pubmed.ncbi.nlm.nih.gov/"&amp;M137&amp;"/","Open PubMed")</x:f>
        <x:v>HYPERLINK is not implemented. linkLocation=https://pubmed.ncbi.nlm.nih.gov/42176184/, friendlyName=Open PubMed</x:v>
      </x:c>
      <x:c r="O137" s="31" t="e">
        <x:f>HYPERLINK("https://pmc.ncbi.nlm.nih.gov/articles/PMC13499775/","Open Full Text")</x:f>
        <x:v>HYPERLINK is not implemented. linkLocation=https://pmc.ncbi.nlm.nih.gov/articles/PMC13499775/, friendlyName=Open Full Text</x:v>
      </x:c>
      <x:c r="P137" s="28" t="str">
        <x:v>abstract only</x:v>
      </x:c>
      <x:c r="Q137" s="28" t="str">
        <x:v>PubMed/MEDLINE export supplied by user | query: not verified from export; see Protocol sheet for reproducible recommended query</x:v>
      </x:c>
      <x:c r="R137" s="28" t="str">
        <x:v>Batch 1 core</x:v>
      </x:c>
      <x:c r="S137" s="28" t="str">
        <x:v>Direct ADHD evidence synthesis/guideline with broad multi-topic relevance.</x:v>
      </x:c>
      <x:c r="T137" s="28" t="str">
        <x:v>not apparent from accessed abstract/metadata</x:v>
      </x:c>
      <x:c r="U137" s="28" t="str">
        <x:v>Correction/erratum noted: Adv Ther. 2026 Sep;43(9):3870. doi: 10.1007/s12325-026-03704-2. PMID: 42496863</x:v>
      </x:c>
      <x:c r="V137" s="26" t="str">
        <x:v>PMC13499775</x:v>
      </x:c>
      <x:c r="W137" s="28" t="str">
        <x:v>PDF available via PMC (verified free full text)</x:v>
      </x:c>
      <x:c r="X137" s="28" t="str">
        <x:v>Yes — PMC</x:v>
      </x:c>
      <x:c r="Y137" s="31" t="e">
        <x:f>IF(V137="not reported","not reported",HYPERLINK("https://pmc.ncbi.nlm.nih.gov/articles/"&amp;V137&amp;"/","Open Full Text"))</x:f>
        <x:v>HYPERLINK is not implemented. linkLocation=https://pmc.ncbi.nlm.nih.gov/articles/PMC13499775/, friendlyName=Open Full Text</x:v>
      </x:c>
      <x:c r="Z137" s="31" t="e">
        <x:f>IF(L137="not reported","not reported",HYPERLINK("https://doi.org/"&amp;L137,"Open Publisher"))</x:f>
        <x:v>HYPERLINK is not implemented. linkLocation=https://doi.org/10.1007/s12325-026-03638-9, friendlyName=Open Publisher</x:v>
      </x:c>
      <x:c r="AA137" s="28" t="str">
        <x:v>PMCID PMC13499775 present in the PubMed/MEDLINE record.</x:v>
      </x:c>
      <x:c r="AB137" s="28" t="str">
        <x:v>Open the PMC full-text page and use its PDF button/download option.</x:v>
      </x:c>
      <x:c r="AC137" s="26" t="str">
        <x:v>2026-09-20</x:v>
      </x:c>
    </x:row>
    <x:row r="138">
      <x:c r="A138" s="26" t="str">
        <x:v>PUBMED-42470906</x:v>
      </x:c>
      <x:c r="B138" s="28" t="str">
        <x:v>Resting-state functional connectivity alterations in adult ADHD: A systematic review of rs-fMRI studies.</x:v>
      </x:c>
      <x:c r="C138" s="28" t="str">
        <x:v>Kakadiya, Jay; de Macedo, Beatriz A; Vora, Neel; Dhaduk, Vidhi; Lakhani, Dhairya A; Sair, Haris I; Luna, Licia P</x:v>
      </x:c>
      <x:c r="D138" s="28" t="n">
        <x:v>2026</x:v>
      </x:c>
      <x:c r="E138" s="28" t="str">
        <x:v>Psychiatry research. Neuroimaging</x:v>
      </x:c>
      <x:c r="F138" s="28" t="str">
        <x:v>Evidence synthesis - systematic review</x:v>
      </x:c>
      <x:c r="G138" s="28" t="str">
        <x:v>Development &amp; presentation; Recognition &amp; diagnosis; Social &amp; structural</x:v>
      </x:c>
      <x:c r="H138" s="28" t="str">
        <x:v>Adulthood</x:v>
      </x:c>
      <x:c r="I138" s="28" t="str">
        <x:v>not reported/not verified</x:v>
      </x:c>
      <x:c r="J138" s="28" t="str">
        <x:v>not reported</x:v>
      </x:c>
      <x:c r="K138" s="28" t="str">
        <x:v>BACKGROUND: Attention-Deficit/Hyperactivity Disorder (ADHD) often persists into adulthood and causes significant functional impairments.</x:v>
      </x:c>
      <x:c r="L138" s="28" t="str">
        <x:v>10.1016/j.pscychresns.2026.112285</x:v>
      </x:c>
      <x:c r="M138" s="28" t="str">
        <x:v>42470906</x:v>
      </x:c>
      <x:c r="N138" s="31" t="e">
        <x:f>HYPERLINK("https://pubmed.ncbi.nlm.nih.gov/"&amp;M138&amp;"/","Open PubMed")</x:f>
        <x:v>HYPERLINK is not implemented. linkLocation=https://pubmed.ncbi.nlm.nih.gov/42470906/, friendlyName=Open PubMed</x:v>
      </x:c>
      <x:c r="O138" s="31" t="str">
        <x:v>not reported</x:v>
      </x:c>
      <x:c r="P138" s="28" t="str">
        <x:v>abstract only</x:v>
      </x:c>
      <x:c r="Q138" s="28" t="str">
        <x:v>PubMed/MEDLINE export supplied by user | query: not verified from export; see Protocol sheet for reproducible recommended query</x:v>
      </x:c>
      <x:c r="R138" s="28" t="str">
        <x:v>Batch 1 core</x:v>
      </x:c>
      <x:c r="S138" s="28" t="str">
        <x:v>Direct ADHD evidence synthesis/guideline with broad multi-topic relevance.</x:v>
      </x:c>
      <x:c r="T138" s="28" t="str">
        <x:v>not apparent from accessed abstract/metadata</x:v>
      </x:c>
      <x:c r="U138" s="28" t="str">
        <x:v>none identified in MEDLINE record</x:v>
      </x:c>
      <x:c r="V138" s="26" t="str">
        <x:v>not reported</x:v>
      </x:c>
      <x:c r="W138" s="28" t="str">
        <x:v>No PMC copy identified; publisher PDF/access must be checked</x:v>
      </x:c>
      <x:c r="X138" s="28" t="str">
        <x:v>Not verified</x:v>
      </x:c>
      <x:c r="Y138" s="31" t="str">
        <x:f>IF(V138="not reported","not reported",HYPERLINK("https://pmc.ncbi.nlm.nih.gov/articles/"&amp;V138&amp;"/","Open Full Text"))</x:f>
        <x:v>not reported</x:v>
      </x:c>
      <x:c r="Z138" s="31" t="e">
        <x:f>IF(L138="not reported","not reported",HYPERLINK("https://doi.org/"&amp;L138,"Open Publisher"))</x:f>
        <x:v>HYPERLINK is not implemented. linkLocation=https://doi.org/10.1016/j.pscychresns.2026.112285, friendlyName=Open Publisher</x:v>
      </x:c>
      <x:c r="AA138" s="28" t="str">
        <x:v>DOI present in PubMed/MEDLINE; no PMCID present.</x:v>
      </x:c>
      <x:c r="AB138" s="28" t="str">
        <x:v>Open the DOI/publisher page. If PDF is paywalled, try Stony Brook Library access, Article Galaxy, or interlibrary loan.</x:v>
      </x:c>
      <x:c r="AC138" s="26" t="str">
        <x:v>2026-09-20</x:v>
      </x:c>
    </x:row>
    <x:row r="139">
      <x:c r="A139" s="26" t="str">
        <x:v>PUBMED-42419075</x:v>
      </x:c>
      <x:c r="B139" s="28" t="str">
        <x:v>Diagnostic stickiness and shifting relevance: Reassessing autism spectrum disorder (ASD) and/or attention-deficit hyperactivity disorder (ADHD) diagnoses. A qualitative interview study.</x:v>
      </x:c>
      <x:c r="C139" s="28" t="str">
        <x:v>Lindkvist, Rose-Marie; Niklasson, Katalin; Lidström, Allan; Nilsson, Michelle; Eberhard, Sophia; Gustafsson, Peik; Lundström, Sebastian; Råstam, Maria; Eriksson, Lena</x:v>
      </x:c>
      <x:c r="D139" s="28" t="n">
        <x:v>2026</x:v>
      </x:c>
      <x:c r="E139" s="28" t="str">
        <x:v>Social science &amp; medicine (1982)</x:v>
      </x:c>
      <x:c r="F139" s="28" t="str">
        <x:v>Primary study - qualitative</x:v>
      </x:c>
      <x:c r="G139" s="28" t="str">
        <x:v>Development &amp; presentation; Recognition &amp; diagnosis; Family &amp; education; Social &amp; structural; Life outcomes &amp; lived experience</x:v>
      </x:c>
      <x:c r="H139" s="28" t="str">
        <x:v>Childhood; Adolescence; Adulthood; aged 17-30 years</x:v>
      </x:c>
      <x:c r="I139" s="28" t="str">
        <x:v>Geography (MeSH): Sweden</x:v>
      </x:c>
      <x:c r="J139" s="28" t="str">
        <x:v>not reported</x:v>
      </x:c>
      <x:c r="K139" s="28" t="str">
        <x:v>This study explores the perspectives of individuals who actively sought to have ASD and/or ADHD diagnoses reassessed.</x:v>
      </x:c>
      <x:c r="L139" s="28" t="str">
        <x:v>10.1016/j.socscimed.2026.119549</x:v>
      </x:c>
      <x:c r="M139" s="28" t="str">
        <x:v>42419075</x:v>
      </x:c>
      <x:c r="N139" s="31" t="e">
        <x:f>HYPERLINK("https://pubmed.ncbi.nlm.nih.gov/"&amp;M139&amp;"/","Open PubMed")</x:f>
        <x:v>HYPERLINK is not implemented. linkLocation=https://pubmed.ncbi.nlm.nih.gov/42419075/, friendlyName=Open PubMed</x:v>
      </x:c>
      <x:c r="O139" s="31" t="str">
        <x:v>not reported</x:v>
      </x:c>
      <x:c r="P139" s="28" t="str">
        <x:v>abstract only</x:v>
      </x:c>
      <x:c r="Q139" s="28" t="str">
        <x:v>PubMed/MEDLINE export supplied by user | query: not verified from export; see Protocol sheet for reproducible recommended query</x:v>
      </x:c>
      <x:c r="R139" s="28" t="str">
        <x:v>Batch 1 core</x:v>
      </x:c>
      <x:c r="S139" s="28" t="str">
        <x:v>Direct ADHD primary study on diagnosis, family/education, structural conditions, lived experience/outcomes, or environment/lifestyle.</x:v>
      </x:c>
      <x:c r="T139" s="28" t="str">
        <x:v>not apparent from accessed abstract/metadata</x:v>
      </x:c>
      <x:c r="U139" s="28" t="str">
        <x:v>none identified in MEDLINE record</x:v>
      </x:c>
      <x:c r="V139" s="26" t="str">
        <x:v>not reported</x:v>
      </x:c>
      <x:c r="W139" s="28" t="str">
        <x:v>No PMC copy identified; publisher PDF/access must be checked</x:v>
      </x:c>
      <x:c r="X139" s="28" t="str">
        <x:v>Not verified</x:v>
      </x:c>
      <x:c r="Y139" s="31" t="str">
        <x:f>IF(V139="not reported","not reported",HYPERLINK("https://pmc.ncbi.nlm.nih.gov/articles/"&amp;V139&amp;"/","Open Full Text"))</x:f>
        <x:v>not reported</x:v>
      </x:c>
      <x:c r="Z139" s="31" t="e">
        <x:f>IF(L139="not reported","not reported",HYPERLINK("https://doi.org/"&amp;L139,"Open Publisher"))</x:f>
        <x:v>HYPERLINK is not implemented. linkLocation=https://doi.org/10.1016/j.socscimed.2026.119549, friendlyName=Open Publisher</x:v>
      </x:c>
      <x:c r="AA139" s="28" t="str">
        <x:v>DOI present in PubMed/MEDLINE; no PMCID present.</x:v>
      </x:c>
      <x:c r="AB139" s="28" t="str">
        <x:v>Open the DOI/publisher page. If PDF is paywalled, try Stony Brook Library access, Article Galaxy, or interlibrary loan.</x:v>
      </x:c>
      <x:c r="AC139" s="26" t="str">
        <x:v>2026-09-20</x:v>
      </x:c>
    </x:row>
    <x:row r="140">
      <x:c r="A140" s="26" t="str">
        <x:v>PUBMED-42709718</x:v>
      </x:c>
      <x:c r="B140" s="28" t="str">
        <x:v>Autism and ADHD social media short-form video content: A systematic review protocol.</x:v>
      </x:c>
      <x:c r="C140" s="28" t="str">
        <x:v>Karasavva, Vasileia; Mikami, Amori Yee</x:v>
      </x:c>
      <x:c r="D140" s="28" t="n">
        <x:v>2026</x:v>
      </x:c>
      <x:c r="E140" s="28" t="str">
        <x:v>PloS one</x:v>
      </x:c>
      <x:c r="F140" s="28" t="str">
        <x:v>Evidence synthesis - meta-analysis</x:v>
      </x:c>
      <x:c r="G140" s="28" t="str">
        <x:v>Development &amp; presentation; Recognition &amp; diagnosis; Social &amp; structural; Environmental &amp; lifestyle; Treatment &amp; support; Life outcomes &amp; lived experience; Historical &amp; contemporary context</x:v>
      </x:c>
      <x:c r="H140" s="28" t="str">
        <x:v>Adulthood</x:v>
      </x:c>
      <x:c r="I140" s="28" t="str">
        <x:v>not reported/not verified</x:v>
      </x:c>
      <x:c r="J140" s="28" t="str">
        <x:v>not reported</x:v>
      </x:c>
      <x:c r="K140" s="28" t="str">
        <x:v>OBJECTIVES: 1) Describe the popularity and characteristics of ADHD and ASD short-form video content, 2) Evaluate the extent to which it follows clinical guidelines, 3) Explore its impacts on stigma, treatment- and diagnosis-seeking, and symptom perceptions.</x:v>
      </x:c>
      <x:c r="L140" s="28" t="str">
        <x:v>10.1371/journal.pone.0357837</x:v>
      </x:c>
      <x:c r="M140" s="28" t="str">
        <x:v>42709718</x:v>
      </x:c>
      <x:c r="N140" s="31" t="e">
        <x:f>HYPERLINK("https://pubmed.ncbi.nlm.nih.gov/"&amp;M140&amp;"/","Open PubMed")</x:f>
        <x:v>HYPERLINK is not implemented. linkLocation=https://pubmed.ncbi.nlm.nih.gov/42709718/, friendlyName=Open PubMed</x:v>
      </x:c>
      <x:c r="O140" s="31" t="e">
        <x:f>HYPERLINK("https://pmc.ncbi.nlm.nih.gov/articles/PMC13552790/","Open Full Text")</x:f>
        <x:v>HYPERLINK is not implemented. linkLocation=https://pmc.ncbi.nlm.nih.gov/articles/PMC13552790/, friendlyName=Open Full Text</x:v>
      </x:c>
      <x:c r="P140" s="28" t="str">
        <x:v>abstract only</x:v>
      </x:c>
      <x:c r="Q140" s="28" t="str">
        <x:v>PubMed/MEDLINE export supplied by user | query: not verified from export; see Protocol sheet for reproducible recommended query</x:v>
      </x:c>
      <x:c r="R140" s="28" t="str">
        <x:v>Batch 1 core</x:v>
      </x:c>
      <x:c r="S140" s="28" t="str">
        <x:v>Direct ADHD evidence synthesis/guideline with broad multi-topic relevance.</x:v>
      </x:c>
      <x:c r="T140" s="28" t="str">
        <x:v>not apparent from accessed abstract/metadata</x:v>
      </x:c>
      <x:c r="U140" s="28" t="str">
        <x:v>none identified in MEDLINE record</x:v>
      </x:c>
      <x:c r="V140" s="26" t="str">
        <x:v>PMC13552790</x:v>
      </x:c>
      <x:c r="W140" s="28" t="str">
        <x:v>PDF available via PMC (verified free full text)</x:v>
      </x:c>
      <x:c r="X140" s="28" t="str">
        <x:v>Yes — PMC</x:v>
      </x:c>
      <x:c r="Y140" s="31" t="e">
        <x:f>IF(V140="not reported","not reported",HYPERLINK("https://pmc.ncbi.nlm.nih.gov/articles/"&amp;V140&amp;"/","Open Full Text"))</x:f>
        <x:v>HYPERLINK is not implemented. linkLocation=https://pmc.ncbi.nlm.nih.gov/articles/PMC13552790/, friendlyName=Open Full Text</x:v>
      </x:c>
      <x:c r="Z140" s="31" t="e">
        <x:f>IF(L140="not reported","not reported",HYPERLINK("https://doi.org/"&amp;L140,"Open Publisher"))</x:f>
        <x:v>HYPERLINK is not implemented. linkLocation=https://doi.org/10.1371/journal.pone.0357837, friendlyName=Open Publisher</x:v>
      </x:c>
      <x:c r="AA140" s="28" t="str">
        <x:v>PMCID PMC13552790 present in the PubMed/MEDLINE record.</x:v>
      </x:c>
      <x:c r="AB140" s="28" t="str">
        <x:v>Open the PMC full-text page and use its PDF button/download option.</x:v>
      </x:c>
      <x:c r="AC140" s="26" t="str">
        <x:v>2026-09-20</x:v>
      </x:c>
    </x:row>
    <x:row r="141">
      <x:c r="A141" s="26" t="str">
        <x:v>PUBMED-42667457</x:v>
      </x:c>
      <x:c r="B141" s="28" t="str">
        <x:v>Off-Time Puberty in Autism Spectrum Disorder and ADHD: A Scoping Review of Pubertal Timing, Social Cognition, and Psychopathological Risk.</x:v>
      </x:c>
      <x:c r="C141" s="28" t="str">
        <x:v>Sahin, Berkan</x:v>
      </x:c>
      <x:c r="D141" s="28" t="n">
        <x:v>2026</x:v>
      </x:c>
      <x:c r="E141" s="28" t="str">
        <x:v>Research on child and adolescent psychopathology</x:v>
      </x:c>
      <x:c r="F141" s="28" t="str">
        <x:v>Evidence synthesis - review</x:v>
      </x:c>
      <x:c r="G141" s="28" t="str">
        <x:v>Development &amp; presentation; Social &amp; structural; Life outcomes &amp; lived experience</x:v>
      </x:c>
      <x:c r="H141" s="28" t="str">
        <x:v>Childhood; Adolescence</x:v>
      </x:c>
      <x:c r="I141" s="28" t="str">
        <x:v>not reported/not verified</x:v>
      </x:c>
      <x:c r="J141" s="28" t="str">
        <x:v>2016-2026</x:v>
      </x:c>
      <x:c r="K141" s="28" t="str">
        <x:v>Off-time pubertal development defined as pubertal onset or progression deviating meaningfully from age- and sex-matched normative expectations confers heightened risk for internalizing and externalizing psychopathology during adolescence.</x:v>
      </x:c>
      <x:c r="L141" s="28" t="str">
        <x:v>10.1007/s10802-026-01488-1</x:v>
      </x:c>
      <x:c r="M141" s="28" t="str">
        <x:v>42667457</x:v>
      </x:c>
      <x:c r="N141" s="31" t="e">
        <x:f>HYPERLINK("https://pubmed.ncbi.nlm.nih.gov/"&amp;M141&amp;"/","Open PubMed")</x:f>
        <x:v>HYPERLINK is not implemented. linkLocation=https://pubmed.ncbi.nlm.nih.gov/42667457/, friendlyName=Open PubMed</x:v>
      </x:c>
      <x:c r="O141" s="31" t="str">
        <x:v>not reported</x:v>
      </x:c>
      <x:c r="P141" s="28" t="str">
        <x:v>abstract only</x:v>
      </x:c>
      <x:c r="Q141" s="28" t="str">
        <x:v>PubMed/MEDLINE export supplied by user | query: not verified from export; see Protocol sheet for reproducible recommended query</x:v>
      </x:c>
      <x:c r="R141" s="28" t="str">
        <x:v>Batch 1 core</x:v>
      </x:c>
      <x:c r="S141" s="28" t="str">
        <x:v>Direct ADHD evidence synthesis/guideline with broad multi-topic relevance.</x:v>
      </x:c>
      <x:c r="T141" s="28" t="str">
        <x:v>not apparent from accessed abstract/metadata</x:v>
      </x:c>
      <x:c r="U141" s="28" t="str">
        <x:v>none identified in MEDLINE record</x:v>
      </x:c>
      <x:c r="V141" s="26" t="str">
        <x:v>not reported</x:v>
      </x:c>
      <x:c r="W141" s="28" t="str">
        <x:v>No PMC copy identified; publisher PDF/access must be checked</x:v>
      </x:c>
      <x:c r="X141" s="28" t="str">
        <x:v>Not verified</x:v>
      </x:c>
      <x:c r="Y141" s="31" t="str">
        <x:f>IF(V141="not reported","not reported",HYPERLINK("https://pmc.ncbi.nlm.nih.gov/articles/"&amp;V141&amp;"/","Open Full Text"))</x:f>
        <x:v>not reported</x:v>
      </x:c>
      <x:c r="Z141" s="31" t="e">
        <x:f>IF(L141="not reported","not reported",HYPERLINK("https://doi.org/"&amp;L141,"Open Publisher"))</x:f>
        <x:v>HYPERLINK is not implemented. linkLocation=https://doi.org/10.1007/s10802-026-01488-1, friendlyName=Open Publisher</x:v>
      </x:c>
      <x:c r="AA141" s="28" t="str">
        <x:v>DOI present in PubMed/MEDLINE; no PMCID present.</x:v>
      </x:c>
      <x:c r="AB141" s="28" t="str">
        <x:v>Open the DOI/publisher page. If PDF is paywalled, try Stony Brook Library access, Article Galaxy, or interlibrary loan.</x:v>
      </x:c>
      <x:c r="AC141" s="26" t="str">
        <x:v>2026-09-20</x:v>
      </x:c>
    </x:row>
    <x:row r="142">
      <x:c r="A142" s="26" t="str">
        <x:v>PUBMED-42449456</x:v>
      </x:c>
      <x:c r="B142" s="28" t="str">
        <x:v>Problematic digital use in adolescents with ADHD: impulsivity, obsessive-compulsive symptoms, and perceived cognitive flexibility.</x:v>
      </x:c>
      <x:c r="C142" s="28" t="str">
        <x:v>Altun Varmış, Dilek; Binokay, Hülya; Güneş, Serkan; Yüksekkaya, Cumali; Yüce Antepüzümü, Elif Gözde; Çiloğulları, Emine; Atay, Gülsevinç; Şefik, Pınar; İnce, Nazmiye</x:v>
      </x:c>
      <x:c r="D142" s="28" t="n">
        <x:v>2026</x:v>
      </x:c>
      <x:c r="E142" s="28" t="str">
        <x:v>BMC psychology</x:v>
      </x:c>
      <x:c r="F142" s="28" t="str">
        <x:v>Primary study - case-control</x:v>
      </x:c>
      <x:c r="G142" s="28" t="str">
        <x:v>Development &amp; presentation; Recognition &amp; diagnosis; Family &amp; education; Social &amp; structural; Environmental &amp; lifestyle; Treatment &amp; support; Historical &amp; contemporary context</x:v>
      </x:c>
      <x:c r="H142" s="28" t="str">
        <x:v>Childhood; Adolescence; aged 12-18 years</x:v>
      </x:c>
      <x:c r="I142" s="28" t="str">
        <x:v>not reported/not verified</x:v>
      </x:c>
      <x:c r="J142" s="28" t="str">
        <x:v>not reported</x:v>
      </x:c>
      <x:c r="K142" s="28" t="str">
        <x:v>BACKGROUND: Adolescents with attention-deficit/hyperactivity disorder (ADHD) are at risk for problematic digital use (PDU), which is better characterised by loss of control and functional impairment than by screen time alone.</x:v>
      </x:c>
      <x:c r="L142" s="28" t="str">
        <x:v>10.1186/s40359-026-05200-2</x:v>
      </x:c>
      <x:c r="M142" s="28" t="str">
        <x:v>42449456</x:v>
      </x:c>
      <x:c r="N142" s="31" t="e">
        <x:f>HYPERLINK("https://pubmed.ncbi.nlm.nih.gov/"&amp;M142&amp;"/","Open PubMed")</x:f>
        <x:v>HYPERLINK is not implemented. linkLocation=https://pubmed.ncbi.nlm.nih.gov/42449456/, friendlyName=Open PubMed</x:v>
      </x:c>
      <x:c r="O142" s="31" t="e">
        <x:f>HYPERLINK("https://pmc.ncbi.nlm.nih.gov/articles/PMC13495192/","Open Full Text")</x:f>
        <x:v>HYPERLINK is not implemented. linkLocation=https://pmc.ncbi.nlm.nih.gov/articles/PMC13495192/, friendlyName=Open Full Text</x:v>
      </x:c>
      <x:c r="P142" s="28" t="str">
        <x:v>abstract only</x:v>
      </x:c>
      <x:c r="Q142" s="28" t="str">
        <x:v>PubMed/MEDLINE export supplied by user | query: not verified from export; see Protocol sheet for reproducible recommended query</x:v>
      </x:c>
      <x:c r="R142" s="28" t="str">
        <x:v>Batch 1 core</x:v>
      </x:c>
      <x:c r="S142" s="28" t="str">
        <x:v>Direct ADHD primary study on diagnosis, family/education, structural conditions, lived experience/outcomes, or environment/lifestyle.</x:v>
      </x:c>
      <x:c r="T142" s="28" t="str">
        <x:v>not apparent from accessed abstract/metadata</x:v>
      </x:c>
      <x:c r="U142" s="28" t="str">
        <x:v>none identified in MEDLINE record</x:v>
      </x:c>
      <x:c r="V142" s="26" t="str">
        <x:v>PMC13495192</x:v>
      </x:c>
      <x:c r="W142" s="28" t="str">
        <x:v>PDF available via PMC (verified free full text)</x:v>
      </x:c>
      <x:c r="X142" s="28" t="str">
        <x:v>Yes — PMC</x:v>
      </x:c>
      <x:c r="Y142" s="31" t="e">
        <x:f>IF(V142="not reported","not reported",HYPERLINK("https://pmc.ncbi.nlm.nih.gov/articles/"&amp;V142&amp;"/","Open Full Text"))</x:f>
        <x:v>HYPERLINK is not implemented. linkLocation=https://pmc.ncbi.nlm.nih.gov/articles/PMC13495192/, friendlyName=Open Full Text</x:v>
      </x:c>
      <x:c r="Z142" s="31" t="e">
        <x:f>IF(L142="not reported","not reported",HYPERLINK("https://doi.org/"&amp;L142,"Open Publisher"))</x:f>
        <x:v>HYPERLINK is not implemented. linkLocation=https://doi.org/10.1186/s40359-026-05200-2, friendlyName=Open Publisher</x:v>
      </x:c>
      <x:c r="AA142" s="28" t="str">
        <x:v>PMCID PMC13495192 present in the PubMed/MEDLINE record.</x:v>
      </x:c>
      <x:c r="AB142" s="28" t="str">
        <x:v>Open the PMC full-text page and use its PDF button/download option.</x:v>
      </x:c>
      <x:c r="AC142" s="26" t="str">
        <x:v>2026-09-20</x:v>
      </x:c>
    </x:row>
    <x:row r="143">
      <x:c r="A143" s="26" t="str">
        <x:v>PUBMED-41894523</x:v>
      </x:c>
      <x:c r="B143" s="28" t="str">
        <x:v>Measuring Accuracy (Classification Probabilities, Positive, and Negative Predictive Values) of Executive Function Electroencephalogram Metrics in Attention-Deficit/Hyperactivity Disorder Diagnosis: Protocol for and Perspectives From the SINCRONIA Study.</x:v>
      </x:c>
      <x:c r="C143" s="28" t="str">
        <x:v>Blasco-Fontecilla, Hilario; Sánchez-Cerezo, Javier; Gómez, Irene; Abreu-Fernández, Georgelina; Ortiz, Sandra; Villoria, Jesús F; Blanco, Miguel; García, Ana; Ballesteros, Julia; Martínez, Roldán; Gálvez, Gerardo; Maestú, Fernando; López-Medrano, Álvaro</x:v>
      </x:c>
      <x:c r="D143" s="28" t="n">
        <x:v>2026</x:v>
      </x:c>
      <x:c r="E143" s="28" t="str">
        <x:v>JMIR research protocols</x:v>
      </x:c>
      <x:c r="F143" s="28" t="str">
        <x:v>Primary study - case-control</x:v>
      </x:c>
      <x:c r="G143" s="28" t="str">
        <x:v>Development &amp; presentation; Recognition &amp; diagnosis; Family &amp; education; Social &amp; structural</x:v>
      </x:c>
      <x:c r="H143" s="28" t="str">
        <x:v>Childhood; Adulthood</x:v>
      </x:c>
      <x:c r="I143" s="28" t="str">
        <x:v>Geography (MeSH): Spain</x:v>
      </x:c>
      <x:c r="J143" s="28" t="str">
        <x:v>not reported</x:v>
      </x:c>
      <x:c r="K143" s="28" t="str">
        <x:v>OBJECTIVE: The SINCRONIA study seeks to develop and optimize an electroencephalogram (EEG)-based ADHD diagnostic classification algorithm by identifying biomarkers that provide optimal diagnostic performance.</x:v>
      </x:c>
      <x:c r="L143" s="28" t="str">
        <x:v>10.2196/79150</x:v>
      </x:c>
      <x:c r="M143" s="28" t="str">
        <x:v>41894523</x:v>
      </x:c>
      <x:c r="N143" s="31" t="e">
        <x:f>HYPERLINK("https://pubmed.ncbi.nlm.nih.gov/"&amp;M143&amp;"/","Open PubMed")</x:f>
        <x:v>HYPERLINK is not implemented. linkLocation=https://pubmed.ncbi.nlm.nih.gov/41894523/, friendlyName=Open PubMed</x:v>
      </x:c>
      <x:c r="O143" s="31" t="e">
        <x:f>HYPERLINK("https://pmc.ncbi.nlm.nih.gov/articles/PMC13033445/","Open Full Text")</x:f>
        <x:v>HYPERLINK is not implemented. linkLocation=https://pmc.ncbi.nlm.nih.gov/articles/PMC13033445/, friendlyName=Open Full Text</x:v>
      </x:c>
      <x:c r="P143" s="28" t="str">
        <x:v>abstract only</x:v>
      </x:c>
      <x:c r="Q143" s="28" t="str">
        <x:v>PubMed/MEDLINE export supplied by user | query: not verified from export; see Protocol sheet for reproducible recommended query</x:v>
      </x:c>
      <x:c r="R143" s="28" t="str">
        <x:v>Batch 1 core</x:v>
      </x:c>
      <x:c r="S143" s="28" t="str">
        <x:v>Direct ADHD primary study on diagnosis, family/education, structural conditions, lived experience/outcomes, or environment/lifestyle.</x:v>
      </x:c>
      <x:c r="T143" s="28" t="str">
        <x:v>not apparent from accessed abstract/metadata</x:v>
      </x:c>
      <x:c r="U143" s="28" t="str">
        <x:v>none identified in MEDLINE record</x:v>
      </x:c>
      <x:c r="V143" s="26" t="str">
        <x:v>PMC13033445</x:v>
      </x:c>
      <x:c r="W143" s="28" t="str">
        <x:v>PDF available via PMC (verified free full text)</x:v>
      </x:c>
      <x:c r="X143" s="28" t="str">
        <x:v>Yes — PMC</x:v>
      </x:c>
      <x:c r="Y143" s="31" t="e">
        <x:f>IF(V143="not reported","not reported",HYPERLINK("https://pmc.ncbi.nlm.nih.gov/articles/"&amp;V143&amp;"/","Open Full Text"))</x:f>
        <x:v>HYPERLINK is not implemented. linkLocation=https://pmc.ncbi.nlm.nih.gov/articles/PMC13033445/, friendlyName=Open Full Text</x:v>
      </x:c>
      <x:c r="Z143" s="31" t="e">
        <x:f>IF(L143="not reported","not reported",HYPERLINK("https://doi.org/"&amp;L143,"Open Publisher"))</x:f>
        <x:v>HYPERLINK is not implemented. linkLocation=https://doi.org/10.2196/79150, friendlyName=Open Publisher</x:v>
      </x:c>
      <x:c r="AA143" s="28" t="str">
        <x:v>PMCID PMC13033445 present in the PubMed/MEDLINE record.</x:v>
      </x:c>
      <x:c r="AB143" s="28" t="str">
        <x:v>Open the PMC full-text page and use its PDF button/download option.</x:v>
      </x:c>
      <x:c r="AC143" s="26" t="str">
        <x:v>2026-09-20</x:v>
      </x:c>
    </x:row>
    <x:row r="144">
      <x:c r="A144" s="26" t="str">
        <x:v>PUBMED-42184802</x:v>
      </x:c>
      <x:c r="B144" s="28" t="str">
        <x:v>The relationship between ADHD, OCD, and problematic social media use.</x:v>
      </x:c>
      <x:c r="C144" s="28" t="str">
        <x:v>Hawi, Nazir S; Samaha, Maya; Shaffu, Emma</x:v>
      </x:c>
      <x:c r="D144" s="28" t="n">
        <x:v>2026</x:v>
      </x:c>
      <x:c r="E144" s="28" t="str">
        <x:v>Acta psychologica</x:v>
      </x:c>
      <x:c r="F144" s="28" t="str">
        <x:v>Primary study - cross-sectional</x:v>
      </x:c>
      <x:c r="G144" s="28" t="str">
        <x:v>Development &amp; presentation; Social &amp; structural; Environmental &amp; lifestyle; Life outcomes &amp; lived experience; Historical &amp; contemporary context</x:v>
      </x:c>
      <x:c r="H144" s="28" t="str">
        <x:v>Adolescence; Adulthood</x:v>
      </x:c>
      <x:c r="I144" s="28" t="str">
        <x:v>Geography (MeSH): Lebanon</x:v>
      </x:c>
      <x:c r="J144" s="28" t="str">
        <x:v>not reported</x:v>
      </x:c>
      <x:c r="K144" s="28" t="str">
        <x:v>Problematic social media use (PSMU) has increasingly been conceptualized as an addiction-like pattern of online engagement characterized by impaired control and continued use despite negative consequences.</x:v>
      </x:c>
      <x:c r="L144" s="28" t="str">
        <x:v>10.1016/j.actpsy.2026.107134</x:v>
      </x:c>
      <x:c r="M144" s="28" t="str">
        <x:v>42184802</x:v>
      </x:c>
      <x:c r="N144" s="31" t="e">
        <x:f>HYPERLINK("https://pubmed.ncbi.nlm.nih.gov/"&amp;M144&amp;"/","Open PubMed")</x:f>
        <x:v>HYPERLINK is not implemented. linkLocation=https://pubmed.ncbi.nlm.nih.gov/42184802/, friendlyName=Open PubMed</x:v>
      </x:c>
      <x:c r="O144" s="31" t="str">
        <x:v>not reported</x:v>
      </x:c>
      <x:c r="P144" s="28" t="str">
        <x:v>abstract only</x:v>
      </x:c>
      <x:c r="Q144" s="28" t="str">
        <x:v>PubMed/MEDLINE export supplied by user | query: not verified from export; see Protocol sheet for reproducible recommended query</x:v>
      </x:c>
      <x:c r="R144" s="28" t="str">
        <x:v>Batch 1 core</x:v>
      </x:c>
      <x:c r="S144" s="28" t="str">
        <x:v>Direct ADHD primary study on diagnosis, family/education, structural conditions, lived experience/outcomes, or environment/lifestyle.</x:v>
      </x:c>
      <x:c r="T144" s="28" t="str">
        <x:v>not apparent from accessed abstract/metadata</x:v>
      </x:c>
      <x:c r="U144" s="28" t="str">
        <x:v>none identified in MEDLINE record</x:v>
      </x:c>
      <x:c r="V144" s="26" t="str">
        <x:v>not reported</x:v>
      </x:c>
      <x:c r="W144" s="28" t="str">
        <x:v>No PMC copy identified; publisher PDF/access must be checked</x:v>
      </x:c>
      <x:c r="X144" s="28" t="str">
        <x:v>Not verified</x:v>
      </x:c>
      <x:c r="Y144" s="31" t="str">
        <x:f>IF(V144="not reported","not reported",HYPERLINK("https://pmc.ncbi.nlm.nih.gov/articles/"&amp;V144&amp;"/","Open Full Text"))</x:f>
        <x:v>not reported</x:v>
      </x:c>
      <x:c r="Z144" s="31" t="e">
        <x:f>IF(L144="not reported","not reported",HYPERLINK("https://doi.org/"&amp;L144,"Open Publisher"))</x:f>
        <x:v>HYPERLINK is not implemented. linkLocation=https://doi.org/10.1016/j.actpsy.2026.107134, friendlyName=Open Publisher</x:v>
      </x:c>
      <x:c r="AA144" s="28" t="str">
        <x:v>DOI present in PubMed/MEDLINE; no PMCID present.</x:v>
      </x:c>
      <x:c r="AB144" s="28" t="str">
        <x:v>Open the DOI/publisher page. If PDF is paywalled, try Stony Brook Library access, Article Galaxy, or interlibrary loan.</x:v>
      </x:c>
      <x:c r="AC144" s="26" t="str">
        <x:v>2026-09-20</x:v>
      </x:c>
    </x:row>
    <x:row r="145">
      <x:c r="A145" s="26" t="str">
        <x:v>PUBMED-42566631</x:v>
      </x:c>
      <x:c r="B145" s="28" t="str">
        <x:v>Quality assessment of ADHD-related short videos on Chinese social media: A cross-sectional study.</x:v>
      </x:c>
      <x:c r="C145" s="28" t="str">
        <x:v>Zou, Pinfang; Chen, Si; Xiang, Junlu; Zhou, Wenzhi; Yang, Xiaorong</x:v>
      </x:c>
      <x:c r="D145" s="28" t="n">
        <x:v>2026</x:v>
      </x:c>
      <x:c r="E145" s="28" t="str">
        <x:v>Medicine</x:v>
      </x:c>
      <x:c r="F145" s="28" t="str">
        <x:v>Primary study - cross-sectional</x:v>
      </x:c>
      <x:c r="G145" s="28" t="str">
        <x:v>Development &amp; presentation; Recognition &amp; diagnosis; Social &amp; structural; Environmental &amp; lifestyle; Historical &amp; contemporary context</x:v>
      </x:c>
      <x:c r="H145" s="28" t="str">
        <x:v>Not specified</x:v>
      </x:c>
      <x:c r="I145" s="28" t="str">
        <x:v>Geography (MeSH): China</x:v>
      </x:c>
      <x:c r="J145" s="28" t="str">
        <x:v>not reported</x:v>
      </x:c>
      <x:c r="K145" s="28" t="str">
        <x:v>Short videos on health information related to Attention-Deficit/Hyperactivity Disorder (ADHD) on mainstream platforms in China are increasing; however, the quality of relevant content has not been systematically evaluated.</x:v>
      </x:c>
      <x:c r="L145" s="28" t="str">
        <x:v>10.1097/MD.0000000000050044</x:v>
      </x:c>
      <x:c r="M145" s="28" t="str">
        <x:v>42566631</x:v>
      </x:c>
      <x:c r="N145" s="31" t="e">
        <x:f>HYPERLINK("https://pubmed.ncbi.nlm.nih.gov/"&amp;M145&amp;"/","Open PubMed")</x:f>
        <x:v>HYPERLINK is not implemented. linkLocation=https://pubmed.ncbi.nlm.nih.gov/42566631/, friendlyName=Open PubMed</x:v>
      </x:c>
      <x:c r="O145" s="31" t="e">
        <x:f>HYPERLINK("https://pmc.ncbi.nlm.nih.gov/articles/PMC13456716/","Open Full Text")</x:f>
        <x:v>HYPERLINK is not implemented. linkLocation=https://pmc.ncbi.nlm.nih.gov/articles/PMC13456716/, friendlyName=Open Full Text</x:v>
      </x:c>
      <x:c r="P145" s="28" t="str">
        <x:v>abstract only</x:v>
      </x:c>
      <x:c r="Q145" s="28" t="str">
        <x:v>PubMed/MEDLINE export supplied by user | query: not verified from export; see Protocol sheet for reproducible recommended query</x:v>
      </x:c>
      <x:c r="R145" s="28" t="str">
        <x:v>Batch 1 core</x:v>
      </x:c>
      <x:c r="S145" s="28" t="str">
        <x:v>Direct ADHD primary study on diagnosis, family/education, structural conditions, lived experience/outcomes, or environment/lifestyle.</x:v>
      </x:c>
      <x:c r="T145" s="28" t="str">
        <x:v>not apparent from accessed abstract/metadata</x:v>
      </x:c>
      <x:c r="U145" s="28" t="str">
        <x:v>none identified in MEDLINE record</x:v>
      </x:c>
      <x:c r="V145" s="26" t="str">
        <x:v>PMC13456716</x:v>
      </x:c>
      <x:c r="W145" s="28" t="str">
        <x:v>PDF available via PMC (verified free full text)</x:v>
      </x:c>
      <x:c r="X145" s="28" t="str">
        <x:v>Yes — PMC</x:v>
      </x:c>
      <x:c r="Y145" s="31" t="e">
        <x:f>IF(V145="not reported","not reported",HYPERLINK("https://pmc.ncbi.nlm.nih.gov/articles/"&amp;V145&amp;"/","Open Full Text"))</x:f>
        <x:v>HYPERLINK is not implemented. linkLocation=https://pmc.ncbi.nlm.nih.gov/articles/PMC13456716/, friendlyName=Open Full Text</x:v>
      </x:c>
      <x:c r="Z145" s="31" t="e">
        <x:f>IF(L145="not reported","not reported",HYPERLINK("https://doi.org/"&amp;L145,"Open Publisher"))</x:f>
        <x:v>HYPERLINK is not implemented. linkLocation=https://doi.org/10.1097/MD.0000000000050044, friendlyName=Open Publisher</x:v>
      </x:c>
      <x:c r="AA145" s="28" t="str">
        <x:v>PMCID PMC13456716 present in the PubMed/MEDLINE record.</x:v>
      </x:c>
      <x:c r="AB145" s="28" t="str">
        <x:v>Open the PMC full-text page and use its PDF button/download option.</x:v>
      </x:c>
      <x:c r="AC145" s="26" t="str">
        <x:v>2026-09-20</x:v>
      </x:c>
    </x:row>
    <x:row r="146">
      <x:c r="A146" s="26" t="str">
        <x:v>PUBMED-42400277</x:v>
      </x:c>
      <x:c r="B146" s="28" t="str">
        <x:v>Symptoms of Anxiety in Adults with ADHD: A Systematic Review and Meta-Analysis of Case-Control Studies.</x:v>
      </x:c>
      <x:c r="C146" s="28" t="str">
        <x:v>Hoskins, Jessica I; Gooch, Debbie; Gilligan-Lee, Katie A</x:v>
      </x:c>
      <x:c r="D146" s="28" t="n">
        <x:v>2026</x:v>
      </x:c>
      <x:c r="E146" s="28" t="str">
        <x:v>Journal of attention disorders</x:v>
      </x:c>
      <x:c r="F146" s="28" t="str">
        <x:v>Evidence synthesis - meta-analysis</x:v>
      </x:c>
      <x:c r="G146" s="28" t="str">
        <x:v>Development &amp; presentation; Recognition &amp; diagnosis; Social &amp; structural; Treatment &amp; support; Life outcomes &amp; lived experience</x:v>
      </x:c>
      <x:c r="H146" s="28" t="str">
        <x:v>Adulthood</x:v>
      </x:c>
      <x:c r="I146" s="28" t="str">
        <x:v>not reported/not verified</x:v>
      </x:c>
      <x:c r="J146" s="28" t="str">
        <x:v>not reported</x:v>
      </x:c>
      <x:c r="K146" s="28" t="str">
        <x:v>OBJECTIVE: Research suggests there is a higher prevalence of anxiety in individuals with ADHD compared to those without ADHD.</x:v>
      </x:c>
      <x:c r="L146" s="28" t="str">
        <x:v>10.1177/10870547261459712</x:v>
      </x:c>
      <x:c r="M146" s="28" t="str">
        <x:v>42400277</x:v>
      </x:c>
      <x:c r="N146" s="31" t="e">
        <x:f>HYPERLINK("https://pubmed.ncbi.nlm.nih.gov/"&amp;M146&amp;"/","Open PubMed")</x:f>
        <x:v>HYPERLINK is not implemented. linkLocation=https://pubmed.ncbi.nlm.nih.gov/42400277/, friendlyName=Open PubMed</x:v>
      </x:c>
      <x:c r="O146" s="31" t="e">
        <x:f>HYPERLINK("https://pmc.ncbi.nlm.nih.gov/articles/PMC13538915/","Open Full Text")</x:f>
        <x:v>HYPERLINK is not implemented. linkLocation=https://pmc.ncbi.nlm.nih.gov/articles/PMC13538915/, friendlyName=Open Full Text</x:v>
      </x:c>
      <x:c r="P146" s="28" t="str">
        <x:v>abstract only</x:v>
      </x:c>
      <x:c r="Q146" s="28" t="str">
        <x:v>PubMed/MEDLINE export supplied by user | query: not verified from export; see Protocol sheet for reproducible recommended query</x:v>
      </x:c>
      <x:c r="R146" s="28" t="str">
        <x:v>Batch 1 core</x:v>
      </x:c>
      <x:c r="S146" s="28" t="str">
        <x:v>Direct ADHD evidence synthesis/guideline with broad multi-topic relevance.</x:v>
      </x:c>
      <x:c r="T146" s="28" t="str">
        <x:v>not apparent from accessed abstract/metadata</x:v>
      </x:c>
      <x:c r="U146" s="28" t="str">
        <x:v>none identified in MEDLINE record</x:v>
      </x:c>
      <x:c r="V146" s="26" t="str">
        <x:v>PMC13538915</x:v>
      </x:c>
      <x:c r="W146" s="28" t="str">
        <x:v>PDF available via PMC (verified free full text)</x:v>
      </x:c>
      <x:c r="X146" s="28" t="str">
        <x:v>Yes — PMC</x:v>
      </x:c>
      <x:c r="Y146" s="31" t="e">
        <x:f>IF(V146="not reported","not reported",HYPERLINK("https://pmc.ncbi.nlm.nih.gov/articles/"&amp;V146&amp;"/","Open Full Text"))</x:f>
        <x:v>HYPERLINK is not implemented. linkLocation=https://pmc.ncbi.nlm.nih.gov/articles/PMC13538915/, friendlyName=Open Full Text</x:v>
      </x:c>
      <x:c r="Z146" s="31" t="e">
        <x:f>IF(L146="not reported","not reported",HYPERLINK("https://doi.org/"&amp;L146,"Open Publisher"))</x:f>
        <x:v>HYPERLINK is not implemented. linkLocation=https://doi.org/10.1177/10870547261459712, friendlyName=Open Publisher</x:v>
      </x:c>
      <x:c r="AA146" s="28" t="str">
        <x:v>PMCID PMC13538915 present in the PubMed/MEDLINE record.</x:v>
      </x:c>
      <x:c r="AB146" s="28" t="str">
        <x:v>Open the PMC full-text page and use its PDF button/download option.</x:v>
      </x:c>
      <x:c r="AC146" s="26" t="str">
        <x:v>2026-09-20</x:v>
      </x:c>
    </x:row>
    <x:row r="147">
      <x:c r="A147" s="26" t="str">
        <x:v>PUBMED-42034880</x:v>
      </x:c>
      <x:c r="B147" s="28" t="str">
        <x:v>The Role of Self-Concept Clarity in the Relations Between Disordered Eating, Gender Diversity, and Autistic and ADHD Traits.</x:v>
      </x:c>
      <x:c r="C147" s="28" t="str">
        <x:v>Thomas, Kai S; Cooper, Kate; Jones, Catherine R G</x:v>
      </x:c>
      <x:c r="D147" s="28" t="n">
        <x:v>2026</x:v>
      </x:c>
      <x:c r="E147" s="28" t="str">
        <x:v>Archives of sexual behavior</x:v>
      </x:c>
      <x:c r="F147" s="28" t="str">
        <x:v>Primary study - cross-sectional</x:v>
      </x:c>
      <x:c r="G147" s="28" t="str">
        <x:v>Development &amp; presentation; Social &amp; structural; Environmental &amp; lifestyle; Historical &amp; contemporary context</x:v>
      </x:c>
      <x:c r="H147" s="28" t="str">
        <x:v>Adulthood</x:v>
      </x:c>
      <x:c r="I147" s="28" t="str">
        <x:v>not reported/not verified</x:v>
      </x:c>
      <x:c r="J147" s="28" t="str">
        <x:v>not reported</x:v>
      </x:c>
      <x:c r="K147" s="28" t="str">
        <x:v>Self-concept clarity, the degree to which an individual has a well-defined and stable sense of self, is a well-documented factor in mental health conditions, particularly eating disorders.</x:v>
      </x:c>
      <x:c r="L147" s="28" t="str">
        <x:v>10.1007/s10508-026-03448-8</x:v>
      </x:c>
      <x:c r="M147" s="28" t="str">
        <x:v>42034880</x:v>
      </x:c>
      <x:c r="N147" s="31" t="e">
        <x:f>HYPERLINK("https://pubmed.ncbi.nlm.nih.gov/"&amp;M147&amp;"/","Open PubMed")</x:f>
        <x:v>HYPERLINK is not implemented. linkLocation=https://pubmed.ncbi.nlm.nih.gov/42034880/, friendlyName=Open PubMed</x:v>
      </x:c>
      <x:c r="O147" s="31" t="e">
        <x:f>HYPERLINK("https://pmc.ncbi.nlm.nih.gov/articles/PMC13275755/","Open Full Text")</x:f>
        <x:v>HYPERLINK is not implemented. linkLocation=https://pmc.ncbi.nlm.nih.gov/articles/PMC13275755/, friendlyName=Open Full Text</x:v>
      </x:c>
      <x:c r="P147" s="28" t="str">
        <x:v>abstract only</x:v>
      </x:c>
      <x:c r="Q147" s="28" t="str">
        <x:v>PubMed/MEDLINE export supplied by user | query: not verified from export; see Protocol sheet for reproducible recommended query</x:v>
      </x:c>
      <x:c r="R147" s="28" t="str">
        <x:v>Batch 1 core</x:v>
      </x:c>
      <x:c r="S147" s="28" t="str">
        <x:v>Direct ADHD primary study on diagnosis, family/education, structural conditions, lived experience/outcomes, or environment/lifestyle.</x:v>
      </x:c>
      <x:c r="T147" s="28" t="str">
        <x:v>not apparent from accessed abstract/metadata</x:v>
      </x:c>
      <x:c r="U147" s="28" t="str">
        <x:v>none identified in MEDLINE record</x:v>
      </x:c>
      <x:c r="V147" s="26" t="str">
        <x:v>PMC13275755</x:v>
      </x:c>
      <x:c r="W147" s="28" t="str">
        <x:v>PDF available via PMC (verified free full text)</x:v>
      </x:c>
      <x:c r="X147" s="28" t="str">
        <x:v>Yes — PMC</x:v>
      </x:c>
      <x:c r="Y147" s="31" t="e">
        <x:f>IF(V147="not reported","not reported",HYPERLINK("https://pmc.ncbi.nlm.nih.gov/articles/"&amp;V147&amp;"/","Open Full Text"))</x:f>
        <x:v>HYPERLINK is not implemented. linkLocation=https://pmc.ncbi.nlm.nih.gov/articles/PMC13275755/, friendlyName=Open Full Text</x:v>
      </x:c>
      <x:c r="Z147" s="31" t="e">
        <x:f>IF(L147="not reported","not reported",HYPERLINK("https://doi.org/"&amp;L147,"Open Publisher"))</x:f>
        <x:v>HYPERLINK is not implemented. linkLocation=https://doi.org/10.1007/s10508-026-03448-8, friendlyName=Open Publisher</x:v>
      </x:c>
      <x:c r="AA147" s="28" t="str">
        <x:v>PMCID PMC13275755 present in the PubMed/MEDLINE record.</x:v>
      </x:c>
      <x:c r="AB147" s="28" t="str">
        <x:v>Open the PMC full-text page and use its PDF button/download option.</x:v>
      </x:c>
      <x:c r="AC147" s="26" t="str">
        <x:v>2026-09-20</x:v>
      </x:c>
    </x:row>
    <x:row r="148">
      <x:c r="A148" s="26" t="str">
        <x:v>PUBMED-42470898</x:v>
      </x:c>
      <x:c r="B148" s="28" t="str">
        <x:v>Parent and carer perspectives on behavioural sleep management strategies for children with ADHD.</x:v>
      </x:c>
      <x:c r="C148" s="28" t="str">
        <x:v>Hornsey, Samantha J; Rowsell, Alison; Hill, Catherine M; Cortese, Samuele; Greenwell, Kate; Muller, Ingrid</x:v>
      </x:c>
      <x:c r="D148" s="28" t="n">
        <x:v>2026</x:v>
      </x:c>
      <x:c r="E148" s="28" t="str">
        <x:v>Sleep medicine</x:v>
      </x:c>
      <x:c r="F148" s="28" t="str">
        <x:v>Primary study - qualitative</x:v>
      </x:c>
      <x:c r="G148" s="28" t="str">
        <x:v>Development &amp; presentation; Family &amp; education; Social &amp; structural; Environmental &amp; lifestyle; Treatment &amp; support; Life outcomes &amp; lived experience; Historical &amp; contemporary context</x:v>
      </x:c>
      <x:c r="H148" s="28" t="str">
        <x:v>Childhood</x:v>
      </x:c>
      <x:c r="I148" s="28" t="str">
        <x:v>not reported/not verified</x:v>
      </x:c>
      <x:c r="J148" s="28" t="str">
        <x:v>not reported</x:v>
      </x:c>
      <x:c r="K148" s="28" t="str">
        <x:v>This study explored parents/carers views and experiences of: 1) behavioural sleep management strategies, 2) help-seeking for managing sleep problems and 3) perceptions about a potential digital sleep guide for managing sleep problems.</x:v>
      </x:c>
      <x:c r="L148" s="28" t="str">
        <x:v>10.1016/j.sleep.2026.109138</x:v>
      </x:c>
      <x:c r="M148" s="28" t="str">
        <x:v>42470898</x:v>
      </x:c>
      <x:c r="N148" s="31" t="e">
        <x:f>HYPERLINK("https://pubmed.ncbi.nlm.nih.gov/"&amp;M148&amp;"/","Open PubMed")</x:f>
        <x:v>HYPERLINK is not implemented. linkLocation=https://pubmed.ncbi.nlm.nih.gov/42470898/, friendlyName=Open PubMed</x:v>
      </x:c>
      <x:c r="O148" s="31" t="str">
        <x:v>not reported</x:v>
      </x:c>
      <x:c r="P148" s="28" t="str">
        <x:v>abstract only</x:v>
      </x:c>
      <x:c r="Q148" s="28" t="str">
        <x:v>PubMed/MEDLINE export supplied by user | query: not verified from export; see Protocol sheet for reproducible recommended query</x:v>
      </x:c>
      <x:c r="R148" s="28" t="str">
        <x:v>Batch 1 core</x:v>
      </x:c>
      <x:c r="S148" s="28" t="str">
        <x:v>Direct ADHD primary study on diagnosis, family/education, structural conditions, lived experience/outcomes, or environment/lifestyle.</x:v>
      </x:c>
      <x:c r="T148" s="28" t="str">
        <x:v>not apparent from accessed abstract/metadata</x:v>
      </x:c>
      <x:c r="U148" s="28" t="str">
        <x:v>none identified in MEDLINE record</x:v>
      </x:c>
      <x:c r="V148" s="26" t="str">
        <x:v>not reported</x:v>
      </x:c>
      <x:c r="W148" s="28" t="str">
        <x:v>No PMC copy identified; publisher PDF/access must be checked</x:v>
      </x:c>
      <x:c r="X148" s="28" t="str">
        <x:v>Not verified</x:v>
      </x:c>
      <x:c r="Y148" s="31" t="str">
        <x:f>IF(V148="not reported","not reported",HYPERLINK("https://pmc.ncbi.nlm.nih.gov/articles/"&amp;V148&amp;"/","Open Full Text"))</x:f>
        <x:v>not reported</x:v>
      </x:c>
      <x:c r="Z148" s="31" t="e">
        <x:f>IF(L148="not reported","not reported",HYPERLINK("https://doi.org/"&amp;L148,"Open Publisher"))</x:f>
        <x:v>HYPERLINK is not implemented. linkLocation=https://doi.org/10.1016/j.sleep.2026.109138, friendlyName=Open Publisher</x:v>
      </x:c>
      <x:c r="AA148" s="28" t="str">
        <x:v>DOI present in PubMed/MEDLINE; no PMCID present.</x:v>
      </x:c>
      <x:c r="AB148" s="28" t="str">
        <x:v>Open the DOI/publisher page. If PDF is paywalled, try Stony Brook Library access, Article Galaxy, or interlibrary loan.</x:v>
      </x:c>
      <x:c r="AC148" s="26" t="str">
        <x:v>2026-09-20</x:v>
      </x:c>
    </x:row>
    <x:row r="149">
      <x:c r="A149" s="26" t="str">
        <x:v>PUBMED-42157363</x:v>
      </x:c>
      <x:c r="B149" s="28" t="str">
        <x:v>ADHD Prevalence in Turkish Preschoolers: Comorbidity and Associated Factors.</x:v>
      </x:c>
      <x:c r="C149" s="28" t="str">
        <x:v>Başay, Ömer; Büber, Ahmet; Şenol, Hande; Kabukçu Başay, Bürge</x:v>
      </x:c>
      <x:c r="D149" s="28" t="n">
        <x:v>2026</x:v>
      </x:c>
      <x:c r="E149" s="28" t="str">
        <x:v>Developmental neuropsychology</x:v>
      </x:c>
      <x:c r="F149" s="28" t="str">
        <x:v>Primary study - cross-sectional</x:v>
      </x:c>
      <x:c r="G149" s="28" t="str">
        <x:v>Development &amp; presentation; Recognition &amp; diagnosis; Family &amp; education; Social &amp; structural</x:v>
      </x:c>
      <x:c r="H149" s="28" t="str">
        <x:v>Childhood</x:v>
      </x:c>
      <x:c r="I149" s="28" t="str">
        <x:v>not reported/not verified</x:v>
      </x:c>
      <x:c r="J149" s="28" t="str">
        <x:v>not reported</x:v>
      </x:c>
      <x:c r="K149" s="28" t="str">
        <x:v>This two-stage cross-sectional study investigated the prevalence, subtypes, and associated factors of attention-deficit/hyperactivity disorder (ADHD) among Turkish preschool children.</x:v>
      </x:c>
      <x:c r="L149" s="28" t="str">
        <x:v>10.1080/87565641.2026.2675347</x:v>
      </x:c>
      <x:c r="M149" s="28" t="str">
        <x:v>42157363</x:v>
      </x:c>
      <x:c r="N149" s="31" t="e">
        <x:f>HYPERLINK("https://pubmed.ncbi.nlm.nih.gov/"&amp;M149&amp;"/","Open PubMed")</x:f>
        <x:v>HYPERLINK is not implemented. linkLocation=https://pubmed.ncbi.nlm.nih.gov/42157363/, friendlyName=Open PubMed</x:v>
      </x:c>
      <x:c r="O149" s="31" t="str">
        <x:v>not reported</x:v>
      </x:c>
      <x:c r="P149" s="28" t="str">
        <x:v>abstract only</x:v>
      </x:c>
      <x:c r="Q149" s="28" t="str">
        <x:v>PubMed/MEDLINE export supplied by user | query: not verified from export; see Protocol sheet for reproducible recommended query</x:v>
      </x:c>
      <x:c r="R149" s="28" t="str">
        <x:v>Batch 1 core</x:v>
      </x:c>
      <x:c r="S149" s="28" t="str">
        <x:v>Direct ADHD primary study on diagnosis, family/education, structural conditions, lived experience/outcomes, or environment/lifestyle.</x:v>
      </x:c>
      <x:c r="T149" s="28" t="str">
        <x:v>not apparent from accessed abstract/metadata</x:v>
      </x:c>
      <x:c r="U149" s="28" t="str">
        <x:v>none identified in MEDLINE record</x:v>
      </x:c>
      <x:c r="V149" s="26" t="str">
        <x:v>not reported</x:v>
      </x:c>
      <x:c r="W149" s="28" t="str">
        <x:v>No PMC copy identified; publisher PDF/access must be checked</x:v>
      </x:c>
      <x:c r="X149" s="28" t="str">
        <x:v>Not verified</x:v>
      </x:c>
      <x:c r="Y149" s="31" t="str">
        <x:f>IF(V149="not reported","not reported",HYPERLINK("https://pmc.ncbi.nlm.nih.gov/articles/"&amp;V149&amp;"/","Open Full Text"))</x:f>
        <x:v>not reported</x:v>
      </x:c>
      <x:c r="Z149" s="31" t="e">
        <x:f>IF(L149="not reported","not reported",HYPERLINK("https://doi.org/"&amp;L149,"Open Publisher"))</x:f>
        <x:v>HYPERLINK is not implemented. linkLocation=https://doi.org/10.1080/87565641.2026.2675347, friendlyName=Open Publisher</x:v>
      </x:c>
      <x:c r="AA149" s="28" t="str">
        <x:v>DOI present in PubMed/MEDLINE; no PMCID present.</x:v>
      </x:c>
      <x:c r="AB149" s="28" t="str">
        <x:v>Open the DOI/publisher page. If PDF is paywalled, try Stony Brook Library access, Article Galaxy, or interlibrary loan.</x:v>
      </x:c>
      <x:c r="AC149" s="26" t="str">
        <x:v>2026-09-20</x:v>
      </x:c>
    </x:row>
    <x:row r="150">
      <x:c r="A150" s="26" t="str">
        <x:v>PUBMED-42456607</x:v>
      </x:c>
      <x:c r="B150" s="28" t="str">
        <x:v>A systematic review on the association between ADHD and procrastination.</x:v>
      </x:c>
      <x:c r="C150" s="28" t="str">
        <x:v>Suriano, Rossella</x:v>
      </x:c>
      <x:c r="D150" s="28" t="n">
        <x:v>2026</x:v>
      </x:c>
      <x:c r="E150" s="28" t="str">
        <x:v>Research in developmental disabilities</x:v>
      </x:c>
      <x:c r="F150" s="28" t="str">
        <x:v>Evidence synthesis - systematic review</x:v>
      </x:c>
      <x:c r="G150" s="28" t="str">
        <x:v>Development &amp; presentation; Recognition &amp; diagnosis; Social &amp; structural; Life outcomes &amp; lived experience</x:v>
      </x:c>
      <x:c r="H150" s="28" t="str">
        <x:v>Not specified</x:v>
      </x:c>
      <x:c r="I150" s="28" t="str">
        <x:v>not reported/not verified</x:v>
      </x:c>
      <x:c r="J150" s="28" t="str">
        <x:v>not reported</x:v>
      </x:c>
      <x:c r="K150" s="28" t="str">
        <x:v>BACKGROUND: Procrastination is a maladaptive self-regulation behavior frequently observed in individuals with attention-deficit/hyperactivity disorder (ADHD), yet the consistency and underlying mechanisms of this association remain unclear.</x:v>
      </x:c>
      <x:c r="L150" s="28" t="str">
        <x:v>10.1016/j.ridd.2026.105342</x:v>
      </x:c>
      <x:c r="M150" s="28" t="str">
        <x:v>42456607</x:v>
      </x:c>
      <x:c r="N150" s="31" t="e">
        <x:f>HYPERLINK("https://pubmed.ncbi.nlm.nih.gov/"&amp;M150&amp;"/","Open PubMed")</x:f>
        <x:v>HYPERLINK is not implemented. linkLocation=https://pubmed.ncbi.nlm.nih.gov/42456607/, friendlyName=Open PubMed</x:v>
      </x:c>
      <x:c r="O150" s="31" t="str">
        <x:v>not reported</x:v>
      </x:c>
      <x:c r="P150" s="28" t="str">
        <x:v>abstract only</x:v>
      </x:c>
      <x:c r="Q150" s="28" t="str">
        <x:v>PubMed/MEDLINE export supplied by user | query: not verified from export; see Protocol sheet for reproducible recommended query</x:v>
      </x:c>
      <x:c r="R150" s="28" t="str">
        <x:v>Batch 1 core</x:v>
      </x:c>
      <x:c r="S150" s="28" t="str">
        <x:v>Direct ADHD evidence synthesis/guideline with broad multi-topic relevance.</x:v>
      </x:c>
      <x:c r="T150" s="28" t="str">
        <x:v>not apparent from accessed abstract/metadata</x:v>
      </x:c>
      <x:c r="U150" s="28" t="str">
        <x:v>none identified in MEDLINE record</x:v>
      </x:c>
      <x:c r="V150" s="26" t="str">
        <x:v>not reported</x:v>
      </x:c>
      <x:c r="W150" s="28" t="str">
        <x:v>No PMC copy identified; publisher PDF/access must be checked</x:v>
      </x:c>
      <x:c r="X150" s="28" t="str">
        <x:v>Not verified</x:v>
      </x:c>
      <x:c r="Y150" s="31" t="str">
        <x:f>IF(V150="not reported","not reported",HYPERLINK("https://pmc.ncbi.nlm.nih.gov/articles/"&amp;V150&amp;"/","Open Full Text"))</x:f>
        <x:v>not reported</x:v>
      </x:c>
      <x:c r="Z150" s="31" t="e">
        <x:f>IF(L150="not reported","not reported",HYPERLINK("https://doi.org/"&amp;L150,"Open Publisher"))</x:f>
        <x:v>HYPERLINK is not implemented. linkLocation=https://doi.org/10.1016/j.ridd.2026.105342, friendlyName=Open Publisher</x:v>
      </x:c>
      <x:c r="AA150" s="28" t="str">
        <x:v>DOI present in PubMed/MEDLINE; no PMCID present.</x:v>
      </x:c>
      <x:c r="AB150" s="28" t="str">
        <x:v>Open the DOI/publisher page. If PDF is paywalled, try Stony Brook Library access, Article Galaxy, or interlibrary loan.</x:v>
      </x:c>
      <x:c r="AC150" s="26" t="str">
        <x:v>2026-09-20</x:v>
      </x:c>
    </x:row>
    <x:row r="151">
      <x:c r="A151" s="26" t="str">
        <x:v>PUBMED-42054973</x:v>
      </x:c>
      <x:c r="B151" s="28" t="str">
        <x:v>The interplay between executive function and learning disabilities: Developmental cognitive neuroscience perspectives on reading, math, and ADHD.</x:v>
      </x:c>
      <x:c r="C151" s="28" t="str">
        <x:v>Horowitz-Kraus, Tzipi; Cirino, Paul T; Cutting, Laurie E; Hughes-Berheim, Sarah S; Wilkey, Eric D; Barnes, Marcia A; Rosch, Keri S; Church, Jessica A</x:v>
      </x:c>
      <x:c r="D151" s="28" t="n">
        <x:v>2026</x:v>
      </x:c>
      <x:c r="E151" s="28" t="str">
        <x:v>Developmental cognitive neuroscience</x:v>
      </x:c>
      <x:c r="F151" s="28" t="str">
        <x:v>Evidence synthesis - review</x:v>
      </x:c>
      <x:c r="G151" s="28" t="str">
        <x:v>Development &amp; presentation; Recognition &amp; diagnosis; Family &amp; education; Social &amp; structural; Treatment &amp; support</x:v>
      </x:c>
      <x:c r="H151" s="28" t="str">
        <x:v>Not specified</x:v>
      </x:c>
      <x:c r="I151" s="28" t="str">
        <x:v>not reported/not verified</x:v>
      </x:c>
      <x:c r="J151" s="28" t="str">
        <x:v>not reported</x:v>
      </x:c>
      <x:c r="K151" s="28" t="str">
        <x:v>This review provides a roadmap for researchers and clinicians aiming to harness EF as a core mechanism to better understand and support diverse learners.</x:v>
      </x:c>
      <x:c r="L151" s="28" t="str">
        <x:v>10.1016/j.dcn.2026.101722</x:v>
      </x:c>
      <x:c r="M151" s="28" t="str">
        <x:v>42054973</x:v>
      </x:c>
      <x:c r="N151" s="31" t="e">
        <x:f>HYPERLINK("https://pubmed.ncbi.nlm.nih.gov/"&amp;M151&amp;"/","Open PubMed")</x:f>
        <x:v>HYPERLINK is not implemented. linkLocation=https://pubmed.ncbi.nlm.nih.gov/42054973/, friendlyName=Open PubMed</x:v>
      </x:c>
      <x:c r="O151" s="31" t="e">
        <x:f>HYPERLINK("https://pmc.ncbi.nlm.nih.gov/articles/PMC13141793/","Open Full Text")</x:f>
        <x:v>HYPERLINK is not implemented. linkLocation=https://pmc.ncbi.nlm.nih.gov/articles/PMC13141793/, friendlyName=Open Full Text</x:v>
      </x:c>
      <x:c r="P151" s="28" t="str">
        <x:v>abstract only</x:v>
      </x:c>
      <x:c r="Q151" s="28" t="str">
        <x:v>PubMed/MEDLINE export supplied by user | query: not verified from export; see Protocol sheet for reproducible recommended query</x:v>
      </x:c>
      <x:c r="R151" s="28" t="str">
        <x:v>Batch 1 core</x:v>
      </x:c>
      <x:c r="S151" s="28" t="str">
        <x:v>Direct ADHD evidence synthesis/guideline with broad multi-topic relevance.</x:v>
      </x:c>
      <x:c r="T151" s="28" t="str">
        <x:v>not apparent from accessed abstract/metadata</x:v>
      </x:c>
      <x:c r="U151" s="28" t="str">
        <x:v>none identified in MEDLINE record</x:v>
      </x:c>
      <x:c r="V151" s="26" t="str">
        <x:v>PMC13141793</x:v>
      </x:c>
      <x:c r="W151" s="28" t="str">
        <x:v>PDF available via PMC (verified free full text)</x:v>
      </x:c>
      <x:c r="X151" s="28" t="str">
        <x:v>Yes — PMC</x:v>
      </x:c>
      <x:c r="Y151" s="31" t="e">
        <x:f>IF(V151="not reported","not reported",HYPERLINK("https://pmc.ncbi.nlm.nih.gov/articles/"&amp;V151&amp;"/","Open Full Text"))</x:f>
        <x:v>HYPERLINK is not implemented. linkLocation=https://pmc.ncbi.nlm.nih.gov/articles/PMC13141793/, friendlyName=Open Full Text</x:v>
      </x:c>
      <x:c r="Z151" s="31" t="e">
        <x:f>IF(L151="not reported","not reported",HYPERLINK("https://doi.org/"&amp;L151,"Open Publisher"))</x:f>
        <x:v>HYPERLINK is not implemented. linkLocation=https://doi.org/10.1016/j.dcn.2026.101722, friendlyName=Open Publisher</x:v>
      </x:c>
      <x:c r="AA151" s="28" t="str">
        <x:v>PMCID PMC13141793 present in the PubMed/MEDLINE record.</x:v>
      </x:c>
      <x:c r="AB151" s="28" t="str">
        <x:v>Open the PMC full-text page and use its PDF button/download option.</x:v>
      </x:c>
      <x:c r="AC151" s="26" t="str">
        <x:v>2026-09-20</x:v>
      </x:c>
    </x:row>
    <x:row r="152">
      <x:c r="A152" s="26" t="str">
        <x:v>PUBMED-42336634</x:v>
      </x:c>
      <x:c r="B152" s="28" t="str">
        <x:v>From early to fewer first births: ADHD and family formation among young adults.</x:v>
      </x:c>
      <x:c r="C152" s="28" t="str">
        <x:v>Kailaheimo-Björkqvist, Sanna; Metsä-Simola, Niina; Myrskylä, Mikko</x:v>
      </x:c>
      <x:c r="D152" s="28" t="n">
        <x:v>2026</x:v>
      </x:c>
      <x:c r="E152" s="28" t="str">
        <x:v>Journal of epidemiology and community health</x:v>
      </x:c>
      <x:c r="F152" s="28" t="str">
        <x:v>Primary study - cohort</x:v>
      </x:c>
      <x:c r="G152" s="28" t="str">
        <x:v>Development &amp; presentation; Recognition &amp; diagnosis; Family &amp; education; Social &amp; structural; Environmental &amp; lifestyle; Life outcomes &amp; lived experience; Historical &amp; contemporary context</x:v>
      </x:c>
      <x:c r="H152" s="28" t="str">
        <x:v>Adolescence; Adulthood</x:v>
      </x:c>
      <x:c r="I152" s="28" t="str">
        <x:v>Geography (MeSH): Finland</x:v>
      </x:c>
      <x:c r="J152" s="28" t="str">
        <x:v>1982-1993</x:v>
      </x:c>
      <x:c r="K152" s="28" t="str">
        <x:v>BACKGROUND: Attention-deficit/hyperactivity disorder (ADHD) is common and associated with relationship difficulties, which may influence entry into parenthood.</x:v>
      </x:c>
      <x:c r="L152" s="28" t="str">
        <x:v>10.1136/jech-2026-225863</x:v>
      </x:c>
      <x:c r="M152" s="28" t="str">
        <x:v>42336634</x:v>
      </x:c>
      <x:c r="N152" s="31" t="e">
        <x:f>HYPERLINK("https://pubmed.ncbi.nlm.nih.gov/"&amp;M152&amp;"/","Open PubMed")</x:f>
        <x:v>HYPERLINK is not implemented. linkLocation=https://pubmed.ncbi.nlm.nih.gov/42336634/, friendlyName=Open PubMed</x:v>
      </x:c>
      <x:c r="O152" s="31" t="str">
        <x:v>not reported</x:v>
      </x:c>
      <x:c r="P152" s="28" t="str">
        <x:v>abstract only</x:v>
      </x:c>
      <x:c r="Q152" s="28" t="str">
        <x:v>PubMed/MEDLINE export supplied by user | query: not verified from export; see Protocol sheet for reproducible recommended query</x:v>
      </x:c>
      <x:c r="R152" s="28" t="str">
        <x:v>Batch 1 core</x:v>
      </x:c>
      <x:c r="S152" s="28" t="str">
        <x:v>Direct ADHD primary study on diagnosis, family/education, structural conditions, lived experience/outcomes, or environment/lifestyle.</x:v>
      </x:c>
      <x:c r="T152" s="28" t="str">
        <x:v>not apparent from accessed abstract/metadata</x:v>
      </x:c>
      <x:c r="U152" s="28" t="str">
        <x:v>none identified in MEDLINE record</x:v>
      </x:c>
      <x:c r="V152" s="26" t="str">
        <x:v>not reported</x:v>
      </x:c>
      <x:c r="W152" s="28" t="str">
        <x:v>No PMC copy identified; publisher PDF/access must be checked</x:v>
      </x:c>
      <x:c r="X152" s="28" t="str">
        <x:v>Not verified</x:v>
      </x:c>
      <x:c r="Y152" s="31" t="str">
        <x:f>IF(V152="not reported","not reported",HYPERLINK("https://pmc.ncbi.nlm.nih.gov/articles/"&amp;V152&amp;"/","Open Full Text"))</x:f>
        <x:v>not reported</x:v>
      </x:c>
      <x:c r="Z152" s="31" t="e">
        <x:f>IF(L152="not reported","not reported",HYPERLINK("https://doi.org/"&amp;L152,"Open Publisher"))</x:f>
        <x:v>HYPERLINK is not implemented. linkLocation=https://doi.org/10.1136/jech-2026-225863, friendlyName=Open Publisher</x:v>
      </x:c>
      <x:c r="AA152" s="28" t="str">
        <x:v>DOI present in PubMed/MEDLINE; no PMCID present.</x:v>
      </x:c>
      <x:c r="AB152" s="28" t="str">
        <x:v>Open the DOI/publisher page. If PDF is paywalled, try Stony Brook Library access, Article Galaxy, or interlibrary loan.</x:v>
      </x:c>
      <x:c r="AC152" s="26" t="str">
        <x:v>2026-09-20</x:v>
      </x:c>
    </x:row>
    <x:row r="153">
      <x:c r="A153" s="26" t="str">
        <x:v>PUBMED-42548071</x:v>
      </x:c>
      <x:c r="B153" s="28" t="str">
        <x:v>Longitudinal associations among autism and ADHD traits, social maladjustment, and mental health in school-aged children.</x:v>
      </x:c>
      <x:c r="C153" s="28" t="str">
        <x:v>Hashimoto, Eriko; Ito, Hiroyuki; Hamada, Megumi; Nakajima, Takahiro; Takayanagi, Nobuya; Myogan, Mitsunori; Murayama, Yasuo; Tsujii, Masatsugu</x:v>
      </x:c>
      <x:c r="D153" s="28" t="n">
        <x:v>2026</x:v>
      </x:c>
      <x:c r="E153" s="28" t="str">
        <x:v>Psychological medicine</x:v>
      </x:c>
      <x:c r="F153" s="28" t="str">
        <x:v>Primary study - cohort</x:v>
      </x:c>
      <x:c r="G153" s="28" t="str">
        <x:v>Development &amp; presentation; Family &amp; education; Social &amp; structural; Environmental &amp; lifestyle; Life outcomes &amp; lived experience</x:v>
      </x:c>
      <x:c r="H153" s="28" t="str">
        <x:v>Childhood; Adolescence</x:v>
      </x:c>
      <x:c r="I153" s="28" t="str">
        <x:v>not reported/not verified</x:v>
      </x:c>
      <x:c r="J153" s="28" t="str">
        <x:v>not reported</x:v>
      </x:c>
      <x:c r="K153" s="28" t="str">
        <x:v>This study examined developmental associations among autism spectrum disorder (ASD) traits, attention-deficit/hyperactivity disorder (ADHD) traits, social maladjustment, and mental health from childhood through adolescence.</x:v>
      </x:c>
      <x:c r="L153" s="28" t="str">
        <x:v>10.1017/S003329172610539X</x:v>
      </x:c>
      <x:c r="M153" s="28" t="str">
        <x:v>42548071</x:v>
      </x:c>
      <x:c r="N153" s="31" t="e">
        <x:f>HYPERLINK("https://pubmed.ncbi.nlm.nih.gov/"&amp;M153&amp;"/","Open PubMed")</x:f>
        <x:v>HYPERLINK is not implemented. linkLocation=https://pubmed.ncbi.nlm.nih.gov/42548071/, friendlyName=Open PubMed</x:v>
      </x:c>
      <x:c r="O153" s="31" t="e">
        <x:f>HYPERLINK("https://pmc.ncbi.nlm.nih.gov/articles/PMC13439244/","Open Full Text")</x:f>
        <x:v>HYPERLINK is not implemented. linkLocation=https://pmc.ncbi.nlm.nih.gov/articles/PMC13439244/, friendlyName=Open Full Text</x:v>
      </x:c>
      <x:c r="P153" s="28" t="str">
        <x:v>abstract only</x:v>
      </x:c>
      <x:c r="Q153" s="28" t="str">
        <x:v>PubMed/MEDLINE export supplied by user | query: not verified from export; see Protocol sheet for reproducible recommended query</x:v>
      </x:c>
      <x:c r="R153" s="28" t="str">
        <x:v>Batch 1 core</x:v>
      </x:c>
      <x:c r="S153" s="28" t="str">
        <x:v>Direct ADHD primary study on diagnosis, family/education, structural conditions, lived experience/outcomes, or environment/lifestyle.</x:v>
      </x:c>
      <x:c r="T153" s="28" t="str">
        <x:v>not apparent from accessed abstract/metadata</x:v>
      </x:c>
      <x:c r="U153" s="28" t="str">
        <x:v>none identified in MEDLINE record</x:v>
      </x:c>
      <x:c r="V153" s="26" t="str">
        <x:v>PMC13439244</x:v>
      </x:c>
      <x:c r="W153" s="28" t="str">
        <x:v>PDF available via PMC (verified free full text)</x:v>
      </x:c>
      <x:c r="X153" s="28" t="str">
        <x:v>Yes — PMC</x:v>
      </x:c>
      <x:c r="Y153" s="31" t="e">
        <x:f>IF(V153="not reported","not reported",HYPERLINK("https://pmc.ncbi.nlm.nih.gov/articles/"&amp;V153&amp;"/","Open Full Text"))</x:f>
        <x:v>HYPERLINK is not implemented. linkLocation=https://pmc.ncbi.nlm.nih.gov/articles/PMC13439244/, friendlyName=Open Full Text</x:v>
      </x:c>
      <x:c r="Z153" s="31" t="e">
        <x:f>IF(L153="not reported","not reported",HYPERLINK("https://doi.org/"&amp;L153,"Open Publisher"))</x:f>
        <x:v>HYPERLINK is not implemented. linkLocation=https://doi.org/10.1017/S003329172610539X, friendlyName=Open Publisher</x:v>
      </x:c>
      <x:c r="AA153" s="28" t="str">
        <x:v>PMCID PMC13439244 present in the PubMed/MEDLINE record.</x:v>
      </x:c>
      <x:c r="AB153" s="28" t="str">
        <x:v>Open the PMC full-text page and use its PDF button/download option.</x:v>
      </x:c>
      <x:c r="AC153" s="26" t="str">
        <x:v>2026-09-20</x:v>
      </x:c>
    </x:row>
    <x:row r="154">
      <x:c r="A154" s="26" t="str">
        <x:v>PUBMED-42669614</x:v>
      </x:c>
      <x:c r="B154" s="28" t="str">
        <x:v>Regional Variation in ADHD Treatment and Diagnosis Among Children and Adolescents in Denmark.</x:v>
      </x:c>
      <x:c r="C154" s="28" t="str">
        <x:v>Sonne, Heidi; Pottegård, Anton; Hansen, Anna Sofie Kjærgaard; Bech, Mickael; Kildegaard, Helene</x:v>
      </x:c>
      <x:c r="D154" s="28" t="n">
        <x:v>2026</x:v>
      </x:c>
      <x:c r="E154" s="28" t="str">
        <x:v>Basic &amp; clinical pharmacology &amp; toxicology</x:v>
      </x:c>
      <x:c r="F154" s="28" t="str">
        <x:v>Primary study - cross-sectional</x:v>
      </x:c>
      <x:c r="G154" s="28" t="str">
        <x:v>Development &amp; presentation; Recognition &amp; diagnosis; Family &amp; education; Social &amp; structural; Treatment &amp; support; Life outcomes &amp; lived experience</x:v>
      </x:c>
      <x:c r="H154" s="28" t="str">
        <x:v>Childhood; Adolescence; aged 4-17 years</x:v>
      </x:c>
      <x:c r="I154" s="28" t="str">
        <x:v>Geography (MeSH): Denmark</x:v>
      </x:c>
      <x:c r="J154" s="28" t="str">
        <x:v>not reported</x:v>
      </x:c>
      <x:c r="K154" s="28" t="str">
        <x:v>We examined nationwide patterns of ADHD medication use and diagnoses in Denmark in 2024 and assessed whether municipal socioeconomy, regional hospital waiting times or private child psychiatrist capacity contributed to geographic variation.</x:v>
      </x:c>
      <x:c r="L154" s="28" t="str">
        <x:v>10.1111/bcpt.70298</x:v>
      </x:c>
      <x:c r="M154" s="28" t="str">
        <x:v>42669614</x:v>
      </x:c>
      <x:c r="N154" s="31" t="e">
        <x:f>HYPERLINK("https://pubmed.ncbi.nlm.nih.gov/"&amp;M154&amp;"/","Open PubMed")</x:f>
        <x:v>HYPERLINK is not implemented. linkLocation=https://pubmed.ncbi.nlm.nih.gov/42669614/, friendlyName=Open PubMed</x:v>
      </x:c>
      <x:c r="O154" s="31" t="e">
        <x:f>HYPERLINK("https://pmc.ncbi.nlm.nih.gov/articles/PMC13526647/","Open Full Text")</x:f>
        <x:v>HYPERLINK is not implemented. linkLocation=https://pmc.ncbi.nlm.nih.gov/articles/PMC13526647/, friendlyName=Open Full Text</x:v>
      </x:c>
      <x:c r="P154" s="28" t="str">
        <x:v>abstract only</x:v>
      </x:c>
      <x:c r="Q154" s="28" t="str">
        <x:v>PubMed/MEDLINE export supplied by user | query: not verified from export; see Protocol sheet for reproducible recommended query</x:v>
      </x:c>
      <x:c r="R154" s="28" t="str">
        <x:v>Batch 1 core</x:v>
      </x:c>
      <x:c r="S154" s="28" t="str">
        <x:v>Direct ADHD primary study on diagnosis, family/education, structural conditions, lived experience/outcomes, or environment/lifestyle.</x:v>
      </x:c>
      <x:c r="T154" s="28" t="str">
        <x:v>not apparent from accessed abstract/metadata</x:v>
      </x:c>
      <x:c r="U154" s="28" t="str">
        <x:v>none identified in MEDLINE record</x:v>
      </x:c>
      <x:c r="V154" s="26" t="str">
        <x:v>PMC13526647</x:v>
      </x:c>
      <x:c r="W154" s="28" t="str">
        <x:v>PDF available via PMC (verified free full text)</x:v>
      </x:c>
      <x:c r="X154" s="28" t="str">
        <x:v>Yes — PMC</x:v>
      </x:c>
      <x:c r="Y154" s="31" t="e">
        <x:f>IF(V154="not reported","not reported",HYPERLINK("https://pmc.ncbi.nlm.nih.gov/articles/"&amp;V154&amp;"/","Open Full Text"))</x:f>
        <x:v>HYPERLINK is not implemented. linkLocation=https://pmc.ncbi.nlm.nih.gov/articles/PMC13526647/, friendlyName=Open Full Text</x:v>
      </x:c>
      <x:c r="Z154" s="31" t="e">
        <x:f>IF(L154="not reported","not reported",HYPERLINK("https://doi.org/"&amp;L154,"Open Publisher"))</x:f>
        <x:v>HYPERLINK is not implemented. linkLocation=https://doi.org/10.1111/bcpt.70298, friendlyName=Open Publisher</x:v>
      </x:c>
      <x:c r="AA154" s="28" t="str">
        <x:v>PMCID PMC13526647 present in the PubMed/MEDLINE record.</x:v>
      </x:c>
      <x:c r="AB154" s="28" t="str">
        <x:v>Open the PMC full-text page and use its PDF button/download option.</x:v>
      </x:c>
      <x:c r="AC154" s="26" t="str">
        <x:v>2026-09-20</x:v>
      </x:c>
    </x:row>
    <x:row r="155">
      <x:c r="A155" s="26" t="str">
        <x:v>PUBMED-42086155</x:v>
      </x:c>
      <x:c r="B155" s="28" t="str">
        <x:v>Systematic review of virtual reality therapy in the treatment of visual dysfunction in children with ADHD and dyslexia.</x:v>
      </x:c>
      <x:c r="C155" s="28" t="str">
        <x:v>Chung, Kei See; Lee, Ka Yi; Tang, Yuk Ming; Lai, Cynthia Y Y; Do, Chi-Wai; Fong, Kenneth N K</x:v>
      </x:c>
      <x:c r="D155" s="28" t="n">
        <x:v>2026</x:v>
      </x:c>
      <x:c r="E155" s="28" t="str">
        <x:v>Neuroscience and biobehavioral reviews</x:v>
      </x:c>
      <x:c r="F155" s="28" t="str">
        <x:v>Evidence synthesis - systematic review</x:v>
      </x:c>
      <x:c r="G155" s="28" t="str">
        <x:v>Development &amp; presentation; Family &amp; education; Social &amp; structural; Environmental &amp; lifestyle; Treatment &amp; support; Life outcomes &amp; lived experience</x:v>
      </x:c>
      <x:c r="H155" s="28" t="str">
        <x:v>Childhood</x:v>
      </x:c>
      <x:c r="I155" s="28" t="str">
        <x:v>not reported/not verified</x:v>
      </x:c>
      <x:c r="J155" s="28" t="str">
        <x:v>between 2015 and 2025</x:v>
      </x:c>
      <x:c r="K155" s="28" t="str">
        <x:v>Attention deficit hyperactivity disorder (ADHD) and dyslexia are prevalent neurodevelopmental disorders that significantly impact educational and social functioning.</x:v>
      </x:c>
      <x:c r="L155" s="28" t="str">
        <x:v>10.1016/j.neubiorev.2026.106723</x:v>
      </x:c>
      <x:c r="M155" s="28" t="str">
        <x:v>42086155</x:v>
      </x:c>
      <x:c r="N155" s="31" t="e">
        <x:f>HYPERLINK("https://pubmed.ncbi.nlm.nih.gov/"&amp;M155&amp;"/","Open PubMed")</x:f>
        <x:v>HYPERLINK is not implemented. linkLocation=https://pubmed.ncbi.nlm.nih.gov/42086155/, friendlyName=Open PubMed</x:v>
      </x:c>
      <x:c r="O155" s="31" t="str">
        <x:v>not reported</x:v>
      </x:c>
      <x:c r="P155" s="28" t="str">
        <x:v>abstract only</x:v>
      </x:c>
      <x:c r="Q155" s="28" t="str">
        <x:v>PubMed/MEDLINE export supplied by user | query: not verified from export; see Protocol sheet for reproducible recommended query</x:v>
      </x:c>
      <x:c r="R155" s="28" t="str">
        <x:v>Batch 1 core</x:v>
      </x:c>
      <x:c r="S155" s="28" t="str">
        <x:v>Direct ADHD evidence synthesis/guideline with broad multi-topic relevance.</x:v>
      </x:c>
      <x:c r="T155" s="28" t="str">
        <x:v>not apparent from accessed abstract/metadata</x:v>
      </x:c>
      <x:c r="U155" s="28" t="str">
        <x:v>none identified in MEDLINE record</x:v>
      </x:c>
      <x:c r="V155" s="26" t="str">
        <x:v>not reported</x:v>
      </x:c>
      <x:c r="W155" s="28" t="str">
        <x:v>No PMC copy identified; publisher PDF/access must be checked</x:v>
      </x:c>
      <x:c r="X155" s="28" t="str">
        <x:v>Not verified</x:v>
      </x:c>
      <x:c r="Y155" s="31" t="str">
        <x:f>IF(V155="not reported","not reported",HYPERLINK("https://pmc.ncbi.nlm.nih.gov/articles/"&amp;V155&amp;"/","Open Full Text"))</x:f>
        <x:v>not reported</x:v>
      </x:c>
      <x:c r="Z155" s="31" t="e">
        <x:f>IF(L155="not reported","not reported",HYPERLINK("https://doi.org/"&amp;L155,"Open Publisher"))</x:f>
        <x:v>HYPERLINK is not implemented. linkLocation=https://doi.org/10.1016/j.neubiorev.2026.106723, friendlyName=Open Publisher</x:v>
      </x:c>
      <x:c r="AA155" s="28" t="str">
        <x:v>DOI present in PubMed/MEDLINE; no PMCID present.</x:v>
      </x:c>
      <x:c r="AB155" s="28" t="str">
        <x:v>Open the DOI/publisher page. If PDF is paywalled, try Stony Brook Library access, Article Galaxy, or interlibrary loan.</x:v>
      </x:c>
      <x:c r="AC155" s="26" t="str">
        <x:v>2026-09-20</x:v>
      </x:c>
    </x:row>
    <x:row r="156">
      <x:c r="A156" s="26" t="str">
        <x:v>PUBMED-42070196</x:v>
      </x:c>
      <x:c r="B156" s="28" t="str">
        <x:v>Association between child ADHD and caregivers' mental health and health-related quality of life: results from a population-based study.</x:v>
      </x:c>
      <x:c r="C156" s="28" t="str">
        <x:v>Le, Ha N D; Yee, Roma; Dona, Sithara Wanni Arachchige; Silk, Tim</x:v>
      </x:c>
      <x:c r="D156" s="28" t="n">
        <x:v>2026</x:v>
      </x:c>
      <x:c r="E156" s="28" t="str">
        <x:v>Quality of life research : an international journal of quality of life aspects of treatment, care and rehabilitation</x:v>
      </x:c>
      <x:c r="F156" s="28" t="str">
        <x:v>Primary study - cross-sectional</x:v>
      </x:c>
      <x:c r="G156" s="28" t="str">
        <x:v>Development &amp; presentation; Recognition &amp; diagnosis; Family &amp; education; Social &amp; structural; Environmental &amp; lifestyle; Life outcomes &amp; lived experience</x:v>
      </x:c>
      <x:c r="H156" s="28" t="str">
        <x:v>Childhood; Adulthood; aged 11–12 years</x:v>
      </x:c>
      <x:c r="I156" s="28" t="str">
        <x:v>Geography (MeSH): Australia</x:v>
      </x:c>
      <x:c r="J156" s="28" t="str">
        <x:v>not reported</x:v>
      </x:c>
      <x:c r="K156" s="28" t="str">
        <x:v>PURPOSE: To explore (1) the association between child attention-deficit/hyperactivity disorder (ADHD)/ADHD symptoms and their caregivers’ health-related quality of life (HRQoL)/HRQoL dimensions and their mental health, and (2) the factors that may influence caregivers’ HRQoL.</x:v>
      </x:c>
      <x:c r="L156" s="28" t="str">
        <x:v>10.1007/s11136-026-04244-6</x:v>
      </x:c>
      <x:c r="M156" s="28" t="str">
        <x:v>42070196</x:v>
      </x:c>
      <x:c r="N156" s="31" t="e">
        <x:f>HYPERLINK("https://pubmed.ncbi.nlm.nih.gov/"&amp;M156&amp;"/","Open PubMed")</x:f>
        <x:v>HYPERLINK is not implemented. linkLocation=https://pubmed.ncbi.nlm.nih.gov/42070196/, friendlyName=Open PubMed</x:v>
      </x:c>
      <x:c r="O156" s="31" t="e">
        <x:f>HYPERLINK("https://pmc.ncbi.nlm.nih.gov/articles/PMC13136211/","Open Full Text")</x:f>
        <x:v>HYPERLINK is not implemented. linkLocation=https://pmc.ncbi.nlm.nih.gov/articles/PMC13136211/, friendlyName=Open Full Text</x:v>
      </x:c>
      <x:c r="P156" s="28" t="str">
        <x:v>abstract only</x:v>
      </x:c>
      <x:c r="Q156" s="28" t="str">
        <x:v>PubMed/MEDLINE export supplied by user | query: not verified from export; see Protocol sheet for reproducible recommended query</x:v>
      </x:c>
      <x:c r="R156" s="28" t="str">
        <x:v>Batch 1 core</x:v>
      </x:c>
      <x:c r="S156" s="28" t="str">
        <x:v>Direct ADHD primary study on diagnosis, family/education, structural conditions, lived experience/outcomes, or environment/lifestyle.</x:v>
      </x:c>
      <x:c r="T156" s="28" t="str">
        <x:v>not apparent from accessed abstract/metadata</x:v>
      </x:c>
      <x:c r="U156" s="28" t="str">
        <x:v>none identified in MEDLINE record</x:v>
      </x:c>
      <x:c r="V156" s="26" t="str">
        <x:v>PMC13136211</x:v>
      </x:c>
      <x:c r="W156" s="28" t="str">
        <x:v>PDF available via PMC (verified free full text)</x:v>
      </x:c>
      <x:c r="X156" s="28" t="str">
        <x:v>Yes — PMC</x:v>
      </x:c>
      <x:c r="Y156" s="31" t="e">
        <x:f>IF(V156="not reported","not reported",HYPERLINK("https://pmc.ncbi.nlm.nih.gov/articles/"&amp;V156&amp;"/","Open Full Text"))</x:f>
        <x:v>HYPERLINK is not implemented. linkLocation=https://pmc.ncbi.nlm.nih.gov/articles/PMC13136211/, friendlyName=Open Full Text</x:v>
      </x:c>
      <x:c r="Z156" s="31" t="e">
        <x:f>IF(L156="not reported","not reported",HYPERLINK("https://doi.org/"&amp;L156,"Open Publisher"))</x:f>
        <x:v>HYPERLINK is not implemented. linkLocation=https://doi.org/10.1007/s11136-026-04244-6, friendlyName=Open Publisher</x:v>
      </x:c>
      <x:c r="AA156" s="28" t="str">
        <x:v>PMCID PMC13136211 present in the PubMed/MEDLINE record.</x:v>
      </x:c>
      <x:c r="AB156" s="28" t="str">
        <x:v>Open the PMC full-text page and use its PDF button/download option.</x:v>
      </x:c>
      <x:c r="AC156" s="26" t="str">
        <x:v>2026-09-20</x:v>
      </x:c>
    </x:row>
    <x:row r="157">
      <x:c r="A157" s="26" t="str">
        <x:v>PUBMED-42321759</x:v>
      </x:c>
      <x:c r="B157" s="28" t="str">
        <x:v>Exploring central sensitization symptoms in children with ADHD and their parents: a case-control study.</x:v>
      </x:c>
      <x:c r="C157" s="28" t="str">
        <x:v>Zouini, Btissame; Lundqvist, Sara; El Mzadi, Abdennour; Knez, Rajna; Kantzer, Anne-Katrin; Sánchez Pérez, Ana Maria; Kerekes, Nóra</x:v>
      </x:c>
      <x:c r="D157" s="28" t="n">
        <x:v>2026</x:v>
      </x:c>
      <x:c r="E157" s="28" t="str">
        <x:v>BMC psychiatry</x:v>
      </x:c>
      <x:c r="F157" s="28" t="str">
        <x:v>Primary study - case-control</x:v>
      </x:c>
      <x:c r="G157" s="28" t="str">
        <x:v>Development &amp; presentation; Recognition &amp; diagnosis; Family &amp; education; Social &amp; structural; Life outcomes &amp; lived experience</x:v>
      </x:c>
      <x:c r="H157" s="28" t="str">
        <x:v>Childhood; Adolescence; Adulthood; mean age = 11.54 years</x:v>
      </x:c>
      <x:c r="I157" s="28" t="str">
        <x:v>not reported/not verified</x:v>
      </x:c>
      <x:c r="J157" s="28" t="str">
        <x:v>not reported</x:v>
      </x:c>
      <x:c r="K157" s="28" t="str">
        <x:v>This study aimed to measure the severity of CS symptoms in children with ADHD and in their parents; compare results with those of a neurotypical group; and explore associations between CS symptoms and pain intensity as well as potential familial patterns.</x:v>
      </x:c>
      <x:c r="L157" s="28" t="str">
        <x:v>10.1186/s12888-026-08296-3</x:v>
      </x:c>
      <x:c r="M157" s="28" t="str">
        <x:v>42321759</x:v>
      </x:c>
      <x:c r="N157" s="31" t="e">
        <x:f>HYPERLINK("https://pubmed.ncbi.nlm.nih.gov/"&amp;M157&amp;"/","Open PubMed")</x:f>
        <x:v>HYPERLINK is not implemented. linkLocation=https://pubmed.ncbi.nlm.nih.gov/42321759/, friendlyName=Open PubMed</x:v>
      </x:c>
      <x:c r="O157" s="31" t="e">
        <x:f>HYPERLINK("https://pmc.ncbi.nlm.nih.gov/articles/PMC13289202/","Open Full Text")</x:f>
        <x:v>HYPERLINK is not implemented. linkLocation=https://pmc.ncbi.nlm.nih.gov/articles/PMC13289202/, friendlyName=Open Full Text</x:v>
      </x:c>
      <x:c r="P157" s="28" t="str">
        <x:v>abstract only</x:v>
      </x:c>
      <x:c r="Q157" s="28" t="str">
        <x:v>PubMed/MEDLINE export supplied by user | query: not verified from export; see Protocol sheet for reproducible recommended query</x:v>
      </x:c>
      <x:c r="R157" s="28" t="str">
        <x:v>Batch 1 core</x:v>
      </x:c>
      <x:c r="S157" s="28" t="str">
        <x:v>Direct ADHD primary study on diagnosis, family/education, structural conditions, lived experience/outcomes, or environment/lifestyle.</x:v>
      </x:c>
      <x:c r="T157" s="28" t="str">
        <x:v>not apparent from accessed abstract/metadata</x:v>
      </x:c>
      <x:c r="U157" s="28" t="str">
        <x:v>none identified in MEDLINE record</x:v>
      </x:c>
      <x:c r="V157" s="26" t="str">
        <x:v>PMC13289202</x:v>
      </x:c>
      <x:c r="W157" s="28" t="str">
        <x:v>PDF available via PMC (verified free full text)</x:v>
      </x:c>
      <x:c r="X157" s="28" t="str">
        <x:v>Yes — PMC</x:v>
      </x:c>
      <x:c r="Y157" s="31" t="e">
        <x:f>IF(V157="not reported","not reported",HYPERLINK("https://pmc.ncbi.nlm.nih.gov/articles/"&amp;V157&amp;"/","Open Full Text"))</x:f>
        <x:v>HYPERLINK is not implemented. linkLocation=https://pmc.ncbi.nlm.nih.gov/articles/PMC13289202/, friendlyName=Open Full Text</x:v>
      </x:c>
      <x:c r="Z157" s="31" t="e">
        <x:f>IF(L157="not reported","not reported",HYPERLINK("https://doi.org/"&amp;L157,"Open Publisher"))</x:f>
        <x:v>HYPERLINK is not implemented. linkLocation=https://doi.org/10.1186/s12888-026-08296-3, friendlyName=Open Publisher</x:v>
      </x:c>
      <x:c r="AA157" s="28" t="str">
        <x:v>PMCID PMC13289202 present in the PubMed/MEDLINE record.</x:v>
      </x:c>
      <x:c r="AB157" s="28" t="str">
        <x:v>Open the PMC full-text page and use its PDF button/download option.</x:v>
      </x:c>
      <x:c r="AC157" s="26" t="str">
        <x:v>2026-09-20</x:v>
      </x:c>
    </x:row>
    <x:row r="158">
      <x:c r="A158" s="26" t="str">
        <x:v>PUBMED-42334100</x:v>
      </x:c>
      <x:c r="B158" s="28" t="str">
        <x:v>Stigmatising Attitudes Towards People With Depression, Bipolar Disorder, Borderline Personality, ADHD and Early and Long-Term/Untreated Schizophrenia: Representative Survey of Australian Adults.</x:v>
      </x:c>
      <x:c r="C158" s="28" t="str">
        <x:v>Morgan, Amy J; Ross, Anna M; McNaught, Gayle; Green, Rachel; Reavley, Nicola J</x:v>
      </x:c>
      <x:c r="D158" s="28" t="n">
        <x:v>2026</x:v>
      </x:c>
      <x:c r="E158" s="28" t="str">
        <x:v>The Medical journal of Australia</x:v>
      </x:c>
      <x:c r="F158" s="28" t="str">
        <x:v>Primary study - cross-sectional</x:v>
      </x:c>
      <x:c r="G158" s="28" t="str">
        <x:v>Development &amp; presentation; Family &amp; education; Social &amp; structural; Treatment &amp; support; Life outcomes &amp; lived experience; Historical &amp; contemporary context</x:v>
      </x:c>
      <x:c r="H158" s="28" t="str">
        <x:v>Adolescence; Adulthood</x:v>
      </x:c>
      <x:c r="I158" s="28" t="str">
        <x:v>Geography (MeSH): Australia</x:v>
      </x:c>
      <x:c r="J158" s="28" t="str">
        <x:v>not reported</x:v>
      </x:c>
      <x:c r="K158" s="28" t="str">
        <x:v>OBJECTIVES: To examine the prevalence in Australia of stigmatising attitudes towards people with six different mental health conditions: depression, early and long-term/untreated forms of schizophrenia, bipolar disorder, borderline personality disorder and attention-deficit/hyperactivity disorder (ADHD).</x:v>
      </x:c>
      <x:c r="L158" s="28" t="str">
        <x:v>10.5694/mja2.70230</x:v>
      </x:c>
      <x:c r="M158" s="28" t="str">
        <x:v>42334100</x:v>
      </x:c>
      <x:c r="N158" s="31" t="e">
        <x:f>HYPERLINK("https://pubmed.ncbi.nlm.nih.gov/"&amp;M158&amp;"/","Open PubMed")</x:f>
        <x:v>HYPERLINK is not implemented. linkLocation=https://pubmed.ncbi.nlm.nih.gov/42334100/, friendlyName=Open PubMed</x:v>
      </x:c>
      <x:c r="O158" s="31" t="e">
        <x:f>HYPERLINK("https://pmc.ncbi.nlm.nih.gov/articles/PMC13288448/","Open Full Text")</x:f>
        <x:v>HYPERLINK is not implemented. linkLocation=https://pmc.ncbi.nlm.nih.gov/articles/PMC13288448/, friendlyName=Open Full Text</x:v>
      </x:c>
      <x:c r="P158" s="28" t="str">
        <x:v>abstract only</x:v>
      </x:c>
      <x:c r="Q158" s="28" t="str">
        <x:v>PubMed/MEDLINE export supplied by user | query: not verified from export; see Protocol sheet for reproducible recommended query</x:v>
      </x:c>
      <x:c r="R158" s="28" t="str">
        <x:v>Batch 1 core</x:v>
      </x:c>
      <x:c r="S158" s="28" t="str">
        <x:v>Direct ADHD primary study on diagnosis, family/education, structural conditions, lived experience/outcomes, or environment/lifestyle.</x:v>
      </x:c>
      <x:c r="T158" s="28" t="str">
        <x:v>not apparent from accessed abstract/metadata</x:v>
      </x:c>
      <x:c r="U158" s="28" t="str">
        <x:v>none identified in MEDLINE record</x:v>
      </x:c>
      <x:c r="V158" s="26" t="str">
        <x:v>PMC13288448</x:v>
      </x:c>
      <x:c r="W158" s="28" t="str">
        <x:v>PDF available via PMC (verified free full text)</x:v>
      </x:c>
      <x:c r="X158" s="28" t="str">
        <x:v>Yes — PMC</x:v>
      </x:c>
      <x:c r="Y158" s="31" t="e">
        <x:f>IF(V158="not reported","not reported",HYPERLINK("https://pmc.ncbi.nlm.nih.gov/articles/"&amp;V158&amp;"/","Open Full Text"))</x:f>
        <x:v>HYPERLINK is not implemented. linkLocation=https://pmc.ncbi.nlm.nih.gov/articles/PMC13288448/, friendlyName=Open Full Text</x:v>
      </x:c>
      <x:c r="Z158" s="31" t="e">
        <x:f>IF(L158="not reported","not reported",HYPERLINK("https://doi.org/"&amp;L158,"Open Publisher"))</x:f>
        <x:v>HYPERLINK is not implemented. linkLocation=https://doi.org/10.5694/mja2.70230, friendlyName=Open Publisher</x:v>
      </x:c>
      <x:c r="AA158" s="28" t="str">
        <x:v>PMCID PMC13288448 present in the PubMed/MEDLINE record.</x:v>
      </x:c>
      <x:c r="AB158" s="28" t="str">
        <x:v>Open the PMC full-text page and use its PDF button/download option.</x:v>
      </x:c>
      <x:c r="AC158" s="26" t="str">
        <x:v>2026-09-20</x:v>
      </x:c>
    </x:row>
    <x:row r="159">
      <x:c r="A159" s="26" t="str">
        <x:v>PUBMED-42178670</x:v>
      </x:c>
      <x:c r="B159" s="28" t="str">
        <x:v>Parental Knowledge and Recognition of Preschool Manifestations of ADHD in Preterm Children: A Cross-Sectional Study.</x:v>
      </x:c>
      <x:c r="C159" s="28" t="str">
        <x:v>Pehlevan, Ozge Serce; Kardas, Burcu; Yildiz, Kubra</x:v>
      </x:c>
      <x:c r="D159" s="28" t="n">
        <x:v>2026</x:v>
      </x:c>
      <x:c r="E159" s="28" t="str">
        <x:v>Journal of paediatrics and child health</x:v>
      </x:c>
      <x:c r="F159" s="28" t="str">
        <x:v>Primary study - cross-sectional</x:v>
      </x:c>
      <x:c r="G159" s="28" t="str">
        <x:v>Development &amp; presentation; Recognition &amp; diagnosis; Family &amp; education; Social &amp; structural; Environmental &amp; lifestyle; Life outcomes &amp; lived experience; Historical &amp; contemporary context</x:v>
      </x:c>
      <x:c r="H159" s="28" t="str">
        <x:v>Childhood; Adulthood</x:v>
      </x:c>
      <x:c r="I159" s="28" t="str">
        <x:v>not reported/not verified</x:v>
      </x:c>
      <x:c r="J159" s="28" t="str">
        <x:v>not reported</x:v>
      </x:c>
      <x:c r="K159" s="28" t="str">
        <x:v>AIM: Preterm birth is a major risk factor for attention-deficit/hyperactivity disorder (ADHD).</x:v>
      </x:c>
      <x:c r="L159" s="28" t="str">
        <x:v>10.1111/jpc.70444</x:v>
      </x:c>
      <x:c r="M159" s="28" t="str">
        <x:v>42178670</x:v>
      </x:c>
      <x:c r="N159" s="31" t="e">
        <x:f>HYPERLINK("https://pubmed.ncbi.nlm.nih.gov/"&amp;M159&amp;"/","Open PubMed")</x:f>
        <x:v>HYPERLINK is not implemented. linkLocation=https://pubmed.ncbi.nlm.nih.gov/42178670/, friendlyName=Open PubMed</x:v>
      </x:c>
      <x:c r="O159" s="31" t="e">
        <x:f>HYPERLINK("https://pmc.ncbi.nlm.nih.gov/articles/PMC13480501/","Open Full Text")</x:f>
        <x:v>HYPERLINK is not implemented. linkLocation=https://pmc.ncbi.nlm.nih.gov/articles/PMC13480501/, friendlyName=Open Full Text</x:v>
      </x:c>
      <x:c r="P159" s="28" t="str">
        <x:v>abstract only</x:v>
      </x:c>
      <x:c r="Q159" s="28" t="str">
        <x:v>PubMed/MEDLINE export supplied by user | query: not verified from export; see Protocol sheet for reproducible recommended query</x:v>
      </x:c>
      <x:c r="R159" s="28" t="str">
        <x:v>Batch 1 core</x:v>
      </x:c>
      <x:c r="S159" s="28" t="str">
        <x:v>Direct ADHD primary study on diagnosis, family/education, structural conditions, lived experience/outcomes, or environment/lifestyle.</x:v>
      </x:c>
      <x:c r="T159" s="28" t="str">
        <x:v>not apparent from accessed abstract/metadata</x:v>
      </x:c>
      <x:c r="U159" s="28" t="str">
        <x:v>none identified in MEDLINE record</x:v>
      </x:c>
      <x:c r="V159" s="26" t="str">
        <x:v>PMC13480501</x:v>
      </x:c>
      <x:c r="W159" s="28" t="str">
        <x:v>PDF available via PMC (verified free full text)</x:v>
      </x:c>
      <x:c r="X159" s="28" t="str">
        <x:v>Yes — PMC</x:v>
      </x:c>
      <x:c r="Y159" s="31" t="e">
        <x:f>IF(V159="not reported","not reported",HYPERLINK("https://pmc.ncbi.nlm.nih.gov/articles/"&amp;V159&amp;"/","Open Full Text"))</x:f>
        <x:v>HYPERLINK is not implemented. linkLocation=https://pmc.ncbi.nlm.nih.gov/articles/PMC13480501/, friendlyName=Open Full Text</x:v>
      </x:c>
      <x:c r="Z159" s="31" t="e">
        <x:f>IF(L159="not reported","not reported",HYPERLINK("https://doi.org/"&amp;L159,"Open Publisher"))</x:f>
        <x:v>HYPERLINK is not implemented. linkLocation=https://doi.org/10.1111/jpc.70444, friendlyName=Open Publisher</x:v>
      </x:c>
      <x:c r="AA159" s="28" t="str">
        <x:v>PMCID PMC13480501 present in the PubMed/MEDLINE record.</x:v>
      </x:c>
      <x:c r="AB159" s="28" t="str">
        <x:v>Open the PMC full-text page and use its PDF button/download option.</x:v>
      </x:c>
      <x:c r="AC159" s="26" t="str">
        <x:v>2026-09-20</x:v>
      </x:c>
    </x:row>
    <x:row r="160">
      <x:c r="A160" s="26" t="str">
        <x:v>PUBMED-42480509</x:v>
      </x:c>
      <x:c r="B160" s="28" t="str">
        <x:v>Diagnostic Discrimination of BOKE STARS, a Bimodal Continuous Performance Test, for Attention-Deficit/Hyperactivity Disorder Assessment in Chinese Children: Single-Center Case-Control Study.</x:v>
      </x:c>
      <x:c r="C160" s="28" t="str">
        <x:v>Xu, Yangyang; Li, Xiaoqian; Cao, Meiling; Li, Jing; Gu, Shuneng; Lv, Lin; Zhang, Heying; Zhao, Jianjuan; Li, Bin; Li, Jian; Li, Feng</x:v>
      </x:c>
      <x:c r="D160" s="28" t="n">
        <x:v>2026</x:v>
      </x:c>
      <x:c r="E160" s="28" t="str">
        <x:v>JMIR formative research</x:v>
      </x:c>
      <x:c r="F160" s="28" t="str">
        <x:v>Primary study - case-control</x:v>
      </x:c>
      <x:c r="G160" s="28" t="str">
        <x:v>Development &amp; presentation; Recognition &amp; diagnosis; Family &amp; education; Social &amp; structural</x:v>
      </x:c>
      <x:c r="H160" s="28" t="str">
        <x:v>Childhood; aged 6 to 12 years</x:v>
      </x:c>
      <x:c r="I160" s="28" t="str">
        <x:v>Geography (MeSH): China</x:v>
      </x:c>
      <x:c r="J160" s="28" t="str">
        <x:v>not reported</x:v>
      </x:c>
      <x:c r="K160" s="28" t="str">
        <x:v>OBJECTIVE: This study aimed to conduct an initial evaluation of the diagnostic discrimination of BOKE STARS (Sustained Task and Attention Response Screening), a culturally adapted bimodal continuous performance test, for distinguishing children with ADHD from typically developing children in a Chinese clinical setting.</x:v>
      </x:c>
      <x:c r="L160" s="28" t="str">
        <x:v>10.2196/82164</x:v>
      </x:c>
      <x:c r="M160" s="28" t="str">
        <x:v>42480509</x:v>
      </x:c>
      <x:c r="N160" s="31" t="e">
        <x:f>HYPERLINK("https://pubmed.ncbi.nlm.nih.gov/"&amp;M160&amp;"/","Open PubMed")</x:f>
        <x:v>HYPERLINK is not implemented. linkLocation=https://pubmed.ncbi.nlm.nih.gov/42480509/, friendlyName=Open PubMed</x:v>
      </x:c>
      <x:c r="O160" s="31" t="e">
        <x:f>HYPERLINK("https://pmc.ncbi.nlm.nih.gov/articles/PMC13387741/","Open Full Text")</x:f>
        <x:v>HYPERLINK is not implemented. linkLocation=https://pmc.ncbi.nlm.nih.gov/articles/PMC13387741/, friendlyName=Open Full Text</x:v>
      </x:c>
      <x:c r="P160" s="28" t="str">
        <x:v>abstract only</x:v>
      </x:c>
      <x:c r="Q160" s="28" t="str">
        <x:v>PubMed/MEDLINE export supplied by user | query: not verified from export; see Protocol sheet for reproducible recommended query</x:v>
      </x:c>
      <x:c r="R160" s="28" t="str">
        <x:v>Batch 1 core</x:v>
      </x:c>
      <x:c r="S160" s="28" t="str">
        <x:v>Direct ADHD primary study on diagnosis, family/education, structural conditions, lived experience/outcomes, or environment/lifestyle.</x:v>
      </x:c>
      <x:c r="T160" s="28" t="str">
        <x:v>not apparent from accessed abstract/metadata</x:v>
      </x:c>
      <x:c r="U160" s="28" t="str">
        <x:v>none identified in MEDLINE record</x:v>
      </x:c>
      <x:c r="V160" s="26" t="str">
        <x:v>PMC13387741</x:v>
      </x:c>
      <x:c r="W160" s="28" t="str">
        <x:v>PDF available via PMC (verified free full text)</x:v>
      </x:c>
      <x:c r="X160" s="28" t="str">
        <x:v>Yes — PMC</x:v>
      </x:c>
      <x:c r="Y160" s="31" t="e">
        <x:f>IF(V160="not reported","not reported",HYPERLINK("https://pmc.ncbi.nlm.nih.gov/articles/"&amp;V160&amp;"/","Open Full Text"))</x:f>
        <x:v>HYPERLINK is not implemented. linkLocation=https://pmc.ncbi.nlm.nih.gov/articles/PMC13387741/, friendlyName=Open Full Text</x:v>
      </x:c>
      <x:c r="Z160" s="31" t="e">
        <x:f>IF(L160="not reported","not reported",HYPERLINK("https://doi.org/"&amp;L160,"Open Publisher"))</x:f>
        <x:v>HYPERLINK is not implemented. linkLocation=https://doi.org/10.2196/82164, friendlyName=Open Publisher</x:v>
      </x:c>
      <x:c r="AA160" s="28" t="str">
        <x:v>PMCID PMC13387741 present in the PubMed/MEDLINE record.</x:v>
      </x:c>
      <x:c r="AB160" s="28" t="str">
        <x:v>Open the PMC full-text page and use its PDF button/download option.</x:v>
      </x:c>
      <x:c r="AC160" s="26" t="str">
        <x:v>2026-09-20</x:v>
      </x:c>
    </x:row>
    <x:row r="161">
      <x:c r="A161" s="26" t="str">
        <x:v>PUBMED-42175808</x:v>
      </x:c>
      <x:c r="B161" s="28" t="str">
        <x:v>Psychometric Assessment of the Arabic Translation of the Adult ADHD Self-Report Scale Version 1.1 6-Question Screener.</x:v>
      </x:c>
      <x:c r="C161" s="28" t="str">
        <x:v>Assaf, Melyssa; Kheir, Nelly; Hallit, Rabih; Malaeb, Diana; Jebreen, Kamel; Sakr, Fouad; Dabbous, Mariam; Obeid, Sahar; Fekih-Romdhane, Feten; Hallit, Souheil</x:v>
      </x:c>
      <x:c r="D161" s="28" t="n">
        <x:v>2026</x:v>
      </x:c>
      <x:c r="E161" s="28" t="str">
        <x:v>International journal of methods in psychiatric research</x:v>
      </x:c>
      <x:c r="F161" s="28" t="str">
        <x:v>Primary study - cross-sectional</x:v>
      </x:c>
      <x:c r="G161" s="28" t="str">
        <x:v>Development &amp; presentation; Recognition &amp; diagnosis; Family &amp; education; Social &amp; structural; Environmental &amp; lifestyle; Historical &amp; contemporary context</x:v>
      </x:c>
      <x:c r="H161" s="28" t="str">
        <x:v>Adulthood; mean age = 28.52</x:v>
      </x:c>
      <x:c r="I161" s="28" t="str">
        <x:v>Geography (MeSH): Lebanon</x:v>
      </x:c>
      <x:c r="J161" s="28" t="str">
        <x:v>not reported</x:v>
      </x:c>
      <x:c r="K161" s="28" t="str">
        <x:v>The purpose of this study was to translate the Adult ADHD Self-Report Scale v1.1 6-Question Screener (ASRS-6) into Arabic and assess its psychometric properties among a sample of Lebanese adults from the general population.</x:v>
      </x:c>
      <x:c r="L161" s="28" t="str">
        <x:v>10.1002/mpr.70083</x:v>
      </x:c>
      <x:c r="M161" s="28" t="str">
        <x:v>42175808</x:v>
      </x:c>
      <x:c r="N161" s="31" t="e">
        <x:f>HYPERLINK("https://pubmed.ncbi.nlm.nih.gov/"&amp;M161&amp;"/","Open PubMed")</x:f>
        <x:v>HYPERLINK is not implemented. linkLocation=https://pubmed.ncbi.nlm.nih.gov/42175808/, friendlyName=Open PubMed</x:v>
      </x:c>
      <x:c r="O161" s="31" t="e">
        <x:f>HYPERLINK("https://pmc.ncbi.nlm.nih.gov/articles/PMC13240305/","Open Full Text")</x:f>
        <x:v>HYPERLINK is not implemented. linkLocation=https://pmc.ncbi.nlm.nih.gov/articles/PMC13240305/, friendlyName=Open Full Text</x:v>
      </x:c>
      <x:c r="P161" s="28" t="str">
        <x:v>abstract only</x:v>
      </x:c>
      <x:c r="Q161" s="28" t="str">
        <x:v>PubMed/MEDLINE export supplied by user | query: not verified from export; see Protocol sheet for reproducible recommended query</x:v>
      </x:c>
      <x:c r="R161" s="28" t="str">
        <x:v>Batch 1 core</x:v>
      </x:c>
      <x:c r="S161" s="28" t="str">
        <x:v>Direct ADHD primary study on diagnosis, family/education, structural conditions, lived experience/outcomes, or environment/lifestyle.</x:v>
      </x:c>
      <x:c r="T161" s="28" t="str">
        <x:v>not apparent from accessed abstract/metadata</x:v>
      </x:c>
      <x:c r="U161" s="28" t="str">
        <x:v>none identified in MEDLINE record</x:v>
      </x:c>
      <x:c r="V161" s="26" t="str">
        <x:v>PMC13240305</x:v>
      </x:c>
      <x:c r="W161" s="28" t="str">
        <x:v>PDF available via PMC (verified free full text)</x:v>
      </x:c>
      <x:c r="X161" s="28" t="str">
        <x:v>Yes — PMC</x:v>
      </x:c>
      <x:c r="Y161" s="31" t="e">
        <x:f>IF(V161="not reported","not reported",HYPERLINK("https://pmc.ncbi.nlm.nih.gov/articles/"&amp;V161&amp;"/","Open Full Text"))</x:f>
        <x:v>HYPERLINK is not implemented. linkLocation=https://pmc.ncbi.nlm.nih.gov/articles/PMC13240305/, friendlyName=Open Full Text</x:v>
      </x:c>
      <x:c r="Z161" s="31" t="e">
        <x:f>IF(L161="not reported","not reported",HYPERLINK("https://doi.org/"&amp;L161,"Open Publisher"))</x:f>
        <x:v>HYPERLINK is not implemented. linkLocation=https://doi.org/10.1002/mpr.70083, friendlyName=Open Publisher</x:v>
      </x:c>
      <x:c r="AA161" s="28" t="str">
        <x:v>PMCID PMC13240305 present in the PubMed/MEDLINE record.</x:v>
      </x:c>
      <x:c r="AB161" s="28" t="str">
        <x:v>Open the PMC full-text page and use its PDF button/download option.</x:v>
      </x:c>
      <x:c r="AC161" s="26" t="str">
        <x:v>2026-09-20</x:v>
      </x:c>
    </x:row>
    <x:row r="162">
      <x:c r="A162" s="26" t="str">
        <x:v>PUBMED-42151901</x:v>
      </x:c>
      <x:c r="B162" s="28" t="str">
        <x:v>The association between ADHD symptoms and different dimensions of problematic use of social media among adolescent: results from the "LifeOnSoMe"-study.</x:v>
      </x:c>
      <x:c r="C162" s="28" t="str">
        <x:v>Danielsen, Hilde Einarsdatter; Finserås, Turi Reiten; Bøe, Tormod; Hjetland, Gunnhild Johnsen; Andersen, Amanda Iselin Olesen; Colman, Ian; Skogen, Jens Christoffer</x:v>
      </x:c>
      <x:c r="D162" s="28" t="n">
        <x:v>2026</x:v>
      </x:c>
      <x:c r="E162" s="28" t="str">
        <x:v>BMC public health</x:v>
      </x:c>
      <x:c r="F162" s="28" t="str">
        <x:v>Primary study - cross-sectional</x:v>
      </x:c>
      <x:c r="G162" s="28" t="str">
        <x:v>Development &amp; presentation; Family &amp; education; Social &amp; structural; Environmental &amp; lifestyle; Historical &amp; contemporary context</x:v>
      </x:c>
      <x:c r="H162" s="28" t="str">
        <x:v>Adolescence; mean age 17.3 years</x:v>
      </x:c>
      <x:c r="I162" s="28" t="str">
        <x:v>Geography (MeSH): Norway</x:v>
      </x:c>
      <x:c r="J162" s="28" t="str">
        <x:v>not reported</x:v>
      </x:c>
      <x:c r="K162" s="28" t="str">
        <x:v>The aim of the present study was to investigate this association using three novel dimensions of problematic social media use: subjective overuse, social obligations, and source of concern.</x:v>
      </x:c>
      <x:c r="L162" s="28" t="str">
        <x:v>10.1186/s12889-026-27631-7</x:v>
      </x:c>
      <x:c r="M162" s="28" t="str">
        <x:v>42151901</x:v>
      </x:c>
      <x:c r="N162" s="31" t="e">
        <x:f>HYPERLINK("https://pubmed.ncbi.nlm.nih.gov/"&amp;M162&amp;"/","Open PubMed")</x:f>
        <x:v>HYPERLINK is not implemented. linkLocation=https://pubmed.ncbi.nlm.nih.gov/42151901/, friendlyName=Open PubMed</x:v>
      </x:c>
      <x:c r="O162" s="31" t="e">
        <x:f>HYPERLINK("https://pmc.ncbi.nlm.nih.gov/articles/PMC13393830/","Open Full Text")</x:f>
        <x:v>HYPERLINK is not implemented. linkLocation=https://pmc.ncbi.nlm.nih.gov/articles/PMC13393830/, friendlyName=Open Full Text</x:v>
      </x:c>
      <x:c r="P162" s="28" t="str">
        <x:v>abstract only</x:v>
      </x:c>
      <x:c r="Q162" s="28" t="str">
        <x:v>PubMed/MEDLINE export supplied by user | query: not verified from export; see Protocol sheet for reproducible recommended query</x:v>
      </x:c>
      <x:c r="R162" s="28" t="str">
        <x:v>Batch 1 core</x:v>
      </x:c>
      <x:c r="S162" s="28" t="str">
        <x:v>Direct ADHD primary study on diagnosis, family/education, structural conditions, lived experience/outcomes, or environment/lifestyle.</x:v>
      </x:c>
      <x:c r="T162" s="28" t="str">
        <x:v>not apparent from accessed abstract/metadata</x:v>
      </x:c>
      <x:c r="U162" s="28" t="str">
        <x:v>none identified in MEDLINE record</x:v>
      </x:c>
      <x:c r="V162" s="26" t="str">
        <x:v>PMC13393830</x:v>
      </x:c>
      <x:c r="W162" s="28" t="str">
        <x:v>PDF available via PMC (verified free full text)</x:v>
      </x:c>
      <x:c r="X162" s="28" t="str">
        <x:v>Yes — PMC</x:v>
      </x:c>
      <x:c r="Y162" s="31" t="e">
        <x:f>IF(V162="not reported","not reported",HYPERLINK("https://pmc.ncbi.nlm.nih.gov/articles/"&amp;V162&amp;"/","Open Full Text"))</x:f>
        <x:v>HYPERLINK is not implemented. linkLocation=https://pmc.ncbi.nlm.nih.gov/articles/PMC13393830/, friendlyName=Open Full Text</x:v>
      </x:c>
      <x:c r="Z162" s="31" t="e">
        <x:f>IF(L162="not reported","not reported",HYPERLINK("https://doi.org/"&amp;L162,"Open Publisher"))</x:f>
        <x:v>HYPERLINK is not implemented. linkLocation=https://doi.org/10.1186/s12889-026-27631-7, friendlyName=Open Publisher</x:v>
      </x:c>
      <x:c r="AA162" s="28" t="str">
        <x:v>PMCID PMC13393830 present in the PubMed/MEDLINE record.</x:v>
      </x:c>
      <x:c r="AB162" s="28" t="str">
        <x:v>Open the PMC full-text page and use its PDF button/download option.</x:v>
      </x:c>
      <x:c r="AC162" s="26" t="str">
        <x:v>2026-09-20</x:v>
      </x:c>
    </x:row>
    <x:row r="163">
      <x:c r="A163" s="26" t="str">
        <x:v>PUBMED-42522250</x:v>
      </x:c>
      <x:c r="B163" s="28" t="str">
        <x:v>Sleep quality and cognitive disengagement syndrome as sequential mediators linking chronotype to ADHD symptom dimensions in adults with attentional complaints.</x:v>
      </x:c>
      <x:c r="C163" s="28" t="str">
        <x:v>Erdogan Akturk, Beyza; Kaptanoglu, Omer; Insel Kaptanoglu, Meltem</x:v>
      </x:c>
      <x:c r="D163" s="28" t="n">
        <x:v>2026</x:v>
      </x:c>
      <x:c r="E163" s="28" t="str">
        <x:v>Chronobiology international</x:v>
      </x:c>
      <x:c r="F163" s="28" t="str">
        <x:v>Primary study - cross-sectional</x:v>
      </x:c>
      <x:c r="G163" s="28" t="str">
        <x:v>Development &amp; presentation; Recognition &amp; diagnosis; Social &amp; structural; Environmental &amp; lifestyle; Treatment &amp; support</x:v>
      </x:c>
      <x:c r="H163" s="28" t="str">
        <x:v>Adulthood</x:v>
      </x:c>
      <x:c r="I163" s="28" t="str">
        <x:v>not reported/not verified</x:v>
      </x:c>
      <x:c r="J163" s="28" t="str">
        <x:v>not reported</x:v>
      </x:c>
      <x:c r="K163" s="28" t="str">
        <x:v>Evening chronotype is overrepresented in adults with attention-deficit/hyperactivity disorder (ADHD), yet how circadian preference relates to specific symptom dimensions remains unclear.</x:v>
      </x:c>
      <x:c r="L163" s="28" t="str">
        <x:v>10.1080/07420528.2026.2710230</x:v>
      </x:c>
      <x:c r="M163" s="28" t="str">
        <x:v>42522250</x:v>
      </x:c>
      <x:c r="N163" s="31" t="e">
        <x:f>HYPERLINK("https://pubmed.ncbi.nlm.nih.gov/"&amp;M163&amp;"/","Open PubMed")</x:f>
        <x:v>HYPERLINK is not implemented. linkLocation=https://pubmed.ncbi.nlm.nih.gov/42522250/, friendlyName=Open PubMed</x:v>
      </x:c>
      <x:c r="O163" s="31" t="str">
        <x:v>not reported</x:v>
      </x:c>
      <x:c r="P163" s="28" t="str">
        <x:v>abstract only</x:v>
      </x:c>
      <x:c r="Q163" s="28" t="str">
        <x:v>PubMed/MEDLINE export supplied by user | query: not verified from export; see Protocol sheet for reproducible recommended query</x:v>
      </x:c>
      <x:c r="R163" s="28" t="str">
        <x:v>Batch 1 core</x:v>
      </x:c>
      <x:c r="S163" s="28" t="str">
        <x:v>Direct ADHD primary study on diagnosis, family/education, structural conditions, lived experience/outcomes, or environment/lifestyle.</x:v>
      </x:c>
      <x:c r="T163" s="28" t="str">
        <x:v>not apparent from accessed abstract/metadata</x:v>
      </x:c>
      <x:c r="U163" s="28" t="str">
        <x:v>none identified in MEDLINE record</x:v>
      </x:c>
      <x:c r="V163" s="26" t="str">
        <x:v>not reported</x:v>
      </x:c>
      <x:c r="W163" s="28" t="str">
        <x:v>No PMC copy identified; publisher PDF/access must be checked</x:v>
      </x:c>
      <x:c r="X163" s="28" t="str">
        <x:v>Not verified</x:v>
      </x:c>
      <x:c r="Y163" s="31" t="str">
        <x:f>IF(V163="not reported","not reported",HYPERLINK("https://pmc.ncbi.nlm.nih.gov/articles/"&amp;V163&amp;"/","Open Full Text"))</x:f>
        <x:v>not reported</x:v>
      </x:c>
      <x:c r="Z163" s="31" t="e">
        <x:f>IF(L163="not reported","not reported",HYPERLINK("https://doi.org/"&amp;L163,"Open Publisher"))</x:f>
        <x:v>HYPERLINK is not implemented. linkLocation=https://doi.org/10.1080/07420528.2026.2710230, friendlyName=Open Publisher</x:v>
      </x:c>
      <x:c r="AA163" s="28" t="str">
        <x:v>DOI present in PubMed/MEDLINE; no PMCID present.</x:v>
      </x:c>
      <x:c r="AB163" s="28" t="str">
        <x:v>Open the DOI/publisher page. If PDF is paywalled, try Stony Brook Library access, Article Galaxy, or interlibrary loan.</x:v>
      </x:c>
      <x:c r="AC163" s="26" t="str">
        <x:v>2026-09-20</x:v>
      </x:c>
    </x:row>
    <x:row r="164">
      <x:c r="A164" s="26" t="str">
        <x:v>PUBMED-42654244</x:v>
      </x:c>
      <x:c r="B164" s="28" t="str">
        <x:v>Decoding Communication Difficulties in ADHD: A Narrative Review on the Potential Links with Dietary Patterns, the Microbiome, and Oxidative Stress.</x:v>
      </x:c>
      <x:c r="C164" s="28" t="str">
        <x:v>Petropoulos, Andreas; Pergantis, Pantelis; Drosos, Konstantinos; Tafiadis, Dionysios</x:v>
      </x:c>
      <x:c r="D164" s="28" t="n">
        <x:v>2026</x:v>
      </x:c>
      <x:c r="E164" s="28" t="str">
        <x:v>Nutrients</x:v>
      </x:c>
      <x:c r="F164" s="28" t="str">
        <x:v>Evidence synthesis - review</x:v>
      </x:c>
      <x:c r="G164" s="28" t="str">
        <x:v>Development &amp; presentation; Recognition &amp; diagnosis; Social &amp; structural; Environmental &amp; lifestyle; Treatment &amp; support; Life outcomes &amp; lived experience</x:v>
      </x:c>
      <x:c r="H164" s="28" t="str">
        <x:v>Childhood</x:v>
      </x:c>
      <x:c r="I164" s="28" t="str">
        <x:v>not reported/not verified</x:v>
      </x:c>
      <x:c r="J164" s="28" t="str">
        <x:v>not reported</x:v>
      </x:c>
      <x:c r="K164" s="28" t="str">
        <x:v>Methods: This review was performed using the SANRA (Scale for the Assessment of Narrative Review Articles) framework.</x:v>
      </x:c>
      <x:c r="L164" s="28" t="str">
        <x:v>10.3390/nu18162664</x:v>
      </x:c>
      <x:c r="M164" s="28" t="str">
        <x:v>42654244</x:v>
      </x:c>
      <x:c r="N164" s="31" t="e">
        <x:f>HYPERLINK("https://pubmed.ncbi.nlm.nih.gov/"&amp;M164&amp;"/","Open PubMed")</x:f>
        <x:v>HYPERLINK is not implemented. linkLocation=https://pubmed.ncbi.nlm.nih.gov/42654244/, friendlyName=Open PubMed</x:v>
      </x:c>
      <x:c r="O164" s="31" t="e">
        <x:f>HYPERLINK("https://pmc.ncbi.nlm.nih.gov/articles/PMC13516137/","Open Full Text")</x:f>
        <x:v>HYPERLINK is not implemented. linkLocation=https://pmc.ncbi.nlm.nih.gov/articles/PMC13516137/, friendlyName=Open Full Text</x:v>
      </x:c>
      <x:c r="P164" s="28" t="str">
        <x:v>abstract only</x:v>
      </x:c>
      <x:c r="Q164" s="28" t="str">
        <x:v>PubMed/MEDLINE export supplied by user | query: not verified from export; see Protocol sheet for reproducible recommended query</x:v>
      </x:c>
      <x:c r="R164" s="28" t="str">
        <x:v>Batch 1 core</x:v>
      </x:c>
      <x:c r="S164" s="28" t="str">
        <x:v>Direct ADHD evidence synthesis/guideline with broad multi-topic relevance.</x:v>
      </x:c>
      <x:c r="T164" s="28" t="str">
        <x:v>not apparent from accessed abstract/metadata</x:v>
      </x:c>
      <x:c r="U164" s="28" t="str">
        <x:v>none identified in MEDLINE record</x:v>
      </x:c>
      <x:c r="V164" s="26" t="str">
        <x:v>PMC13516137</x:v>
      </x:c>
      <x:c r="W164" s="28" t="str">
        <x:v>PDF available via PMC (verified free full text)</x:v>
      </x:c>
      <x:c r="X164" s="28" t="str">
        <x:v>Yes — PMC</x:v>
      </x:c>
      <x:c r="Y164" s="31" t="e">
        <x:f>IF(V164="not reported","not reported",HYPERLINK("https://pmc.ncbi.nlm.nih.gov/articles/"&amp;V164&amp;"/","Open Full Text"))</x:f>
        <x:v>HYPERLINK is not implemented. linkLocation=https://pmc.ncbi.nlm.nih.gov/articles/PMC13516137/, friendlyName=Open Full Text</x:v>
      </x:c>
      <x:c r="Z164" s="31" t="e">
        <x:f>IF(L164="not reported","not reported",HYPERLINK("https://doi.org/"&amp;L164,"Open Publisher"))</x:f>
        <x:v>HYPERLINK is not implemented. linkLocation=https://doi.org/10.3390/nu18162664, friendlyName=Open Publisher</x:v>
      </x:c>
      <x:c r="AA164" s="28" t="str">
        <x:v>PMCID PMC13516137 present in the PubMed/MEDLINE record.</x:v>
      </x:c>
      <x:c r="AB164" s="28" t="str">
        <x:v>Open the PMC full-text page and use its PDF button/download option.</x:v>
      </x:c>
      <x:c r="AC164" s="26" t="str">
        <x:v>2026-09-20</x:v>
      </x:c>
    </x:row>
    <x:row r="165">
      <x:c r="A165" s="26" t="str">
        <x:v>PUBMED-42740304</x:v>
      </x:c>
      <x:c r="B165" s="28" t="str">
        <x:v>Neurophysiological Characterization of ADHD in Children Using EEG Signals: A Machine Learning Approach to Executive Function Networks.</x:v>
      </x:c>
      <x:c r="C165" s="28" t="str">
        <x:v>Gutiérrez-Jácome, Diana Beatriz; Campos-Ortuño, Rosalynn Argelia; Pardo-Valenzuela, José Eduardo; Gómez-Morales, Óscar Wladimir</x:v>
      </x:c>
      <x:c r="D165" s="28" t="n">
        <x:v>2026</x:v>
      </x:c>
      <x:c r="E165" s="28" t="str">
        <x:v>Sensors (Basel, Switzerland)</x:v>
      </x:c>
      <x:c r="F165" s="28" t="str">
        <x:v>Primary study - cohort</x:v>
      </x:c>
      <x:c r="G165" s="28" t="str">
        <x:v>Development &amp; presentation; Recognition &amp; diagnosis; Social &amp; structural; Treatment &amp; support</x:v>
      </x:c>
      <x:c r="H165" s="28" t="str">
        <x:v>Childhood</x:v>
      </x:c>
      <x:c r="I165" s="28" t="str">
        <x:v>not reported/not verified</x:v>
      </x:c>
      <x:c r="J165" s="28" t="str">
        <x:v>not reported</x:v>
      </x:c>
      <x:c r="K165" s="28" t="str">
        <x:v>This study evaluates a subject-wise machine learning framework for distinguishing children with ADHD from healthy controls using multichannel EEG-derived features.</x:v>
      </x:c>
      <x:c r="L165" s="28" t="str">
        <x:v>10.3390/s26175684</x:v>
      </x:c>
      <x:c r="M165" s="28" t="str">
        <x:v>42740304</x:v>
      </x:c>
      <x:c r="N165" s="31" t="e">
        <x:f>HYPERLINK("https://pubmed.ncbi.nlm.nih.gov/"&amp;M165&amp;"/","Open PubMed")</x:f>
        <x:v>HYPERLINK is not implemented. linkLocation=https://pubmed.ncbi.nlm.nih.gov/42740304/, friendlyName=Open PubMed</x:v>
      </x:c>
      <x:c r="O165" s="31" t="e">
        <x:f>HYPERLINK("https://pmc.ncbi.nlm.nih.gov/articles/PMC13568199/","Open Full Text")</x:f>
        <x:v>HYPERLINK is not implemented. linkLocation=https://pmc.ncbi.nlm.nih.gov/articles/PMC13568199/, friendlyName=Open Full Text</x:v>
      </x:c>
      <x:c r="P165" s="28" t="str">
        <x:v>abstract only</x:v>
      </x:c>
      <x:c r="Q165" s="28" t="str">
        <x:v>PubMed/MEDLINE export supplied by user | query: not verified from export; see Protocol sheet for reproducible recommended query</x:v>
      </x:c>
      <x:c r="R165" s="28" t="str">
        <x:v>Batch 1 core</x:v>
      </x:c>
      <x:c r="S165" s="28" t="str">
        <x:v>Direct ADHD primary study on diagnosis, family/education, structural conditions, lived experience/outcomes, or environment/lifestyle.</x:v>
      </x:c>
      <x:c r="T165" s="28" t="str">
        <x:v>not apparent from accessed abstract/metadata</x:v>
      </x:c>
      <x:c r="U165" s="28" t="str">
        <x:v>none identified in MEDLINE record</x:v>
      </x:c>
      <x:c r="V165" s="26" t="str">
        <x:v>PMC13568199</x:v>
      </x:c>
      <x:c r="W165" s="28" t="str">
        <x:v>PDF available via PMC (verified free full text)</x:v>
      </x:c>
      <x:c r="X165" s="28" t="str">
        <x:v>Yes — PMC</x:v>
      </x:c>
      <x:c r="Y165" s="31" t="e">
        <x:f>IF(V165="not reported","not reported",HYPERLINK("https://pmc.ncbi.nlm.nih.gov/articles/"&amp;V165&amp;"/","Open Full Text"))</x:f>
        <x:v>HYPERLINK is not implemented. linkLocation=https://pmc.ncbi.nlm.nih.gov/articles/PMC13568199/, friendlyName=Open Full Text</x:v>
      </x:c>
      <x:c r="Z165" s="31" t="e">
        <x:f>IF(L165="not reported","not reported",HYPERLINK("https://doi.org/"&amp;L165,"Open Publisher"))</x:f>
        <x:v>HYPERLINK is not implemented. linkLocation=https://doi.org/10.3390/s26175684, friendlyName=Open Publisher</x:v>
      </x:c>
      <x:c r="AA165" s="28" t="str">
        <x:v>PMCID PMC13568199 present in the PubMed/MEDLINE record.</x:v>
      </x:c>
      <x:c r="AB165" s="28" t="str">
        <x:v>Open the PMC full-text page and use its PDF button/download option.</x:v>
      </x:c>
      <x:c r="AC165" s="26" t="str">
        <x:v>2026-09-20</x:v>
      </x:c>
    </x:row>
    <x:row r="166">
      <x:c r="A166" s="26" t="str">
        <x:v>PUBMED-42659559</x:v>
      </x:c>
      <x:c r="B166" s="28" t="str">
        <x:v>[Content validity and linguistic suitability of an ADHD assessment tool based on DSM-5 for parents and teachers: preliminary study].</x:v>
      </x:c>
      <x:c r="C166" s="28" t="str">
        <x:v>Velarde-Incháustegui, Myriam; Espinola-Sánchez, Marcos; Cardenas-Soza, Aland; Guevara-Cordero, Claudia; Pintado-Caipa, Maritza; Gómez-Velarde, Myriam; Rojas-Huamancaja, Elizabeth; Vilchez-Fernandez, Leidi; Gómez-Galiano, Walter; Ruiz-Paredes, Arturo</x:v>
      </x:c>
      <x:c r="D166" s="28" t="n">
        <x:v>2026</x:v>
      </x:c>
      <x:c r="E166" s="28" t="str">
        <x:v>Medicina</x:v>
      </x:c>
      <x:c r="F166" s="28" t="str">
        <x:v>Primary study - qualitative</x:v>
      </x:c>
      <x:c r="G166" s="28" t="str">
        <x:v>Development &amp; presentation; Recognition &amp; diagnosis; Family &amp; education; Social &amp; structural; Life outcomes &amp; lived experience</x:v>
      </x:c>
      <x:c r="H166" s="28" t="str">
        <x:v>Childhood; Adolescence</x:v>
      </x:c>
      <x:c r="I166" s="28" t="str">
        <x:v>not reported/not verified</x:v>
      </x:c>
      <x:c r="J166" s="28" t="str">
        <x:v>not reported</x:v>
      </x:c>
      <x:c r="K166" s="28" t="str">
        <x:v>This study aimed to establish the linguistic validity of content on a scale based on DSM-5 criteria to evaluate symptoms of Attention Deficit Hyperactivity Disorder (ADHD) in children and adolescents, aimed at parents and teachers.</x:v>
      </x:c>
      <x:c r="L166" s="28" t="str">
        <x:v>not reported</x:v>
      </x:c>
      <x:c r="M166" s="28" t="str">
        <x:v>42659559</x:v>
      </x:c>
      <x:c r="N166" s="31" t="e">
        <x:f>HYPERLINK("https://pubmed.ncbi.nlm.nih.gov/"&amp;M166&amp;"/","Open PubMed")</x:f>
        <x:v>HYPERLINK is not implemented. linkLocation=https://pubmed.ncbi.nlm.nih.gov/42659559/, friendlyName=Open PubMed</x:v>
      </x:c>
      <x:c r="O166" s="31" t="str">
        <x:v>not reported</x:v>
      </x:c>
      <x:c r="P166" s="28" t="str">
        <x:v>abstract only</x:v>
      </x:c>
      <x:c r="Q166" s="28" t="str">
        <x:v>PubMed/MEDLINE export supplied by user | query: not verified from export; see Protocol sheet for reproducible recommended query</x:v>
      </x:c>
      <x:c r="R166" s="28" t="str">
        <x:v>Batch 1 core</x:v>
      </x:c>
      <x:c r="S166" s="28" t="str">
        <x:v>Direct ADHD primary study on diagnosis, family/education, structural conditions, lived experience/outcomes, or environment/lifestyle.</x:v>
      </x:c>
      <x:c r="T166" s="28" t="str">
        <x:v>not apparent from accessed abstract/metadata</x:v>
      </x:c>
      <x:c r="U166" s="28" t="str">
        <x:v>none identified in MEDLINE record</x:v>
      </x:c>
      <x:c r="V166" s="26" t="str">
        <x:v>not reported</x:v>
      </x:c>
      <x:c r="W166" s="28" t="str">
        <x:v>No direct PDF/full-text identifier found in PubMed metadata</x:v>
      </x:c>
      <x:c r="X166" s="28" t="str">
        <x:v>Not verified</x:v>
      </x:c>
      <x:c r="Y166" s="31" t="str">
        <x:f>IF(V166="not reported","not reported",HYPERLINK("https://pmc.ncbi.nlm.nih.gov/articles/"&amp;V166&amp;"/","Open Full Text"))</x:f>
        <x:v>not reported</x:v>
      </x:c>
      <x:c r="Z166" s="31" t="str">
        <x:f>IF(L166="not reported","not reported",HYPERLINK("https://doi.org/"&amp;L166,"Open Publisher"))</x:f>
        <x:v>not reported</x:v>
      </x:c>
      <x:c r="AA166" s="28" t="str">
        <x:v>No PMCID or DOI present in the supplied PubMed/MEDLINE record.</x:v>
      </x:c>
      <x:c r="AB166" s="28" t="str">
        <x:v>Search the exact title/PMID in Stony Brook Library; if unavailable, request via interlibrary loan/document delivery.</x:v>
      </x:c>
      <x:c r="AC166" s="26" t="str">
        <x:v>2026-09-20</x:v>
      </x:c>
    </x:row>
    <x:row r="167">
      <x:c r="A167" s="26" t="str">
        <x:v>PUBMED-41967398</x:v>
      </x:c>
      <x:c r="B167" s="28" t="str">
        <x:v>Cognitive functioning in children with both epilepsy and ADHD: A systematic review and meta-analysis.</x:v>
      </x:c>
      <x:c r="C167" s="28" t="str">
        <x:v>Wickens, Steven; Gummersall, Persephone; Brown, Trevor</x:v>
      </x:c>
      <x:c r="D167" s="28" t="n">
        <x:v>2026</x:v>
      </x:c>
      <x:c r="E167" s="28" t="str">
        <x:v>Brain &amp; development</x:v>
      </x:c>
      <x:c r="F167" s="28" t="str">
        <x:v>Evidence synthesis - meta-analysis</x:v>
      </x:c>
      <x:c r="G167" s="28" t="str">
        <x:v>Development &amp; presentation; Recognition &amp; diagnosis; Social &amp; structural; Treatment &amp; support; Life outcomes &amp; lived experience</x:v>
      </x:c>
      <x:c r="H167" s="28" t="str">
        <x:v>Childhood</x:v>
      </x:c>
      <x:c r="I167" s="28" t="str">
        <x:v>not reported/not verified</x:v>
      </x:c>
      <x:c r="J167" s="28" t="str">
        <x:v>not reported</x:v>
      </x:c>
      <x:c r="K167" s="28" t="str">
        <x:v>The aim of the current systematic review and meta-analysis was to investigate neuropsychological functioning of children with epilepsy (CWE) and ADHD.</x:v>
      </x:c>
      <x:c r="L167" s="28" t="str">
        <x:v>10.1016/j.braindev.2026.104533</x:v>
      </x:c>
      <x:c r="M167" s="28" t="str">
        <x:v>41967398</x:v>
      </x:c>
      <x:c r="N167" s="31" t="e">
        <x:f>HYPERLINK("https://pubmed.ncbi.nlm.nih.gov/"&amp;M167&amp;"/","Open PubMed")</x:f>
        <x:v>HYPERLINK is not implemented. linkLocation=https://pubmed.ncbi.nlm.nih.gov/41967398/, friendlyName=Open PubMed</x:v>
      </x:c>
      <x:c r="O167" s="31" t="str">
        <x:v>not reported</x:v>
      </x:c>
      <x:c r="P167" s="28" t="str">
        <x:v>abstract only</x:v>
      </x:c>
      <x:c r="Q167" s="28" t="str">
        <x:v>PubMed/MEDLINE export supplied by user | query: not verified from export; see Protocol sheet for reproducible recommended query</x:v>
      </x:c>
      <x:c r="R167" s="28" t="str">
        <x:v>Batch 1 core</x:v>
      </x:c>
      <x:c r="S167" s="28" t="str">
        <x:v>Direct ADHD evidence synthesis/guideline with broad multi-topic relevance.</x:v>
      </x:c>
      <x:c r="T167" s="28" t="str">
        <x:v>not apparent from accessed abstract/metadata</x:v>
      </x:c>
      <x:c r="U167" s="28" t="str">
        <x:v>none identified in MEDLINE record</x:v>
      </x:c>
      <x:c r="V167" s="26" t="str">
        <x:v>not reported</x:v>
      </x:c>
      <x:c r="W167" s="28" t="str">
        <x:v>No PMC copy identified; publisher PDF/access must be checked</x:v>
      </x:c>
      <x:c r="X167" s="28" t="str">
        <x:v>Not verified</x:v>
      </x:c>
      <x:c r="Y167" s="31" t="str">
        <x:f>IF(V167="not reported","not reported",HYPERLINK("https://pmc.ncbi.nlm.nih.gov/articles/"&amp;V167&amp;"/","Open Full Text"))</x:f>
        <x:v>not reported</x:v>
      </x:c>
      <x:c r="Z167" s="31" t="e">
        <x:f>IF(L167="not reported","not reported",HYPERLINK("https://doi.org/"&amp;L167,"Open Publisher"))</x:f>
        <x:v>HYPERLINK is not implemented. linkLocation=https://doi.org/10.1016/j.braindev.2026.104533, friendlyName=Open Publisher</x:v>
      </x:c>
      <x:c r="AA167" s="28" t="str">
        <x:v>DOI present in PubMed/MEDLINE; no PMCID present.</x:v>
      </x:c>
      <x:c r="AB167" s="28" t="str">
        <x:v>Open the DOI/publisher page. If PDF is paywalled, try Stony Brook Library access, Article Galaxy, or interlibrary loan.</x:v>
      </x:c>
      <x:c r="AC167" s="26" t="str">
        <x:v>2026-09-20</x:v>
      </x:c>
    </x:row>
    <x:row r="168">
      <x:c r="A168" s="26" t="str">
        <x:v>PUBMED-41914673</x:v>
      </x:c>
      <x:c r="B168" s="28" t="str">
        <x:v>Impact of Medication Therapy on Social, Behavioral, and Employment Outcomes in Adults With ADHD.</x:v>
      </x:c>
      <x:c r="C168" s="28" t="str">
        <x:v>Pathan, Maryam; Jeun, Ki Jin; Al-Mamun, Mohammad A</x:v>
      </x:c>
      <x:c r="D168" s="28" t="n">
        <x:v>2026</x:v>
      </x:c>
      <x:c r="E168" s="28" t="str">
        <x:v>Journal of attention disorders</x:v>
      </x:c>
      <x:c r="F168" s="28" t="str">
        <x:v>Primary study - cross-sectional</x:v>
      </x:c>
      <x:c r="G168" s="28" t="str">
        <x:v>Development &amp; presentation; Social &amp; structural; Environmental &amp; lifestyle; Treatment &amp; support; Life outcomes &amp; lived experience</x:v>
      </x:c>
      <x:c r="H168" s="28" t="str">
        <x:v>Adulthood</x:v>
      </x:c>
      <x:c r="I168" s="28" t="str">
        <x:v>not reported/not verified</x:v>
      </x:c>
      <x:c r="J168" s="28" t="str">
        <x:v>2013-2019</x:v>
      </x:c>
      <x:c r="K168" s="28" t="str">
        <x:v>OBJECTIVE: Limited studies have explored the association between pharmacotherapy treatment and socio-behavioral and employment-related difficulties among adults with ADHD in U.S.</x:v>
      </x:c>
      <x:c r="L168" s="28" t="str">
        <x:v>10.1177/10870547261433489</x:v>
      </x:c>
      <x:c r="M168" s="28" t="str">
        <x:v>41914673</x:v>
      </x:c>
      <x:c r="N168" s="31" t="e">
        <x:f>HYPERLINK("https://pubmed.ncbi.nlm.nih.gov/"&amp;M168&amp;"/","Open PubMed")</x:f>
        <x:v>HYPERLINK is not implemented. linkLocation=https://pubmed.ncbi.nlm.nih.gov/41914673/, friendlyName=Open PubMed</x:v>
      </x:c>
      <x:c r="O168" s="31" t="str">
        <x:v>not reported</x:v>
      </x:c>
      <x:c r="P168" s="28" t="str">
        <x:v>abstract only</x:v>
      </x:c>
      <x:c r="Q168" s="28" t="str">
        <x:v>PubMed/MEDLINE export supplied by user | query: not verified from export; see Protocol sheet for reproducible recommended query</x:v>
      </x:c>
      <x:c r="R168" s="28" t="str">
        <x:v>Batch 1 core</x:v>
      </x:c>
      <x:c r="S168" s="28" t="str">
        <x:v>Direct ADHD primary study on diagnosis, family/education, structural conditions, lived experience/outcomes, or environment/lifestyle.</x:v>
      </x:c>
      <x:c r="T168" s="28" t="str">
        <x:v>not apparent from accessed abstract/metadata</x:v>
      </x:c>
      <x:c r="U168" s="28" t="str">
        <x:v>none identified in MEDLINE record</x:v>
      </x:c>
      <x:c r="V168" s="26" t="str">
        <x:v>not reported</x:v>
      </x:c>
      <x:c r="W168" s="28" t="str">
        <x:v>No PMC copy identified; publisher PDF/access must be checked</x:v>
      </x:c>
      <x:c r="X168" s="28" t="str">
        <x:v>Not verified</x:v>
      </x:c>
      <x:c r="Y168" s="31" t="str">
        <x:f>IF(V168="not reported","not reported",HYPERLINK("https://pmc.ncbi.nlm.nih.gov/articles/"&amp;V168&amp;"/","Open Full Text"))</x:f>
        <x:v>not reported</x:v>
      </x:c>
      <x:c r="Z168" s="31" t="e">
        <x:f>IF(L168="not reported","not reported",HYPERLINK("https://doi.org/"&amp;L168,"Open Publisher"))</x:f>
        <x:v>HYPERLINK is not implemented. linkLocation=https://doi.org/10.1177/10870547261433489, friendlyName=Open Publisher</x:v>
      </x:c>
      <x:c r="AA168" s="28" t="str">
        <x:v>DOI present in PubMed/MEDLINE; no PMCID present.</x:v>
      </x:c>
      <x:c r="AB168" s="28" t="str">
        <x:v>Open the DOI/publisher page. If PDF is paywalled, try Stony Brook Library access, Article Galaxy, or interlibrary loan.</x:v>
      </x:c>
      <x:c r="AC168" s="26" t="str">
        <x:v>2026-09-20</x:v>
      </x:c>
    </x:row>
    <x:row r="169">
      <x:c r="A169" s="26" t="str">
        <x:v>PUBMED-41910119</x:v>
      </x:c>
      <x:c r="B169" s="28" t="str">
        <x:v>Association between Attention Deficit Hyperactivity Disorder and Obstructive Sleep Apnea in Children: A Systematic Review and Meta-Analysis.</x:v>
      </x:c>
      <x:c r="C169" s="28" t="str">
        <x:v>Leow, Bryan Hao Wei; Tan, Claire Jing-Wen; Yeo, Brian Sheng Yep; Ng, Noelle Na En; Low, Seraphina Cheng Yong; Ng, Adele Chin Wei; Teoh, Oon Hoe; Toh, Song Tar; Tay, Ellen Ghim Hoon</x:v>
      </x:c>
      <x:c r="D169" s="28" t="n">
        <x:v>2026</x:v>
      </x:c>
      <x:c r="E169" s="28" t="str">
        <x:v>Journal of attention disorders</x:v>
      </x:c>
      <x:c r="F169" s="28" t="str">
        <x:v>Evidence synthesis - meta-analysis</x:v>
      </x:c>
      <x:c r="G169" s="28" t="str">
        <x:v>Development &amp; presentation; Recognition &amp; diagnosis; Social &amp; structural; Environmental &amp; lifestyle; Treatment &amp; support; Life outcomes &amp; lived experience</x:v>
      </x:c>
      <x:c r="H169" s="28" t="str">
        <x:v>Childhood</x:v>
      </x:c>
      <x:c r="I169" s="28" t="str">
        <x:v>not reported/not verified</x:v>
      </x:c>
      <x:c r="J169" s="28" t="str">
        <x:v>not reported</x:v>
      </x:c>
      <x:c r="K169" s="28" t="str">
        <x:v>BACKGROUND: Obstructive Sleep Apnea (OSA) and Attention Deficit Hyperactivity Disorder (ADHD) are two relatively common conditions in the pediatric population, with multiple studies demonstrating a strong association between the two.</x:v>
      </x:c>
      <x:c r="L169" s="28" t="str">
        <x:v>10.1177/10870547261426094</x:v>
      </x:c>
      <x:c r="M169" s="28" t="str">
        <x:v>41910119</x:v>
      </x:c>
      <x:c r="N169" s="31" t="e">
        <x:f>HYPERLINK("https://pubmed.ncbi.nlm.nih.gov/"&amp;M169&amp;"/","Open PubMed")</x:f>
        <x:v>HYPERLINK is not implemented. linkLocation=https://pubmed.ncbi.nlm.nih.gov/41910119/, friendlyName=Open PubMed</x:v>
      </x:c>
      <x:c r="O169" s="31" t="str">
        <x:v>not reported</x:v>
      </x:c>
      <x:c r="P169" s="28" t="str">
        <x:v>abstract only</x:v>
      </x:c>
      <x:c r="Q169" s="28" t="str">
        <x:v>PubMed/MEDLINE export supplied by user | query: not verified from export; see Protocol sheet for reproducible recommended query</x:v>
      </x:c>
      <x:c r="R169" s="28" t="str">
        <x:v>Batch 1 core</x:v>
      </x:c>
      <x:c r="S169" s="28" t="str">
        <x:v>Direct ADHD evidence synthesis/guideline with broad multi-topic relevance.</x:v>
      </x:c>
      <x:c r="T169" s="28" t="str">
        <x:v>not apparent from accessed abstract/metadata</x:v>
      </x:c>
      <x:c r="U169" s="28" t="str">
        <x:v>none identified in MEDLINE record</x:v>
      </x:c>
      <x:c r="V169" s="26" t="str">
        <x:v>not reported</x:v>
      </x:c>
      <x:c r="W169" s="28" t="str">
        <x:v>No PMC copy identified; publisher PDF/access must be checked</x:v>
      </x:c>
      <x:c r="X169" s="28" t="str">
        <x:v>Not verified</x:v>
      </x:c>
      <x:c r="Y169" s="31" t="str">
        <x:f>IF(V169="not reported","not reported",HYPERLINK("https://pmc.ncbi.nlm.nih.gov/articles/"&amp;V169&amp;"/","Open Full Text"))</x:f>
        <x:v>not reported</x:v>
      </x:c>
      <x:c r="Z169" s="31" t="e">
        <x:f>IF(L169="not reported","not reported",HYPERLINK("https://doi.org/"&amp;L169,"Open Publisher"))</x:f>
        <x:v>HYPERLINK is not implemented. linkLocation=https://doi.org/10.1177/10870547261426094, friendlyName=Open Publisher</x:v>
      </x:c>
      <x:c r="AA169" s="28" t="str">
        <x:v>DOI present in PubMed/MEDLINE; no PMCID present.</x:v>
      </x:c>
      <x:c r="AB169" s="28" t="str">
        <x:v>Open the DOI/publisher page. If PDF is paywalled, try Stony Brook Library access, Article Galaxy, or interlibrary loan.</x:v>
      </x:c>
      <x:c r="AC169" s="26" t="str">
        <x:v>2026-09-20</x:v>
      </x:c>
    </x:row>
    <x:row r="170">
      <x:c r="A170" s="26" t="str">
        <x:v>PUBMED-41904958</x:v>
      </x:c>
      <x:c r="B170" s="28" t="str">
        <x:v>A multi‑stakeholder preliminary needs assessment to inform the co‑design of a digital telerehabilitation tool for children and adolescents with ADHD.</x:v>
      </x:c>
      <x:c r="C170" s="28" t="str">
        <x:v>Rivas-García, Marina; Vidal-Ramírez, Carmen; Mora-Traverso, Marta; Toledano-González, Abel; Rodríguez-Martínez, María Del Carmen; Molina-Torres, Esther; Marín-Marín, José-Antonio; Triviño-Juárez, José-Matías; Gea-Mejías, Miguel; Romero-Ayuso, Dulce</x:v>
      </x:c>
      <x:c r="D170" s="28" t="n">
        <x:v>2026</x:v>
      </x:c>
      <x:c r="E170" s="28" t="str">
        <x:v>Disability and rehabilitation. Assistive technology</x:v>
      </x:c>
      <x:c r="F170" s="28" t="str">
        <x:v>Primary study - qualitative</x:v>
      </x:c>
      <x:c r="G170" s="28" t="str">
        <x:v>Development &amp; presentation; Recognition &amp; diagnosis; Family &amp; education; Social &amp; structural; Environmental &amp; lifestyle; Treatment &amp; support; Life outcomes &amp; lived experience</x:v>
      </x:c>
      <x:c r="H170" s="28" t="str">
        <x:v>Childhood; Adolescence</x:v>
      </x:c>
      <x:c r="I170" s="28" t="str">
        <x:v>not reported/not verified</x:v>
      </x:c>
      <x:c r="J170" s="28" t="str">
        <x:v>not reported</x:v>
      </x:c>
      <x:c r="K170" s="28" t="str">
        <x:v>PURPOSE: This study presents a preliminary multi‑stakeholder needs assessment to inform the subsequent co‑design of a digital telerehabilitation tool aimed at supporting organisation, planning, and prospective memory in children and adolescents with ADHD.</x:v>
      </x:c>
      <x:c r="L170" s="28" t="str">
        <x:v>10.1080/17483107.2026.2648864</x:v>
      </x:c>
      <x:c r="M170" s="28" t="str">
        <x:v>41904958</x:v>
      </x:c>
      <x:c r="N170" s="31" t="e">
        <x:f>HYPERLINK("https://pubmed.ncbi.nlm.nih.gov/"&amp;M170&amp;"/","Open PubMed")</x:f>
        <x:v>HYPERLINK is not implemented. linkLocation=https://pubmed.ncbi.nlm.nih.gov/41904958/, friendlyName=Open PubMed</x:v>
      </x:c>
      <x:c r="O170" s="31" t="str">
        <x:v>not reported</x:v>
      </x:c>
      <x:c r="P170" s="28" t="str">
        <x:v>abstract only</x:v>
      </x:c>
      <x:c r="Q170" s="28" t="str">
        <x:v>PubMed/MEDLINE export supplied by user | query: not verified from export; see Protocol sheet for reproducible recommended query</x:v>
      </x:c>
      <x:c r="R170" s="28" t="str">
        <x:v>Batch 1 core</x:v>
      </x:c>
      <x:c r="S170" s="28" t="str">
        <x:v>Direct ADHD primary study on diagnosis, family/education, structural conditions, lived experience/outcomes, or environment/lifestyle.</x:v>
      </x:c>
      <x:c r="T170" s="28" t="str">
        <x:v>not apparent from accessed abstract/metadata</x:v>
      </x:c>
      <x:c r="U170" s="28" t="str">
        <x:v>none identified in MEDLINE record</x:v>
      </x:c>
      <x:c r="V170" s="26" t="str">
        <x:v>not reported</x:v>
      </x:c>
      <x:c r="W170" s="28" t="str">
        <x:v>No PMC copy identified; publisher PDF/access must be checked</x:v>
      </x:c>
      <x:c r="X170" s="28" t="str">
        <x:v>Not verified</x:v>
      </x:c>
      <x:c r="Y170" s="31" t="str">
        <x:f>IF(V170="not reported","not reported",HYPERLINK("https://pmc.ncbi.nlm.nih.gov/articles/"&amp;V170&amp;"/","Open Full Text"))</x:f>
        <x:v>not reported</x:v>
      </x:c>
      <x:c r="Z170" s="31" t="e">
        <x:f>IF(L170="not reported","not reported",HYPERLINK("https://doi.org/"&amp;L170,"Open Publisher"))</x:f>
        <x:v>HYPERLINK is not implemented. linkLocation=https://doi.org/10.1080/17483107.2026.2648864, friendlyName=Open Publisher</x:v>
      </x:c>
      <x:c r="AA170" s="28" t="str">
        <x:v>DOI present in PubMed/MEDLINE; no PMCID present.</x:v>
      </x:c>
      <x:c r="AB170" s="28" t="str">
        <x:v>Open the DOI/publisher page. If PDF is paywalled, try Stony Brook Library access, Article Galaxy, or interlibrary loan.</x:v>
      </x:c>
      <x:c r="AC170" s="26" t="str">
        <x:v>2026-09-20</x:v>
      </x:c>
    </x:row>
    <x:row r="171">
      <x:c r="A171" s="26" t="str">
        <x:v>PUBMED-41904444</x:v>
      </x:c>
      <x:c r="B171" s="28" t="str">
        <x:v>Socioeconomic burden of adult attention deficit/hyperactivity disorder in Japan: a nationwide cross-sectional observational study.</x:v>
      </x:c>
      <x:c r="C171" s="28" t="str">
        <x:v>Igarashi, Ataru; Nishigaki, Nobuhiro; Kawakita, Yasushi; Tsujii, Noa</x:v>
      </x:c>
      <x:c r="D171" s="28" t="n">
        <x:v>2026</x:v>
      </x:c>
      <x:c r="E171" s="28" t="str">
        <x:v>BMC psychiatry</x:v>
      </x:c>
      <x:c r="F171" s="28" t="str">
        <x:v>Primary study - cross-sectional</x:v>
      </x:c>
      <x:c r="G171" s="28" t="str">
        <x:v>Development &amp; presentation; Recognition &amp; diagnosis; Family &amp; education; Social &amp; structural; Life outcomes &amp; lived experience</x:v>
      </x:c>
      <x:c r="H171" s="28" t="str">
        <x:v>Childhood; Adulthood</x:v>
      </x:c>
      <x:c r="I171" s="28" t="str">
        <x:v>Geography (MeSH): Japan</x:v>
      </x:c>
      <x:c r="J171" s="28" t="str">
        <x:v>not reported</x:v>
      </x:c>
      <x:c r="K171" s="28" t="str">
        <x:v>CONCLUSION: This study, the first estimate of the annual socioeconomic burden of adult ADHD in Japan, underscores the necessity of more appropriate support for adult patients with ADHD and their families to reduce productivity losses.</x:v>
      </x:c>
      <x:c r="L171" s="28" t="str">
        <x:v>10.1186/s12888-026-07953-x</x:v>
      </x:c>
      <x:c r="M171" s="28" t="str">
        <x:v>41904444</x:v>
      </x:c>
      <x:c r="N171" s="31" t="e">
        <x:f>HYPERLINK("https://pubmed.ncbi.nlm.nih.gov/"&amp;M171&amp;"/","Open PubMed")</x:f>
        <x:v>HYPERLINK is not implemented. linkLocation=https://pubmed.ncbi.nlm.nih.gov/41904444/, friendlyName=Open PubMed</x:v>
      </x:c>
      <x:c r="O171" s="31" t="e">
        <x:f>HYPERLINK("https://pmc.ncbi.nlm.nih.gov/articles/PMC13151200/","Open Full Text")</x:f>
        <x:v>HYPERLINK is not implemented. linkLocation=https://pmc.ncbi.nlm.nih.gov/articles/PMC13151200/, friendlyName=Open Full Text</x:v>
      </x:c>
      <x:c r="P171" s="28" t="str">
        <x:v>abstract only</x:v>
      </x:c>
      <x:c r="Q171" s="28" t="str">
        <x:v>PubMed/MEDLINE export supplied by user | query: not verified from export; see Protocol sheet for reproducible recommended query</x:v>
      </x:c>
      <x:c r="R171" s="28" t="str">
        <x:v>Batch 1 core</x:v>
      </x:c>
      <x:c r="S171" s="28" t="str">
        <x:v>Direct ADHD primary study on diagnosis, family/education, structural conditions, lived experience/outcomes, or environment/lifestyle.</x:v>
      </x:c>
      <x:c r="T171" s="28" t="str">
        <x:v>not apparent from accessed abstract/metadata</x:v>
      </x:c>
      <x:c r="U171" s="28" t="str">
        <x:v>none identified in MEDLINE record</x:v>
      </x:c>
      <x:c r="V171" s="26" t="str">
        <x:v>PMC13151200</x:v>
      </x:c>
      <x:c r="W171" s="28" t="str">
        <x:v>PDF available via PMC (verified free full text)</x:v>
      </x:c>
      <x:c r="X171" s="28" t="str">
        <x:v>Yes — PMC</x:v>
      </x:c>
      <x:c r="Y171" s="31" t="e">
        <x:f>IF(V171="not reported","not reported",HYPERLINK("https://pmc.ncbi.nlm.nih.gov/articles/"&amp;V171&amp;"/","Open Full Text"))</x:f>
        <x:v>HYPERLINK is not implemented. linkLocation=https://pmc.ncbi.nlm.nih.gov/articles/PMC13151200/, friendlyName=Open Full Text</x:v>
      </x:c>
      <x:c r="Z171" s="31" t="e">
        <x:f>IF(L171="not reported","not reported",HYPERLINK("https://doi.org/"&amp;L171,"Open Publisher"))</x:f>
        <x:v>HYPERLINK is not implemented. linkLocation=https://doi.org/10.1186/s12888-026-07953-x, friendlyName=Open Publisher</x:v>
      </x:c>
      <x:c r="AA171" s="28" t="str">
        <x:v>PMCID PMC13151200 present in the PubMed/MEDLINE record.</x:v>
      </x:c>
      <x:c r="AB171" s="28" t="str">
        <x:v>Open the PMC full-text page and use its PDF button/download option.</x:v>
      </x:c>
      <x:c r="AC171" s="26" t="str">
        <x:v>2026-09-20</x:v>
      </x:c>
    </x:row>
    <x:row r="172">
      <x:c r="A172" s="26" t="str">
        <x:v>PUBMED-41889015</x:v>
      </x:c>
      <x:c r="B172" s="28" t="str">
        <x:v>Attention Deficit/Hyperactivity Disorder (ADHD)-Related Strengths in Adults: A Scoping Review.</x:v>
      </x:c>
      <x:c r="C172" s="28" t="str">
        <x:v>Rafael, Rivqa B; Jia, Hongwei; Rouel, Melissa; Wootton, Bethany M; Mitchison, Deborah</x:v>
      </x:c>
      <x:c r="D172" s="28" t="n">
        <x:v>2026</x:v>
      </x:c>
      <x:c r="E172" s="28" t="str">
        <x:v>Journal of attention disorders</x:v>
      </x:c>
      <x:c r="F172" s="28" t="str">
        <x:v>Evidence synthesis - systematic review</x:v>
      </x:c>
      <x:c r="G172" s="28" t="str">
        <x:v>Development &amp; presentation; Social &amp; structural; Life outcomes &amp; lived experience; Historical &amp; contemporary context</x:v>
      </x:c>
      <x:c r="H172" s="28" t="str">
        <x:v>Adulthood</x:v>
      </x:c>
      <x:c r="I172" s="28" t="str">
        <x:v>not reported/not verified</x:v>
      </x:c>
      <x:c r="J172" s="28" t="str">
        <x:v>not reported</x:v>
      </x:c>
      <x:c r="K172" s="28" t="str">
        <x:v>OBJECTIVES: Increasingly, people with attention deficit/hyperactivity disorder (ADHD), their clinicians, and others have called for strengths-based approaches in the understanding of ADHD.</x:v>
      </x:c>
      <x:c r="L172" s="28" t="str">
        <x:v>10.1177/10870547261425737</x:v>
      </x:c>
      <x:c r="M172" s="28" t="str">
        <x:v>41889015</x:v>
      </x:c>
      <x:c r="N172" s="31" t="e">
        <x:f>HYPERLINK("https://pubmed.ncbi.nlm.nih.gov/"&amp;M172&amp;"/","Open PubMed")</x:f>
        <x:v>HYPERLINK is not implemented. linkLocation=https://pubmed.ncbi.nlm.nih.gov/41889015/, friendlyName=Open PubMed</x:v>
      </x:c>
      <x:c r="O172" s="31" t="e">
        <x:f>HYPERLINK("https://pmc.ncbi.nlm.nih.gov/articles/PMC13538910/","Open Full Text")</x:f>
        <x:v>HYPERLINK is not implemented. linkLocation=https://pmc.ncbi.nlm.nih.gov/articles/PMC13538910/, friendlyName=Open Full Text</x:v>
      </x:c>
      <x:c r="P172" s="28" t="str">
        <x:v>abstract only</x:v>
      </x:c>
      <x:c r="Q172" s="28" t="str">
        <x:v>PubMed/MEDLINE export supplied by user | query: not verified from export; see Protocol sheet for reproducible recommended query</x:v>
      </x:c>
      <x:c r="R172" s="28" t="str">
        <x:v>Batch 1 core</x:v>
      </x:c>
      <x:c r="S172" s="28" t="str">
        <x:v>Direct ADHD evidence synthesis/guideline with broad multi-topic relevance.</x:v>
      </x:c>
      <x:c r="T172" s="28" t="str">
        <x:v>not apparent from accessed abstract/metadata</x:v>
      </x:c>
      <x:c r="U172" s="28" t="str">
        <x:v>none identified in MEDLINE record</x:v>
      </x:c>
      <x:c r="V172" s="26" t="str">
        <x:v>PMC13538910</x:v>
      </x:c>
      <x:c r="W172" s="28" t="str">
        <x:v>PDF available via PMC (verified free full text)</x:v>
      </x:c>
      <x:c r="X172" s="28" t="str">
        <x:v>Yes — PMC</x:v>
      </x:c>
      <x:c r="Y172" s="31" t="e">
        <x:f>IF(V172="not reported","not reported",HYPERLINK("https://pmc.ncbi.nlm.nih.gov/articles/"&amp;V172&amp;"/","Open Full Text"))</x:f>
        <x:v>HYPERLINK is not implemented. linkLocation=https://pmc.ncbi.nlm.nih.gov/articles/PMC13538910/, friendlyName=Open Full Text</x:v>
      </x:c>
      <x:c r="Z172" s="31" t="e">
        <x:f>IF(L172="not reported","not reported",HYPERLINK("https://doi.org/"&amp;L172,"Open Publisher"))</x:f>
        <x:v>HYPERLINK is not implemented. linkLocation=https://doi.org/10.1177/10870547261425737, friendlyName=Open Publisher</x:v>
      </x:c>
      <x:c r="AA172" s="28" t="str">
        <x:v>PMCID PMC13538910 present in the PubMed/MEDLINE record.</x:v>
      </x:c>
      <x:c r="AB172" s="28" t="str">
        <x:v>Open the PMC full-text page and use its PDF button/download option.</x:v>
      </x:c>
      <x:c r="AC172" s="26" t="str">
        <x:v>2026-09-20</x:v>
      </x:c>
    </x:row>
    <x:row r="173">
      <x:c r="A173" s="26" t="str">
        <x:v>PUBMED-41889008</x:v>
      </x:c>
      <x:c r="B173" s="28" t="str">
        <x:v>"Controlled by Female Hormones": A Qualitative Interview Study of Swedish Women's Experiences of Gender-Specific Aspects of Life With ADHD.</x:v>
      </x:c>
      <x:c r="C173" s="28" t="str">
        <x:v>McTaggart, Julia; Thorell, Lisa B; Borg Skoglund, Charlotte; Envall, Niklas; Kopp Kallner, Helena</x:v>
      </x:c>
      <x:c r="D173" s="28" t="n">
        <x:v>2026</x:v>
      </x:c>
      <x:c r="E173" s="28" t="str">
        <x:v>Journal of attention disorders</x:v>
      </x:c>
      <x:c r="F173" s="28" t="str">
        <x:v>Primary study - qualitative</x:v>
      </x:c>
      <x:c r="G173" s="28" t="str">
        <x:v>Development &amp; presentation; Social &amp; structural; Treatment &amp; support; Life outcomes &amp; lived experience</x:v>
      </x:c>
      <x:c r="H173" s="28" t="str">
        <x:v>Adulthood</x:v>
      </x:c>
      <x:c r="I173" s="28" t="str">
        <x:v>Geography (MeSH): Sweden</x:v>
      </x:c>
      <x:c r="J173" s="28" t="str">
        <x:v>not reported</x:v>
      </x:c>
      <x:c r="K173" s="28" t="str">
        <x:v>OBJECTIVE: There is limited knowledge about how female specific factors such as fluctuating sex hormones influence symptom display and health-related conditions that are unique to, or more prevalent in females with ADHD.</x:v>
      </x:c>
      <x:c r="L173" s="28" t="str">
        <x:v>10.1177/10870547261427555</x:v>
      </x:c>
      <x:c r="M173" s="28" t="str">
        <x:v>41889008</x:v>
      </x:c>
      <x:c r="N173" s="31" t="e">
        <x:f>HYPERLINK("https://pubmed.ncbi.nlm.nih.gov/"&amp;M173&amp;"/","Open PubMed")</x:f>
        <x:v>HYPERLINK is not implemented. linkLocation=https://pubmed.ncbi.nlm.nih.gov/41889008/, friendlyName=Open PubMed</x:v>
      </x:c>
      <x:c r="O173" s="31" t="e">
        <x:f>HYPERLINK("https://pmc.ncbi.nlm.nih.gov/articles/PMC13110318/","Open Full Text")</x:f>
        <x:v>HYPERLINK is not implemented. linkLocation=https://pmc.ncbi.nlm.nih.gov/articles/PMC13110318/, friendlyName=Open Full Text</x:v>
      </x:c>
      <x:c r="P173" s="28" t="str">
        <x:v>abstract only</x:v>
      </x:c>
      <x:c r="Q173" s="28" t="str">
        <x:v>PubMed/MEDLINE export supplied by user | query: not verified from export; see Protocol sheet for reproducible recommended query</x:v>
      </x:c>
      <x:c r="R173" s="28" t="str">
        <x:v>Batch 1 core</x:v>
      </x:c>
      <x:c r="S173" s="28" t="str">
        <x:v>Direct ADHD primary study on diagnosis, family/education, structural conditions, lived experience/outcomes, or environment/lifestyle.</x:v>
      </x:c>
      <x:c r="T173" s="28" t="str">
        <x:v>not apparent from accessed abstract/metadata</x:v>
      </x:c>
      <x:c r="U173" s="28" t="str">
        <x:v>none identified in MEDLINE record</x:v>
      </x:c>
      <x:c r="V173" s="26" t="str">
        <x:v>PMC13110318</x:v>
      </x:c>
      <x:c r="W173" s="28" t="str">
        <x:v>PDF available via PMC (verified free full text)</x:v>
      </x:c>
      <x:c r="X173" s="28" t="str">
        <x:v>Yes — PMC</x:v>
      </x:c>
      <x:c r="Y173" s="31" t="e">
        <x:f>IF(V173="not reported","not reported",HYPERLINK("https://pmc.ncbi.nlm.nih.gov/articles/"&amp;V173&amp;"/","Open Full Text"))</x:f>
        <x:v>HYPERLINK is not implemented. linkLocation=https://pmc.ncbi.nlm.nih.gov/articles/PMC13110318/, friendlyName=Open Full Text</x:v>
      </x:c>
      <x:c r="Z173" s="31" t="e">
        <x:f>IF(L173="not reported","not reported",HYPERLINK("https://doi.org/"&amp;L173,"Open Publisher"))</x:f>
        <x:v>HYPERLINK is not implemented. linkLocation=https://doi.org/10.1177/10870547261427555, friendlyName=Open Publisher</x:v>
      </x:c>
      <x:c r="AA173" s="28" t="str">
        <x:v>PMCID PMC13110318 present in the PubMed/MEDLINE record.</x:v>
      </x:c>
      <x:c r="AB173" s="28" t="str">
        <x:v>Open the PMC full-text page and use its PDF button/download option.</x:v>
      </x:c>
      <x:c r="AC173" s="26" t="str">
        <x:v>2026-09-20</x:v>
      </x:c>
    </x:row>
    <x:row r="174">
      <x:c r="A174" s="26" t="str">
        <x:v>PUBMED-41885001</x:v>
      </x:c>
      <x:c r="B174" s="28" t="str">
        <x:v>Do Children and Adolescents with Attention Deficit Hyperactivity Disorder Use Screens More? A Systematic Review and Meta-Analysis.</x:v>
      </x:c>
      <x:c r="C174" s="28" t="str">
        <x:v>Gonçalves Júnior, Paulo; Silva, Italo Emmanoel Silva E; Magno, Marcela Baraúna; Maia, Lucianne Cople; Pithon, Matheus Melo; Coqueiro, Raildo da Silva</x:v>
      </x:c>
      <x:c r="D174" s="28" t="n">
        <x:v>2026</x:v>
      </x:c>
      <x:c r="E174" s="28" t="str">
        <x:v>Comprehensive child and adolescent nursing</x:v>
      </x:c>
      <x:c r="F174" s="28" t="str">
        <x:v>Evidence synthesis - meta-analysis</x:v>
      </x:c>
      <x:c r="G174" s="28" t="str">
        <x:v>Development &amp; presentation; Recognition &amp; diagnosis; Family &amp; education; Social &amp; structural; Environmental &amp; lifestyle; Treatment &amp; support</x:v>
      </x:c>
      <x:c r="H174" s="28" t="str">
        <x:v>Childhood; Adolescence</x:v>
      </x:c>
      <x:c r="I174" s="28" t="str">
        <x:v>not reported/not verified</x:v>
      </x:c>
      <x:c r="J174" s="28" t="str">
        <x:v>not reported</x:v>
      </x:c>
      <x:c r="K174" s="28" t="str">
        <x:v>BACKGROUND: Our aim in conducting this review was to investigate whether children and adolescents with attention deficit hyperactivity disorder (ADHD) exhibit differences in screen time when compared to children and adolescents with typical development.</x:v>
      </x:c>
      <x:c r="L174" s="28" t="str">
        <x:v>10.1080/24694193.2026.2640837</x:v>
      </x:c>
      <x:c r="M174" s="28" t="str">
        <x:v>41885001</x:v>
      </x:c>
      <x:c r="N174" s="31" t="e">
        <x:f>HYPERLINK("https://pubmed.ncbi.nlm.nih.gov/"&amp;M174&amp;"/","Open PubMed")</x:f>
        <x:v>HYPERLINK is not implemented. linkLocation=https://pubmed.ncbi.nlm.nih.gov/41885001/, friendlyName=Open PubMed</x:v>
      </x:c>
      <x:c r="O174" s="31" t="str">
        <x:v>not reported</x:v>
      </x:c>
      <x:c r="P174" s="28" t="str">
        <x:v>abstract only</x:v>
      </x:c>
      <x:c r="Q174" s="28" t="str">
        <x:v>PubMed/MEDLINE export supplied by user | query: not verified from export; see Protocol sheet for reproducible recommended query</x:v>
      </x:c>
      <x:c r="R174" s="28" t="str">
        <x:v>Batch 1 core</x:v>
      </x:c>
      <x:c r="S174" s="28" t="str">
        <x:v>Direct ADHD evidence synthesis/guideline with broad multi-topic relevance.</x:v>
      </x:c>
      <x:c r="T174" s="28" t="str">
        <x:v>not apparent from accessed abstract/metadata</x:v>
      </x:c>
      <x:c r="U174" s="28" t="str">
        <x:v>none identified in MEDLINE record</x:v>
      </x:c>
      <x:c r="V174" s="26" t="str">
        <x:v>not reported</x:v>
      </x:c>
      <x:c r="W174" s="28" t="str">
        <x:v>No PMC copy identified; publisher PDF/access must be checked</x:v>
      </x:c>
      <x:c r="X174" s="28" t="str">
        <x:v>Not verified</x:v>
      </x:c>
      <x:c r="Y174" s="31" t="str">
        <x:f>IF(V174="not reported","not reported",HYPERLINK("https://pmc.ncbi.nlm.nih.gov/articles/"&amp;V174&amp;"/","Open Full Text"))</x:f>
        <x:v>not reported</x:v>
      </x:c>
      <x:c r="Z174" s="31" t="e">
        <x:f>IF(L174="not reported","not reported",HYPERLINK("https://doi.org/"&amp;L174,"Open Publisher"))</x:f>
        <x:v>HYPERLINK is not implemented. linkLocation=https://doi.org/10.1080/24694193.2026.2640837, friendlyName=Open Publisher</x:v>
      </x:c>
      <x:c r="AA174" s="28" t="str">
        <x:v>DOI present in PubMed/MEDLINE; no PMCID present.</x:v>
      </x:c>
      <x:c r="AB174" s="28" t="str">
        <x:v>Open the DOI/publisher page. If PDF is paywalled, try Stony Brook Library access, Article Galaxy, or interlibrary loan.</x:v>
      </x:c>
      <x:c r="AC174" s="26" t="str">
        <x:v>2026-09-20</x:v>
      </x:c>
    </x:row>
    <x:row r="175">
      <x:c r="A175" s="26" t="str">
        <x:v>PUBMED-41872162</x:v>
      </x:c>
      <x:c r="B175" s="28" t="str">
        <x:v>Dynamic modeling in neurocognitive frameworks of childhood ADHD: a review of inhibitory control and reward systems.</x:v>
      </x:c>
      <x:c r="C175" s="28" t="str">
        <x:v>Cai, Weidong; Mizuno, Yoshifumi</x:v>
      </x:c>
      <x:c r="D175" s="28" t="n">
        <x:v>2026</x:v>
      </x:c>
      <x:c r="E175" s="28" t="str">
        <x:v>Translational psychiatry</x:v>
      </x:c>
      <x:c r="F175" s="28" t="str">
        <x:v>Evidence synthesis - review</x:v>
      </x:c>
      <x:c r="G175" s="28" t="str">
        <x:v>Development &amp; presentation; Recognition &amp; diagnosis; Social &amp; structural; Treatment &amp; support; Historical &amp; contemporary context</x:v>
      </x:c>
      <x:c r="H175" s="28" t="str">
        <x:v>Childhood</x:v>
      </x:c>
      <x:c r="I175" s="28" t="str">
        <x:v>not reported/not verified</x:v>
      </x:c>
      <x:c r="J175" s="28" t="str">
        <x:v>not reported</x:v>
      </x:c>
      <x:c r="K175" s="28" t="str">
        <x:v>In the first part of this review, we synthesize key findings from behavioral and task-state functional neuroimaging studies that characterize these deficits, highlighting how deficits in inhibitory control and motivation/reward systems manifest across tasks and contexts.</x:v>
      </x:c>
      <x:c r="L175" s="28" t="str">
        <x:v>10.1038/s41398-026-03972-0</x:v>
      </x:c>
      <x:c r="M175" s="28" t="str">
        <x:v>41872162</x:v>
      </x:c>
      <x:c r="N175" s="31" t="e">
        <x:f>HYPERLINK("https://pubmed.ncbi.nlm.nih.gov/"&amp;M175&amp;"/","Open PubMed")</x:f>
        <x:v>HYPERLINK is not implemented. linkLocation=https://pubmed.ncbi.nlm.nih.gov/41872162/, friendlyName=Open PubMed</x:v>
      </x:c>
      <x:c r="O175" s="31" t="e">
        <x:f>HYPERLINK("https://pmc.ncbi.nlm.nih.gov/articles/PMC13039274/","Open Full Text")</x:f>
        <x:v>HYPERLINK is not implemented. linkLocation=https://pmc.ncbi.nlm.nih.gov/articles/PMC13039274/, friendlyName=Open Full Text</x:v>
      </x:c>
      <x:c r="P175" s="28" t="str">
        <x:v>abstract only</x:v>
      </x:c>
      <x:c r="Q175" s="28" t="str">
        <x:v>PubMed/MEDLINE export supplied by user | query: not verified from export; see Protocol sheet for reproducible recommended query</x:v>
      </x:c>
      <x:c r="R175" s="28" t="str">
        <x:v>Batch 1 core</x:v>
      </x:c>
      <x:c r="S175" s="28" t="str">
        <x:v>Direct ADHD evidence synthesis/guideline with broad multi-topic relevance.</x:v>
      </x:c>
      <x:c r="T175" s="28" t="str">
        <x:v>not apparent from accessed abstract/metadata</x:v>
      </x:c>
      <x:c r="U175" s="28" t="str">
        <x:v>none identified in MEDLINE record</x:v>
      </x:c>
      <x:c r="V175" s="26" t="str">
        <x:v>PMC13039274</x:v>
      </x:c>
      <x:c r="W175" s="28" t="str">
        <x:v>PDF available via PMC (verified free full text)</x:v>
      </x:c>
      <x:c r="X175" s="28" t="str">
        <x:v>Yes — PMC</x:v>
      </x:c>
      <x:c r="Y175" s="31" t="e">
        <x:f>IF(V175="not reported","not reported",HYPERLINK("https://pmc.ncbi.nlm.nih.gov/articles/"&amp;V175&amp;"/","Open Full Text"))</x:f>
        <x:v>HYPERLINK is not implemented. linkLocation=https://pmc.ncbi.nlm.nih.gov/articles/PMC13039274/, friendlyName=Open Full Text</x:v>
      </x:c>
      <x:c r="Z175" s="31" t="e">
        <x:f>IF(L175="not reported","not reported",HYPERLINK("https://doi.org/"&amp;L175,"Open Publisher"))</x:f>
        <x:v>HYPERLINK is not implemented. linkLocation=https://doi.org/10.1038/s41398-026-03972-0, friendlyName=Open Publisher</x:v>
      </x:c>
      <x:c r="AA175" s="28" t="str">
        <x:v>PMCID PMC13039274 present in the PubMed/MEDLINE record.</x:v>
      </x:c>
      <x:c r="AB175" s="28" t="str">
        <x:v>Open the PMC full-text page and use its PDF button/download option.</x:v>
      </x:c>
      <x:c r="AC175" s="26" t="str">
        <x:v>2026-09-20</x:v>
      </x:c>
    </x:row>
    <x:row r="176">
      <x:c r="A176" s="26" t="str">
        <x:v>PUBMED-41633265</x:v>
      </x:c>
      <x:c r="B176" s="28" t="str">
        <x:v>Gut-brain axis in Attention Deficit Hyperactivity Disorder (ADHD): A narrative review of the links between gut microbiota and ADHD pathophysiology.</x:v>
      </x:c>
      <x:c r="C176" s="28" t="str">
        <x:v>Luyens, Barbara; Felgueroso-Bueno, Francisco; Everard, Amandine; Massat, Isabelle</x:v>
      </x:c>
      <x:c r="D176" s="28" t="n">
        <x:v>2026</x:v>
      </x:c>
      <x:c r="E176" s="28" t="str">
        <x:v>Journal of psychiatric research</x:v>
      </x:c>
      <x:c r="F176" s="28" t="str">
        <x:v>Evidence synthesis - review</x:v>
      </x:c>
      <x:c r="G176" s="28" t="str">
        <x:v>Development &amp; presentation; Social &amp; structural; Treatment &amp; support</x:v>
      </x:c>
      <x:c r="H176" s="28" t="str">
        <x:v>Not specified</x:v>
      </x:c>
      <x:c r="I176" s="28" t="str">
        <x:v>not reported/not verified</x:v>
      </x:c>
      <x:c r="J176" s="28" t="str">
        <x:v>not reported</x:v>
      </x:c>
      <x:c r="K176" s="28" t="str">
        <x:v>This review evaluates areas of consensus and discrepancies between studies, while addressing the methodological limitations present in this field of research.</x:v>
      </x:c>
      <x:c r="L176" s="28" t="str">
        <x:v>10.1016/j.jpsychires.2026.01.038</x:v>
      </x:c>
      <x:c r="M176" s="28" t="str">
        <x:v>41633265</x:v>
      </x:c>
      <x:c r="N176" s="31" t="e">
        <x:f>HYPERLINK("https://pubmed.ncbi.nlm.nih.gov/"&amp;M176&amp;"/","Open PubMed")</x:f>
        <x:v>HYPERLINK is not implemented. linkLocation=https://pubmed.ncbi.nlm.nih.gov/41633265/, friendlyName=Open PubMed</x:v>
      </x:c>
      <x:c r="O176" s="31" t="str">
        <x:v>not reported</x:v>
      </x:c>
      <x:c r="P176" s="28" t="str">
        <x:v>abstract only</x:v>
      </x:c>
      <x:c r="Q176" s="28" t="str">
        <x:v>PubMed/MEDLINE export supplied by user | query: not verified from export; see Protocol sheet for reproducible recommended query</x:v>
      </x:c>
      <x:c r="R176" s="28" t="str">
        <x:v>Batch 1 core</x:v>
      </x:c>
      <x:c r="S176" s="28" t="str">
        <x:v>Direct ADHD evidence synthesis/guideline with broad multi-topic relevance.</x:v>
      </x:c>
      <x:c r="T176" s="28" t="str">
        <x:v>not apparent from accessed abstract/metadata</x:v>
      </x:c>
      <x:c r="U176" s="28" t="str">
        <x:v>none identified in MEDLINE record</x:v>
      </x:c>
      <x:c r="V176" s="26" t="str">
        <x:v>not reported</x:v>
      </x:c>
      <x:c r="W176" s="28" t="str">
        <x:v>No PMC copy identified; publisher PDF/access must be checked</x:v>
      </x:c>
      <x:c r="X176" s="28" t="str">
        <x:v>Not verified</x:v>
      </x:c>
      <x:c r="Y176" s="31" t="str">
        <x:f>IF(V176="not reported","not reported",HYPERLINK("https://pmc.ncbi.nlm.nih.gov/articles/"&amp;V176&amp;"/","Open Full Text"))</x:f>
        <x:v>not reported</x:v>
      </x:c>
      <x:c r="Z176" s="31" t="e">
        <x:f>IF(L176="not reported","not reported",HYPERLINK("https://doi.org/"&amp;L176,"Open Publisher"))</x:f>
        <x:v>HYPERLINK is not implemented. linkLocation=https://doi.org/10.1016/j.jpsychires.2026.01.038, friendlyName=Open Publisher</x:v>
      </x:c>
      <x:c r="AA176" s="28" t="str">
        <x:v>DOI present in PubMed/MEDLINE; no PMCID present.</x:v>
      </x:c>
      <x:c r="AB176" s="28" t="str">
        <x:v>Open the DOI/publisher page. If PDF is paywalled, try Stony Brook Library access, Article Galaxy, or interlibrary loan.</x:v>
      </x:c>
      <x:c r="AC176" s="26" t="str">
        <x:v>2026-09-20</x:v>
      </x:c>
    </x:row>
    <x:row r="177">
      <x:c r="A177" s="26" t="str">
        <x:v>PUBMED-41633106</x:v>
      </x:c>
      <x:c r="B177" s="28" t="str">
        <x:v>Non-suicidal self-injury in individuals with attention-deficit/hyperactivity disorder: A systematic review and Meta-analysis with Age- and Sex-stratified findings.</x:v>
      </x:c>
      <x:c r="C177" s="28" t="str">
        <x:v>Smaniotto, Liliane; Tolentino, Arthur; Barros, Felipe M R; Barreto, Eduardo; Colnaghi, Barbara; Ker, Lais; Celeri, Eloisa Helena Rubello Valler; Della-Torre, Osmar; Azevedo, Renata C S</x:v>
      </x:c>
      <x:c r="D177" s="28" t="n">
        <x:v>2026</x:v>
      </x:c>
      <x:c r="E177" s="28" t="str">
        <x:v>Psychiatry research</x:v>
      </x:c>
      <x:c r="F177" s="28" t="str">
        <x:v>Evidence synthesis - meta-analysis</x:v>
      </x:c>
      <x:c r="G177" s="28" t="str">
        <x:v>Development &amp; presentation; Recognition &amp; diagnosis; Social &amp; structural</x:v>
      </x:c>
      <x:c r="H177" s="28" t="str">
        <x:v>Adolescence; Adulthood</x:v>
      </x:c>
      <x:c r="I177" s="28" t="str">
        <x:v>not reported/not verified</x:v>
      </x:c>
      <x:c r="J177" s="28" t="str">
        <x:v>not reported</x:v>
      </x:c>
      <x:c r="K177" s="28" t="str">
        <x:v>BACKGROUND: Non-suicidal self-injury (NSSI) is a significant mental health concern that often co-occurs with attention-deficit/hyperactivity disorder (ADHD).</x:v>
      </x:c>
      <x:c r="L177" s="28" t="str">
        <x:v>10.1016/j.psychres.2026.116975</x:v>
      </x:c>
      <x:c r="M177" s="28" t="str">
        <x:v>41633106</x:v>
      </x:c>
      <x:c r="N177" s="31" t="e">
        <x:f>HYPERLINK("https://pubmed.ncbi.nlm.nih.gov/"&amp;M177&amp;"/","Open PubMed")</x:f>
        <x:v>HYPERLINK is not implemented. linkLocation=https://pubmed.ncbi.nlm.nih.gov/41633106/, friendlyName=Open PubMed</x:v>
      </x:c>
      <x:c r="O177" s="31" t="str">
        <x:v>not reported</x:v>
      </x:c>
      <x:c r="P177" s="28" t="str">
        <x:v>abstract only</x:v>
      </x:c>
      <x:c r="Q177" s="28" t="str">
        <x:v>PubMed/MEDLINE export supplied by user | query: not verified from export; see Protocol sheet for reproducible recommended query</x:v>
      </x:c>
      <x:c r="R177" s="28" t="str">
        <x:v>Batch 1 core</x:v>
      </x:c>
      <x:c r="S177" s="28" t="str">
        <x:v>Direct ADHD evidence synthesis/guideline with broad multi-topic relevance.</x:v>
      </x:c>
      <x:c r="T177" s="28" t="str">
        <x:v>not apparent from accessed abstract/metadata</x:v>
      </x:c>
      <x:c r="U177" s="28" t="str">
        <x:v>none identified in MEDLINE record</x:v>
      </x:c>
      <x:c r="V177" s="26" t="str">
        <x:v>not reported</x:v>
      </x:c>
      <x:c r="W177" s="28" t="str">
        <x:v>No PMC copy identified; publisher PDF/access must be checked</x:v>
      </x:c>
      <x:c r="X177" s="28" t="str">
        <x:v>Not verified</x:v>
      </x:c>
      <x:c r="Y177" s="31" t="str">
        <x:f>IF(V177="not reported","not reported",HYPERLINK("https://pmc.ncbi.nlm.nih.gov/articles/"&amp;V177&amp;"/","Open Full Text"))</x:f>
        <x:v>not reported</x:v>
      </x:c>
      <x:c r="Z177" s="31" t="e">
        <x:f>IF(L177="not reported","not reported",HYPERLINK("https://doi.org/"&amp;L177,"Open Publisher"))</x:f>
        <x:v>HYPERLINK is not implemented. linkLocation=https://doi.org/10.1016/j.psychres.2026.116975, friendlyName=Open Publisher</x:v>
      </x:c>
      <x:c r="AA177" s="28" t="str">
        <x:v>DOI present in PubMed/MEDLINE; no PMCID present.</x:v>
      </x:c>
      <x:c r="AB177" s="28" t="str">
        <x:v>Open the DOI/publisher page. If PDF is paywalled, try Stony Brook Library access, Article Galaxy, or interlibrary loan.</x:v>
      </x:c>
      <x:c r="AC177" s="26" t="str">
        <x:v>2026-09-20</x:v>
      </x:c>
    </x:row>
    <x:row r="178">
      <x:c r="A178" s="26" t="str">
        <x:v>PUBMED-41610600</x:v>
      </x:c>
      <x:c r="B178" s="28" t="str">
        <x:v>A systematic review of transcranial direct current stimulation (tDCS) for adults with attention deficit/hyperactivity disorder (ADHD).</x:v>
      </x:c>
      <x:c r="C178" s="28" t="str">
        <x:v>Zhang, Tianran; Adamis, Dimitrios</x:v>
      </x:c>
      <x:c r="D178" s="28" t="n">
        <x:v>2026</x:v>
      </x:c>
      <x:c r="E178" s="28" t="str">
        <x:v>Journal of psychiatric research</x:v>
      </x:c>
      <x:c r="F178" s="28" t="str">
        <x:v>Evidence synthesis - meta-analysis</x:v>
      </x:c>
      <x:c r="G178" s="28" t="str">
        <x:v>Development &amp; presentation; Recognition &amp; diagnosis; Social &amp; structural; Treatment &amp; support; Life outcomes &amp; lived experience</x:v>
      </x:c>
      <x:c r="H178" s="28" t="str">
        <x:v>Childhood; Adulthood</x:v>
      </x:c>
      <x:c r="I178" s="28" t="str">
        <x:v>not reported/not verified</x:v>
      </x:c>
      <x:c r="J178" s="28" t="str">
        <x:v>not reported</x:v>
      </x:c>
      <x:c r="K178" s="28" t="str">
        <x:v>OBJECTIVE: This systematic review aimed to evaluate the effects of tDCS in adults with ADHD across clinical, cognitive, and neurophysiological outcome domains.</x:v>
      </x:c>
      <x:c r="L178" s="28" t="str">
        <x:v>10.1016/j.jpsychires.2026.01.030</x:v>
      </x:c>
      <x:c r="M178" s="28" t="str">
        <x:v>41610600</x:v>
      </x:c>
      <x:c r="N178" s="31" t="e">
        <x:f>HYPERLINK("https://pubmed.ncbi.nlm.nih.gov/"&amp;M178&amp;"/","Open PubMed")</x:f>
        <x:v>HYPERLINK is not implemented. linkLocation=https://pubmed.ncbi.nlm.nih.gov/41610600/, friendlyName=Open PubMed</x:v>
      </x:c>
      <x:c r="O178" s="31" t="str">
        <x:v>not reported</x:v>
      </x:c>
      <x:c r="P178" s="28" t="str">
        <x:v>abstract only</x:v>
      </x:c>
      <x:c r="Q178" s="28" t="str">
        <x:v>PubMed/MEDLINE export supplied by user | query: not verified from export; see Protocol sheet for reproducible recommended query</x:v>
      </x:c>
      <x:c r="R178" s="28" t="str">
        <x:v>Batch 1 core</x:v>
      </x:c>
      <x:c r="S178" s="28" t="str">
        <x:v>Direct ADHD evidence synthesis/guideline with broad multi-topic relevance.</x:v>
      </x:c>
      <x:c r="T178" s="28" t="str">
        <x:v>not apparent from accessed abstract/metadata</x:v>
      </x:c>
      <x:c r="U178" s="28" t="str">
        <x:v>none identified in MEDLINE record</x:v>
      </x:c>
      <x:c r="V178" s="26" t="str">
        <x:v>not reported</x:v>
      </x:c>
      <x:c r="W178" s="28" t="str">
        <x:v>No PMC copy identified; publisher PDF/access must be checked</x:v>
      </x:c>
      <x:c r="X178" s="28" t="str">
        <x:v>Not verified</x:v>
      </x:c>
      <x:c r="Y178" s="31" t="str">
        <x:f>IF(V178="not reported","not reported",HYPERLINK("https://pmc.ncbi.nlm.nih.gov/articles/"&amp;V178&amp;"/","Open Full Text"))</x:f>
        <x:v>not reported</x:v>
      </x:c>
      <x:c r="Z178" s="31" t="e">
        <x:f>IF(L178="not reported","not reported",HYPERLINK("https://doi.org/"&amp;L178,"Open Publisher"))</x:f>
        <x:v>HYPERLINK is not implemented. linkLocation=https://doi.org/10.1016/j.jpsychires.2026.01.030, friendlyName=Open Publisher</x:v>
      </x:c>
      <x:c r="AA178" s="28" t="str">
        <x:v>DOI present in PubMed/MEDLINE; no PMCID present.</x:v>
      </x:c>
      <x:c r="AB178" s="28" t="str">
        <x:v>Open the DOI/publisher page. If PDF is paywalled, try Stony Brook Library access, Article Galaxy, or interlibrary loan.</x:v>
      </x:c>
      <x:c r="AC178" s="26" t="str">
        <x:v>2026-09-20</x:v>
      </x:c>
    </x:row>
    <x:row r="179">
      <x:c r="A179" s="26" t="str">
        <x:v>PUBMED-41606005</x:v>
      </x:c>
      <x:c r="B179" s="28" t="str">
        <x:v>Comparing qualitative thematic analysis and machine-based topic modelling in the analysis of autistic and ADHD young people's accounts of emotions.</x:v>
      </x:c>
      <x:c r="C179" s="28" t="str">
        <x:v>Lukito, Steve; Li, Lifang; Chandler, Susie; Kakoulidou, Myrofora; Pavlopoulou, Georgia; Matejko, Maciej; Jackson, Isabel; Balwani, Beta; Boyens, Tiegan; Poulton, Dorian; Harvey-Nguyen, Luke; Johnson, Amber; Stahl, Daniel; Roberts, Angus; Sonuga-Barke, Edmund J S</x:v>
      </x:c>
      <x:c r="D179" s="28" t="n">
        <x:v>2026</x:v>
      </x:c>
      <x:c r="E179" s="28" t="str">
        <x:v>Scientific reports</x:v>
      </x:c>
      <x:c r="F179" s="28" t="str">
        <x:v>Primary study - qualitative</x:v>
      </x:c>
      <x:c r="G179" s="28" t="str">
        <x:v>Development &amp; presentation; Family &amp; education; Social &amp; structural; Life outcomes &amp; lived experience</x:v>
      </x:c>
      <x:c r="H179" s="28" t="str">
        <x:v>Adolescence</x:v>
      </x:c>
      <x:c r="I179" s="28" t="str">
        <x:v>not reported/not verified</x:v>
      </x:c>
      <x:c r="J179" s="28" t="str">
        <x:v>not reported</x:v>
      </x:c>
      <x:c r="K179" s="28" t="str">
        <x:v>Systematic analysis of interview data can provide important insights into how young people experience and interpret their emotions.</x:v>
      </x:c>
      <x:c r="L179" s="28" t="str">
        <x:v>10.1038/s41598-025-34570-7</x:v>
      </x:c>
      <x:c r="M179" s="28" t="str">
        <x:v>41606005</x:v>
      </x:c>
      <x:c r="N179" s="31" t="e">
        <x:f>HYPERLINK("https://pubmed.ncbi.nlm.nih.gov/"&amp;M179&amp;"/","Open PubMed")</x:f>
        <x:v>HYPERLINK is not implemented. linkLocation=https://pubmed.ncbi.nlm.nih.gov/41606005/, friendlyName=Open PubMed</x:v>
      </x:c>
      <x:c r="O179" s="31" t="e">
        <x:f>HYPERLINK("https://pmc.ncbi.nlm.nih.gov/articles/PMC12868839/","Open Full Text")</x:f>
        <x:v>HYPERLINK is not implemented. linkLocation=https://pmc.ncbi.nlm.nih.gov/articles/PMC12868839/, friendlyName=Open Full Text</x:v>
      </x:c>
      <x:c r="P179" s="28" t="str">
        <x:v>abstract only</x:v>
      </x:c>
      <x:c r="Q179" s="28" t="str">
        <x:v>PubMed/MEDLINE export supplied by user | query: not verified from export; see Protocol sheet for reproducible recommended query</x:v>
      </x:c>
      <x:c r="R179" s="28" t="str">
        <x:v>Batch 1 core</x:v>
      </x:c>
      <x:c r="S179" s="28" t="str">
        <x:v>Direct ADHD primary study on diagnosis, family/education, structural conditions, lived experience/outcomes, or environment/lifestyle.</x:v>
      </x:c>
      <x:c r="T179" s="28" t="str">
        <x:v>not apparent from accessed abstract/metadata</x:v>
      </x:c>
      <x:c r="U179" s="28" t="str">
        <x:v>none identified in MEDLINE record</x:v>
      </x:c>
      <x:c r="V179" s="26" t="str">
        <x:v>PMC12868839</x:v>
      </x:c>
      <x:c r="W179" s="28" t="str">
        <x:v>PDF available via PMC (verified free full text)</x:v>
      </x:c>
      <x:c r="X179" s="28" t="str">
        <x:v>Yes — PMC</x:v>
      </x:c>
      <x:c r="Y179" s="31" t="e">
        <x:f>IF(V179="not reported","not reported",HYPERLINK("https://pmc.ncbi.nlm.nih.gov/articles/"&amp;V179&amp;"/","Open Full Text"))</x:f>
        <x:v>HYPERLINK is not implemented. linkLocation=https://pmc.ncbi.nlm.nih.gov/articles/PMC12868839/, friendlyName=Open Full Text</x:v>
      </x:c>
      <x:c r="Z179" s="31" t="e">
        <x:f>IF(L179="not reported","not reported",HYPERLINK("https://doi.org/"&amp;L179,"Open Publisher"))</x:f>
        <x:v>HYPERLINK is not implemented. linkLocation=https://doi.org/10.1038/s41598-025-34570-7, friendlyName=Open Publisher</x:v>
      </x:c>
      <x:c r="AA179" s="28" t="str">
        <x:v>PMCID PMC12868839 present in the PubMed/MEDLINE record.</x:v>
      </x:c>
      <x:c r="AB179" s="28" t="str">
        <x:v>Open the PMC full-text page and use its PDF button/download option.</x:v>
      </x:c>
      <x:c r="AC179" s="26" t="str">
        <x:v>2026-09-20</x:v>
      </x:c>
    </x:row>
    <x:row r="180">
      <x:c r="A180" s="26" t="str">
        <x:v>PUBMED-41604392</x:v>
      </x:c>
      <x:c r="B180" s="28" t="str">
        <x:v>From ADHD symptoms to parental stress: The roles of functional impairment, family functioning, and parental ADHD.</x:v>
      </x:c>
      <x:c r="C180" s="28" t="str">
        <x:v>Jongrakthanakij, Nitchawan; Prachason, Thanavadee; Limsuwan, Nida; Kiatrungrit, Komsan; Thongpan, Masatha; Lorterapong, Passaporn; Wisajun, Pattarabhorn; Jullagate, Sudawan</x:v>
      </x:c>
      <x:c r="D180" s="28" t="n">
        <x:v>2026</x:v>
      </x:c>
      <x:c r="E180" s="28" t="str">
        <x:v>PloS one</x:v>
      </x:c>
      <x:c r="F180" s="28" t="str">
        <x:v>Primary study - cross-sectional</x:v>
      </x:c>
      <x:c r="G180" s="28" t="str">
        <x:v>Development &amp; presentation; Family &amp; education; Social &amp; structural; Environmental &amp; lifestyle; Life outcomes &amp; lived experience</x:v>
      </x:c>
      <x:c r="H180" s="28" t="str">
        <x:v>Childhood; Adolescence; mean age 9.6</x:v>
      </x:c>
      <x:c r="I180" s="28" t="str">
        <x:v>not reported/not verified</x:v>
      </x:c>
      <x:c r="J180" s="28" t="str">
        <x:v>2019-2023</x:v>
      </x:c>
      <x:c r="K180" s="28" t="str">
        <x:v>This study aimed to elucidate these interrelationships and identify the key determinants of parental stress.</x:v>
      </x:c>
      <x:c r="L180" s="28" t="str">
        <x:v>10.1371/journal.pone.0341817</x:v>
      </x:c>
      <x:c r="M180" s="28" t="str">
        <x:v>41604392</x:v>
      </x:c>
      <x:c r="N180" s="31" t="e">
        <x:f>HYPERLINK("https://pubmed.ncbi.nlm.nih.gov/"&amp;M180&amp;"/","Open PubMed")</x:f>
        <x:v>HYPERLINK is not implemented. linkLocation=https://pubmed.ncbi.nlm.nih.gov/41604392/, friendlyName=Open PubMed</x:v>
      </x:c>
      <x:c r="O180" s="31" t="e">
        <x:f>HYPERLINK("https://pmc.ncbi.nlm.nih.gov/articles/PMC12851467/","Open Full Text")</x:f>
        <x:v>HYPERLINK is not implemented. linkLocation=https://pmc.ncbi.nlm.nih.gov/articles/PMC12851467/, friendlyName=Open Full Text</x:v>
      </x:c>
      <x:c r="P180" s="28" t="str">
        <x:v>abstract only</x:v>
      </x:c>
      <x:c r="Q180" s="28" t="str">
        <x:v>PubMed/MEDLINE export supplied by user | query: not verified from export; see Protocol sheet for reproducible recommended query</x:v>
      </x:c>
      <x:c r="R180" s="28" t="str">
        <x:v>Batch 1 core</x:v>
      </x:c>
      <x:c r="S180" s="28" t="str">
        <x:v>Direct ADHD primary study on diagnosis, family/education, structural conditions, lived experience/outcomes, or environment/lifestyle.</x:v>
      </x:c>
      <x:c r="T180" s="28" t="str">
        <x:v>not apparent from accessed abstract/metadata</x:v>
      </x:c>
      <x:c r="U180" s="28" t="str">
        <x:v>none identified in MEDLINE record</x:v>
      </x:c>
      <x:c r="V180" s="26" t="str">
        <x:v>PMC12851467</x:v>
      </x:c>
      <x:c r="W180" s="28" t="str">
        <x:v>PDF available via PMC (verified free full text)</x:v>
      </x:c>
      <x:c r="X180" s="28" t="str">
        <x:v>Yes — PMC</x:v>
      </x:c>
      <x:c r="Y180" s="31" t="e">
        <x:f>IF(V180="not reported","not reported",HYPERLINK("https://pmc.ncbi.nlm.nih.gov/articles/"&amp;V180&amp;"/","Open Full Text"))</x:f>
        <x:v>HYPERLINK is not implemented. linkLocation=https://pmc.ncbi.nlm.nih.gov/articles/PMC12851467/, friendlyName=Open Full Text</x:v>
      </x:c>
      <x:c r="Z180" s="31" t="e">
        <x:f>IF(L180="not reported","not reported",HYPERLINK("https://doi.org/"&amp;L180,"Open Publisher"))</x:f>
        <x:v>HYPERLINK is not implemented. linkLocation=https://doi.org/10.1371/journal.pone.0341817, friendlyName=Open Publisher</x:v>
      </x:c>
      <x:c r="AA180" s="28" t="str">
        <x:v>PMCID PMC12851467 present in the PubMed/MEDLINE record.</x:v>
      </x:c>
      <x:c r="AB180" s="28" t="str">
        <x:v>Open the PMC full-text page and use its PDF button/download option.</x:v>
      </x:c>
      <x:c r="AC180" s="26" t="str">
        <x:v>2026-09-20</x:v>
      </x:c>
    </x:row>
    <x:row r="181">
      <x:c r="A181" s="26" t="str">
        <x:v>PUBMED-41591415</x:v>
      </x:c>
      <x:c r="B181" s="28" t="str">
        <x:v>"Which resilience factors are the most effective for which Outcomes?" A systematic review and Meta-Analysis of multisystemic resilience of children with ADHD.</x:v>
      </x:c>
      <x:c r="C181" s="28" t="str">
        <x:v>Cheung, Yves Cho Ho; Kang, Man Ying; Wong, Daniel Fu Keung</x:v>
      </x:c>
      <x:c r="D181" s="28" t="n">
        <x:v>2026</x:v>
      </x:c>
      <x:c r="E181" s="28" t="str">
        <x:v>European child &amp; adolescent psychiatry</x:v>
      </x:c>
      <x:c r="F181" s="28" t="str">
        <x:v>Evidence synthesis - meta-analysis</x:v>
      </x:c>
      <x:c r="G181" s="28" t="str">
        <x:v>Development &amp; presentation; Family &amp; education; Social &amp; structural; Environmental &amp; lifestyle; Life outcomes &amp; lived experience; Historical &amp; contemporary context</x:v>
      </x:c>
      <x:c r="H181" s="28" t="str">
        <x:v>Childhood</x:v>
      </x:c>
      <x:c r="I181" s="28" t="str">
        <x:v>not reported/not verified</x:v>
      </x:c>
      <x:c r="J181" s="28" t="str">
        <x:v>not reported</x:v>
      </x:c>
      <x:c r="K181" s="28" t="str">
        <x:v>This review also revealed that existing literature, which often portrays resilience as lists of factors and focuses primarily on intrapersonal factors, may not adequately capture the dynamic, multisystemic nature and cultural relevance of the resilience process for children with ADHD.</x:v>
      </x:c>
      <x:c r="L181" s="28" t="str">
        <x:v>10.1007/s00787-025-02947-8</x:v>
      </x:c>
      <x:c r="M181" s="28" t="str">
        <x:v>41591415</x:v>
      </x:c>
      <x:c r="N181" s="31" t="e">
        <x:f>HYPERLINK("https://pubmed.ncbi.nlm.nih.gov/"&amp;M181&amp;"/","Open PubMed")</x:f>
        <x:v>HYPERLINK is not implemented. linkLocation=https://pubmed.ncbi.nlm.nih.gov/41591415/, friendlyName=Open PubMed</x:v>
      </x:c>
      <x:c r="O181" s="31" t="e">
        <x:f>HYPERLINK("https://pmc.ncbi.nlm.nih.gov/articles/PMC13272215/","Open Full Text")</x:f>
        <x:v>HYPERLINK is not implemented. linkLocation=https://pmc.ncbi.nlm.nih.gov/articles/PMC13272215/, friendlyName=Open Full Text</x:v>
      </x:c>
      <x:c r="P181" s="28" t="str">
        <x:v>abstract only</x:v>
      </x:c>
      <x:c r="Q181" s="28" t="str">
        <x:v>PubMed/MEDLINE export supplied by user | query: not verified from export; see Protocol sheet for reproducible recommended query</x:v>
      </x:c>
      <x:c r="R181" s="28" t="str">
        <x:v>Batch 1 core</x:v>
      </x:c>
      <x:c r="S181" s="28" t="str">
        <x:v>Direct ADHD evidence synthesis/guideline with broad multi-topic relevance.</x:v>
      </x:c>
      <x:c r="T181" s="28" t="str">
        <x:v>not apparent from accessed abstract/metadata</x:v>
      </x:c>
      <x:c r="U181" s="28" t="str">
        <x:v>none identified in MEDLINE record</x:v>
      </x:c>
      <x:c r="V181" s="26" t="str">
        <x:v>PMC13272215</x:v>
      </x:c>
      <x:c r="W181" s="28" t="str">
        <x:v>PDF available via PMC (verified free full text)</x:v>
      </x:c>
      <x:c r="X181" s="28" t="str">
        <x:v>Yes — PMC</x:v>
      </x:c>
      <x:c r="Y181" s="31" t="e">
        <x:f>IF(V181="not reported","not reported",HYPERLINK("https://pmc.ncbi.nlm.nih.gov/articles/"&amp;V181&amp;"/","Open Full Text"))</x:f>
        <x:v>HYPERLINK is not implemented. linkLocation=https://pmc.ncbi.nlm.nih.gov/articles/PMC13272215/, friendlyName=Open Full Text</x:v>
      </x:c>
      <x:c r="Z181" s="31" t="e">
        <x:f>IF(L181="not reported","not reported",HYPERLINK("https://doi.org/"&amp;L181,"Open Publisher"))</x:f>
        <x:v>HYPERLINK is not implemented. linkLocation=https://doi.org/10.1007/s00787-025-02947-8, friendlyName=Open Publisher</x:v>
      </x:c>
      <x:c r="AA181" s="28" t="str">
        <x:v>PMCID PMC13272215 present in the PubMed/MEDLINE record.</x:v>
      </x:c>
      <x:c r="AB181" s="28" t="str">
        <x:v>Open the PMC full-text page and use its PDF button/download option.</x:v>
      </x:c>
      <x:c r="AC181" s="26" t="str">
        <x:v>2026-09-20</x:v>
      </x:c>
    </x:row>
    <x:row r="182">
      <x:c r="A182" s="26" t="str">
        <x:v>PUBMED-41564005</x:v>
      </x:c>
      <x:c r="B182" s="28" t="str">
        <x:v>The lived experience of rejection sensitivity in ADHD - A qualitative exploration.</x:v>
      </x:c>
      <x:c r="C182" s="28" t="str">
        <x:v>Rowney-Smith, Annabel; Sutton, Beth; Quadt, Lisa; Eccles, Jessica A</x:v>
      </x:c>
      <x:c r="D182" s="28" t="n">
        <x:v>2026</x:v>
      </x:c>
      <x:c r="E182" s="28" t="str">
        <x:v>PloS one</x:v>
      </x:c>
      <x:c r="F182" s="28" t="str">
        <x:v>Primary study - qualitative</x:v>
      </x:c>
      <x:c r="G182" s="28" t="str">
        <x:v>Development &amp; presentation; Family &amp; education; Social &amp; structural; Life outcomes &amp; lived experience</x:v>
      </x:c>
      <x:c r="H182" s="28" t="str">
        <x:v>Adulthood</x:v>
      </x:c>
      <x:c r="I182" s="28" t="str">
        <x:v>not reported/not verified</x:v>
      </x:c>
      <x:c r="J182" s="28" t="str">
        <x:v>not reported</x:v>
      </x:c>
      <x:c r="K182" s="28" t="str">
        <x:v>Attention Deficit Hyperactivity Disorder (ADHD) is a neurodevelopmental condition, commonly associated with differences in attention, and/or hyperactivity and impulsiveness.</x:v>
      </x:c>
      <x:c r="L182" s="28" t="str">
        <x:v>10.1371/journal.pone.0314669</x:v>
      </x:c>
      <x:c r="M182" s="28" t="str">
        <x:v>41564005</x:v>
      </x:c>
      <x:c r="N182" s="31" t="e">
        <x:f>HYPERLINK("https://pubmed.ncbi.nlm.nih.gov/"&amp;M182&amp;"/","Open PubMed")</x:f>
        <x:v>HYPERLINK is not implemented. linkLocation=https://pubmed.ncbi.nlm.nih.gov/41564005/, friendlyName=Open PubMed</x:v>
      </x:c>
      <x:c r="O182" s="31" t="e">
        <x:f>HYPERLINK("https://pmc.ncbi.nlm.nih.gov/articles/PMC12822938/","Open Full Text")</x:f>
        <x:v>HYPERLINK is not implemented. linkLocation=https://pmc.ncbi.nlm.nih.gov/articles/PMC12822938/, friendlyName=Open Full Text</x:v>
      </x:c>
      <x:c r="P182" s="28" t="str">
        <x:v>abstract only</x:v>
      </x:c>
      <x:c r="Q182" s="28" t="str">
        <x:v>PubMed/MEDLINE export supplied by user | query: not verified from export; see Protocol sheet for reproducible recommended query</x:v>
      </x:c>
      <x:c r="R182" s="28" t="str">
        <x:v>Batch 1 core</x:v>
      </x:c>
      <x:c r="S182" s="28" t="str">
        <x:v>Direct ADHD primary study on diagnosis, family/education, structural conditions, lived experience/outcomes, or environment/lifestyle.</x:v>
      </x:c>
      <x:c r="T182" s="28" t="str">
        <x:v>not apparent from accessed abstract/metadata</x:v>
      </x:c>
      <x:c r="U182" s="28" t="str">
        <x:v>Correction/erratum noted: PLoS One. 2026 Mar 13;21(3):e0345112. doi: 10.1371/journal.pone.0345112. PMID: 41824388</x:v>
      </x:c>
      <x:c r="V182" s="26" t="str">
        <x:v>PMC12822938</x:v>
      </x:c>
      <x:c r="W182" s="28" t="str">
        <x:v>PDF available via PMC (verified free full text)</x:v>
      </x:c>
      <x:c r="X182" s="28" t="str">
        <x:v>Yes — PMC</x:v>
      </x:c>
      <x:c r="Y182" s="31" t="e">
        <x:f>IF(V182="not reported","not reported",HYPERLINK("https://pmc.ncbi.nlm.nih.gov/articles/"&amp;V182&amp;"/","Open Full Text"))</x:f>
        <x:v>HYPERLINK is not implemented. linkLocation=https://pmc.ncbi.nlm.nih.gov/articles/PMC12822938/, friendlyName=Open Full Text</x:v>
      </x:c>
      <x:c r="Z182" s="31" t="e">
        <x:f>IF(L182="not reported","not reported",HYPERLINK("https://doi.org/"&amp;L182,"Open Publisher"))</x:f>
        <x:v>HYPERLINK is not implemented. linkLocation=https://doi.org/10.1371/journal.pone.0314669, friendlyName=Open Publisher</x:v>
      </x:c>
      <x:c r="AA182" s="28" t="str">
        <x:v>PMCID PMC12822938 present in the PubMed/MEDLINE record.</x:v>
      </x:c>
      <x:c r="AB182" s="28" t="str">
        <x:v>Open the PMC full-text page and use its PDF button/download option.</x:v>
      </x:c>
      <x:c r="AC182" s="26" t="str">
        <x:v>2026-09-20</x:v>
      </x:c>
    </x:row>
    <x:row r="183">
      <x:c r="A183" s="26" t="str">
        <x:v>PUBMED-41546008</x:v>
      </x:c>
      <x:c r="B183" s="28" t="str">
        <x:v>The association between attention deficit hyperactivity disorder and orthodontic outcomes: a systematic review.</x:v>
      </x:c>
      <x:c r="C183" s="28" t="str">
        <x:v>Baxmann, Martin; Kárpáti, Krisztina; Baráth, Zoltán</x:v>
      </x:c>
      <x:c r="D183" s="28" t="n">
        <x:v>2026</x:v>
      </x:c>
      <x:c r="E183" s="28" t="str">
        <x:v>BMC oral health</x:v>
      </x:c>
      <x:c r="F183" s="28" t="str">
        <x:v>Evidence synthesis - systematic review</x:v>
      </x:c>
      <x:c r="G183" s="28" t="str">
        <x:v>Development &amp; presentation; Recognition &amp; diagnosis; Social &amp; structural; Treatment &amp; support; Life outcomes &amp; lived experience</x:v>
      </x:c>
      <x:c r="H183" s="28" t="str">
        <x:v>Not specified</x:v>
      </x:c>
      <x:c r="I183" s="28" t="str">
        <x:v>not reported/not verified</x:v>
      </x:c>
      <x:c r="J183" s="28" t="str">
        <x:v>not reported</x:v>
      </x:c>
      <x:c r="K183" s="28" t="str">
        <x:v>OBJECTIVES: This systematic review aimed to examine the association between ADHD and orthodontic treatment outcomes.</x:v>
      </x:c>
      <x:c r="L183" s="28" t="str">
        <x:v>10.1186/s12903-026-07704-0</x:v>
      </x:c>
      <x:c r="M183" s="28" t="str">
        <x:v>41546008</x:v>
      </x:c>
      <x:c r="N183" s="31" t="e">
        <x:f>HYPERLINK("https://pubmed.ncbi.nlm.nih.gov/"&amp;M183&amp;"/","Open PubMed")</x:f>
        <x:v>HYPERLINK is not implemented. linkLocation=https://pubmed.ncbi.nlm.nih.gov/41546008/, friendlyName=Open PubMed</x:v>
      </x:c>
      <x:c r="O183" s="31" t="e">
        <x:f>HYPERLINK("https://pmc.ncbi.nlm.nih.gov/articles/PMC12895642/","Open Full Text")</x:f>
        <x:v>HYPERLINK is not implemented. linkLocation=https://pmc.ncbi.nlm.nih.gov/articles/PMC12895642/, friendlyName=Open Full Text</x:v>
      </x:c>
      <x:c r="P183" s="28" t="str">
        <x:v>abstract only</x:v>
      </x:c>
      <x:c r="Q183" s="28" t="str">
        <x:v>PubMed/MEDLINE export supplied by user | query: not verified from export; see Protocol sheet for reproducible recommended query</x:v>
      </x:c>
      <x:c r="R183" s="28" t="str">
        <x:v>Batch 1 core</x:v>
      </x:c>
      <x:c r="S183" s="28" t="str">
        <x:v>Direct ADHD evidence synthesis/guideline with broad multi-topic relevance.</x:v>
      </x:c>
      <x:c r="T183" s="28" t="str">
        <x:v>not apparent from accessed abstract/metadata</x:v>
      </x:c>
      <x:c r="U183" s="28" t="str">
        <x:v>none identified in MEDLINE record</x:v>
      </x:c>
      <x:c r="V183" s="26" t="str">
        <x:v>PMC12895642</x:v>
      </x:c>
      <x:c r="W183" s="28" t="str">
        <x:v>PDF available via PMC (verified free full text)</x:v>
      </x:c>
      <x:c r="X183" s="28" t="str">
        <x:v>Yes — PMC</x:v>
      </x:c>
      <x:c r="Y183" s="31" t="e">
        <x:f>IF(V183="not reported","not reported",HYPERLINK("https://pmc.ncbi.nlm.nih.gov/articles/"&amp;V183&amp;"/","Open Full Text"))</x:f>
        <x:v>HYPERLINK is not implemented. linkLocation=https://pmc.ncbi.nlm.nih.gov/articles/PMC12895642/, friendlyName=Open Full Text</x:v>
      </x:c>
      <x:c r="Z183" s="31" t="e">
        <x:f>IF(L183="not reported","not reported",HYPERLINK("https://doi.org/"&amp;L183,"Open Publisher"))</x:f>
        <x:v>HYPERLINK is not implemented. linkLocation=https://doi.org/10.1186/s12903-026-07704-0, friendlyName=Open Publisher</x:v>
      </x:c>
      <x:c r="AA183" s="28" t="str">
        <x:v>PMCID PMC12895642 present in the PubMed/MEDLINE record.</x:v>
      </x:c>
      <x:c r="AB183" s="28" t="str">
        <x:v>Open the PMC full-text page and use its PDF button/download option.</x:v>
      </x:c>
      <x:c r="AC183" s="26" t="str">
        <x:v>2026-09-20</x:v>
      </x:c>
    </x:row>
    <x:row r="184">
      <x:c r="A184" s="26" t="str">
        <x:v>PUBMED-41485000</x:v>
      </x:c>
      <x:c r="B184" s="28" t="str">
        <x:v>Dietary inflammatory index (DII) and attention deficit hyperactivity disorder: a cross-sectional study in US children and adolescents and Mendelian randomization study.</x:v>
      </x:c>
      <x:c r="C184" s="28" t="str">
        <x:v>Hu, Jue; Ma, Jing-Ying; Tang, Fa-Dan; Wang, Jie-Yi; Xu, Jia-Ye; Wang, Bo-Han; Pan, Yu-Lu; Wang, Ying; Xuan, Xiao-Bo; Chen, Jian</x:v>
      </x:c>
      <x:c r="D184" s="28" t="n">
        <x:v>2026</x:v>
      </x:c>
      <x:c r="E184" s="28" t="str">
        <x:v>European journal of medical research</x:v>
      </x:c>
      <x:c r="F184" s="28" t="str">
        <x:v>Primary study - cross-sectional</x:v>
      </x:c>
      <x:c r="G184" s="28" t="str">
        <x:v>Development &amp; presentation; Social &amp; structural; Environmental &amp; lifestyle; Treatment &amp; support; Life outcomes &amp; lived experience</x:v>
      </x:c>
      <x:c r="H184" s="28" t="str">
        <x:v>Childhood; Adolescence; Adulthood; aged 6-19 years</x:v>
      </x:c>
      <x:c r="I184" s="28" t="str">
        <x:v>Geography (MeSH): United States</x:v>
      </x:c>
      <x:c r="J184" s="28" t="str">
        <x:v>2001-2004</x:v>
      </x:c>
      <x:c r="K184" s="28" t="str">
        <x:v>BACKGROUND: Diet may impact the risk of attention deficit hyperactivity disorder (ADHD) via altering inflammation.</x:v>
      </x:c>
      <x:c r="L184" s="28" t="str">
        <x:v>10.1186/s40001-025-03711-z</x:v>
      </x:c>
      <x:c r="M184" s="28" t="str">
        <x:v>41485000</x:v>
      </x:c>
      <x:c r="N184" s="31" t="e">
        <x:f>HYPERLINK("https://pubmed.ncbi.nlm.nih.gov/"&amp;M184&amp;"/","Open PubMed")</x:f>
        <x:v>HYPERLINK is not implemented. linkLocation=https://pubmed.ncbi.nlm.nih.gov/41485000/, friendlyName=Open PubMed</x:v>
      </x:c>
      <x:c r="O184" s="31" t="e">
        <x:f>HYPERLINK("https://pmc.ncbi.nlm.nih.gov/articles/PMC12766964/","Open Full Text")</x:f>
        <x:v>HYPERLINK is not implemented. linkLocation=https://pmc.ncbi.nlm.nih.gov/articles/PMC12766964/, friendlyName=Open Full Text</x:v>
      </x:c>
      <x:c r="P184" s="28" t="str">
        <x:v>abstract only</x:v>
      </x:c>
      <x:c r="Q184" s="28" t="str">
        <x:v>PubMed/MEDLINE export supplied by user | query: not verified from export; see Protocol sheet for reproducible recommended query</x:v>
      </x:c>
      <x:c r="R184" s="28" t="str">
        <x:v>Batch 1 core</x:v>
      </x:c>
      <x:c r="S184" s="28" t="str">
        <x:v>Direct ADHD primary study on diagnosis, family/education, structural conditions, lived experience/outcomes, or environment/lifestyle.</x:v>
      </x:c>
      <x:c r="T184" s="28" t="str">
        <x:v>not apparent from accessed abstract/metadata</x:v>
      </x:c>
      <x:c r="U184" s="28" t="str">
        <x:v>none identified in MEDLINE record</x:v>
      </x:c>
      <x:c r="V184" s="26" t="str">
        <x:v>PMC12766964</x:v>
      </x:c>
      <x:c r="W184" s="28" t="str">
        <x:v>PDF available via PMC (verified free full text)</x:v>
      </x:c>
      <x:c r="X184" s="28" t="str">
        <x:v>Yes — PMC</x:v>
      </x:c>
      <x:c r="Y184" s="31" t="e">
        <x:f>IF(V184="not reported","not reported",HYPERLINK("https://pmc.ncbi.nlm.nih.gov/articles/"&amp;V184&amp;"/","Open Full Text"))</x:f>
        <x:v>HYPERLINK is not implemented. linkLocation=https://pmc.ncbi.nlm.nih.gov/articles/PMC12766964/, friendlyName=Open Full Text</x:v>
      </x:c>
      <x:c r="Z184" s="31" t="e">
        <x:f>IF(L184="not reported","not reported",HYPERLINK("https://doi.org/"&amp;L184,"Open Publisher"))</x:f>
        <x:v>HYPERLINK is not implemented. linkLocation=https://doi.org/10.1186/s40001-025-03711-z, friendlyName=Open Publisher</x:v>
      </x:c>
      <x:c r="AA184" s="28" t="str">
        <x:v>PMCID PMC12766964 present in the PubMed/MEDLINE record.</x:v>
      </x:c>
      <x:c r="AB184" s="28" t="str">
        <x:v>Open the PMC full-text page and use its PDF button/download option.</x:v>
      </x:c>
      <x:c r="AC184" s="26" t="str">
        <x:v>2026-09-20</x:v>
      </x:c>
    </x:row>
    <x:row r="185">
      <x:c r="A185" s="26" t="str">
        <x:v>PUBMED-41385914</x:v>
      </x:c>
      <x:c r="B185" s="28" t="str">
        <x:v>Maternal and paternal smoking during pregnancy and the risk of ADHD in offspring: An umbrella review of systematic reviews and meta-analyses.</x:v>
      </x:c>
      <x:c r="C185" s="28" t="str">
        <x:v>Tsegay, Light; Zena, Dawit; Abicho, Alemnesh; Gizachew, Yitbarek; Ayano, Getinet</x:v>
      </x:c>
      <x:c r="D185" s="28" t="n">
        <x:v>2026</x:v>
      </x:c>
      <x:c r="E185" s="28" t="str">
        <x:v>Journal of psychiatric research</x:v>
      </x:c>
      <x:c r="F185" s="28" t="str">
        <x:v>Evidence synthesis - systematic review</x:v>
      </x:c>
      <x:c r="G185" s="28" t="str">
        <x:v>Development &amp; presentation; Recognition &amp; diagnosis; Social &amp; structural; Environmental &amp; lifestyle; Treatment &amp; support</x:v>
      </x:c>
      <x:c r="H185" s="28" t="str">
        <x:v>Not specified</x:v>
      </x:c>
      <x:c r="I185" s="28" t="str">
        <x:v>not reported/not verified</x:v>
      </x:c>
      <x:c r="J185" s="28" t="str">
        <x:v>not reported</x:v>
      </x:c>
      <x:c r="K185" s="28" t="str">
        <x:v>This study is registered with PROSPERO, number CRD42022361466.</x:v>
      </x:c>
      <x:c r="L185" s="28" t="str">
        <x:v>10.1016/j.jpsychires.2025.12.010</x:v>
      </x:c>
      <x:c r="M185" s="28" t="str">
        <x:v>41385914</x:v>
      </x:c>
      <x:c r="N185" s="31" t="e">
        <x:f>HYPERLINK("https://pubmed.ncbi.nlm.nih.gov/"&amp;M185&amp;"/","Open PubMed")</x:f>
        <x:v>HYPERLINK is not implemented. linkLocation=https://pubmed.ncbi.nlm.nih.gov/41385914/, friendlyName=Open PubMed</x:v>
      </x:c>
      <x:c r="O185" s="31" t="str">
        <x:v>not reported</x:v>
      </x:c>
      <x:c r="P185" s="28" t="str">
        <x:v>abstract only</x:v>
      </x:c>
      <x:c r="Q185" s="28" t="str">
        <x:v>PubMed/MEDLINE export supplied by user | query: not verified from export; see Protocol sheet for reproducible recommended query</x:v>
      </x:c>
      <x:c r="R185" s="28" t="str">
        <x:v>Batch 1 core</x:v>
      </x:c>
      <x:c r="S185" s="28" t="str">
        <x:v>Direct ADHD evidence synthesis/guideline with broad multi-topic relevance.</x:v>
      </x:c>
      <x:c r="T185" s="28" t="str">
        <x:v>not apparent from accessed abstract/metadata</x:v>
      </x:c>
      <x:c r="U185" s="28" t="str">
        <x:v>none identified in MEDLINE record</x:v>
      </x:c>
      <x:c r="V185" s="26" t="str">
        <x:v>not reported</x:v>
      </x:c>
      <x:c r="W185" s="28" t="str">
        <x:v>No PMC copy identified; publisher PDF/access must be checked</x:v>
      </x:c>
      <x:c r="X185" s="28" t="str">
        <x:v>Not verified</x:v>
      </x:c>
      <x:c r="Y185" s="31" t="str">
        <x:f>IF(V185="not reported","not reported",HYPERLINK("https://pmc.ncbi.nlm.nih.gov/articles/"&amp;V185&amp;"/","Open Full Text"))</x:f>
        <x:v>not reported</x:v>
      </x:c>
      <x:c r="Z185" s="31" t="e">
        <x:f>IF(L185="not reported","not reported",HYPERLINK("https://doi.org/"&amp;L185,"Open Publisher"))</x:f>
        <x:v>HYPERLINK is not implemented. linkLocation=https://doi.org/10.1016/j.jpsychires.2025.12.010, friendlyName=Open Publisher</x:v>
      </x:c>
      <x:c r="AA185" s="28" t="str">
        <x:v>DOI present in PubMed/MEDLINE; no PMCID present.</x:v>
      </x:c>
      <x:c r="AB185" s="28" t="str">
        <x:v>Open the DOI/publisher page. If PDF is paywalled, try Stony Brook Library access, Article Galaxy, or interlibrary loan.</x:v>
      </x:c>
      <x:c r="AC185" s="26" t="str">
        <x:v>2026-09-20</x:v>
      </x:c>
    </x:row>
    <x:row r="186">
      <x:c r="A186" s="26" t="str">
        <x:v>PUBMED-41370974</x:v>
      </x:c>
      <x:c r="B186" s="28" t="str">
        <x:v>Effects of video game intervention on attention deficit in children with ADHD: A systematic review and meta-analysis.</x:v>
      </x:c>
      <x:c r="C186" s="28" t="str">
        <x:v>Ma, Pengwei; Xue, Zhuolin; Yuan, Kun; Zheng, Peiyun; Li, Junfeng; Chang, Jindong</x:v>
      </x:c>
      <x:c r="D186" s="28" t="n">
        <x:v>2026</x:v>
      </x:c>
      <x:c r="E186" s="28" t="str">
        <x:v>Psychiatry research</x:v>
      </x:c>
      <x:c r="F186" s="28" t="str">
        <x:v>Evidence synthesis - meta-analysis</x:v>
      </x:c>
      <x:c r="G186" s="28" t="str">
        <x:v>Development &amp; presentation; Recognition &amp; diagnosis; Social &amp; structural; Treatment &amp; support</x:v>
      </x:c>
      <x:c r="H186" s="28" t="str">
        <x:v>Childhood</x:v>
      </x:c>
      <x:c r="I186" s="28" t="str">
        <x:v>not reported/not verified</x:v>
      </x:c>
      <x:c r="J186" s="28" t="str">
        <x:v>not reported</x:v>
      </x:c>
      <x:c r="K186" s="28" t="str">
        <x:v>PURPOSE: To explore the effects of a video game intervention on children with attention deficit hyperactivity disorder (ADHD).</x:v>
      </x:c>
      <x:c r="L186" s="28" t="str">
        <x:v>10.1016/j.psychres.2025.116884</x:v>
      </x:c>
      <x:c r="M186" s="28" t="str">
        <x:v>41370974</x:v>
      </x:c>
      <x:c r="N186" s="31" t="e">
        <x:f>HYPERLINK("https://pubmed.ncbi.nlm.nih.gov/"&amp;M186&amp;"/","Open PubMed")</x:f>
        <x:v>HYPERLINK is not implemented. linkLocation=https://pubmed.ncbi.nlm.nih.gov/41370974/, friendlyName=Open PubMed</x:v>
      </x:c>
      <x:c r="O186" s="31" t="str">
        <x:v>not reported</x:v>
      </x:c>
      <x:c r="P186" s="28" t="str">
        <x:v>abstract only</x:v>
      </x:c>
      <x:c r="Q186" s="28" t="str">
        <x:v>PubMed/MEDLINE export supplied by user | query: not verified from export; see Protocol sheet for reproducible recommended query</x:v>
      </x:c>
      <x:c r="R186" s="28" t="str">
        <x:v>Batch 1 core</x:v>
      </x:c>
      <x:c r="S186" s="28" t="str">
        <x:v>Direct ADHD evidence synthesis/guideline with broad multi-topic relevance.</x:v>
      </x:c>
      <x:c r="T186" s="28" t="str">
        <x:v>not apparent from accessed abstract/metadata</x:v>
      </x:c>
      <x:c r="U186" s="28" t="str">
        <x:v>none identified in MEDLINE record</x:v>
      </x:c>
      <x:c r="V186" s="26" t="str">
        <x:v>not reported</x:v>
      </x:c>
      <x:c r="W186" s="28" t="str">
        <x:v>No PMC copy identified; publisher PDF/access must be checked</x:v>
      </x:c>
      <x:c r="X186" s="28" t="str">
        <x:v>Not verified</x:v>
      </x:c>
      <x:c r="Y186" s="31" t="str">
        <x:f>IF(V186="not reported","not reported",HYPERLINK("https://pmc.ncbi.nlm.nih.gov/articles/"&amp;V186&amp;"/","Open Full Text"))</x:f>
        <x:v>not reported</x:v>
      </x:c>
      <x:c r="Z186" s="31" t="e">
        <x:f>IF(L186="not reported","not reported",HYPERLINK("https://doi.org/"&amp;L186,"Open Publisher"))</x:f>
        <x:v>HYPERLINK is not implemented. linkLocation=https://doi.org/10.1016/j.psychres.2025.116884, friendlyName=Open Publisher</x:v>
      </x:c>
      <x:c r="AA186" s="28" t="str">
        <x:v>DOI present in PubMed/MEDLINE; no PMCID present.</x:v>
      </x:c>
      <x:c r="AB186" s="28" t="str">
        <x:v>Open the DOI/publisher page. If PDF is paywalled, try Stony Brook Library access, Article Galaxy, or interlibrary loan.</x:v>
      </x:c>
      <x:c r="AC186" s="26" t="str">
        <x:v>2026-09-20</x:v>
      </x:c>
    </x:row>
    <x:row r="187">
      <x:c r="A187" s="26" t="str">
        <x:v>PUBMED-41267417</x:v>
      </x:c>
      <x:c r="B187" s="28" t="str">
        <x:v>Treatment Adherence in ADHD: A Systematic Review of Influencing Factors and Strategies for Improvement.</x:v>
      </x:c>
      <x:c r="C187" s="28" t="str">
        <x:v>Karimi, Mobina; Ghasemzadeh, Sogand; Shabanali Fami, Faezeh</x:v>
      </x:c>
      <x:c r="D187" s="28" t="n">
        <x:v>2026</x:v>
      </x:c>
      <x:c r="E187" s="28" t="str">
        <x:v>Journal of attention disorders</x:v>
      </x:c>
      <x:c r="F187" s="28" t="str">
        <x:v>Evidence synthesis - systematic review</x:v>
      </x:c>
      <x:c r="G187" s="28" t="str">
        <x:v>Development &amp; presentation; Family &amp; education; Social &amp; structural; Environmental &amp; lifestyle; Treatment &amp; support; Life outcomes &amp; lived experience; Historical &amp; contemporary context</x:v>
      </x:c>
      <x:c r="H187" s="28" t="str">
        <x:v>Childhood; Adolescence; Adulthood</x:v>
      </x:c>
      <x:c r="I187" s="28" t="str">
        <x:v>not reported/not verified</x:v>
      </x:c>
      <x:c r="J187" s="28" t="str">
        <x:v>between 2014 and 2024</x:v>
      </x:c>
      <x:c r="K187" s="28" t="str">
        <x:v>OBJECTIVE: The goal of this review was to more clearly understand what encourages or discourages treatment adherence in individuals with ADHD across different points in life.</x:v>
      </x:c>
      <x:c r="L187" s="28" t="str">
        <x:v>10.1177/10870547251387006</x:v>
      </x:c>
      <x:c r="M187" s="28" t="str">
        <x:v>41267417</x:v>
      </x:c>
      <x:c r="N187" s="31" t="e">
        <x:f>HYPERLINK("https://pubmed.ncbi.nlm.nih.gov/"&amp;M187&amp;"/","Open PubMed")</x:f>
        <x:v>HYPERLINK is not implemented. linkLocation=https://pubmed.ncbi.nlm.nih.gov/41267417/, friendlyName=Open PubMed</x:v>
      </x:c>
      <x:c r="O187" s="31" t="str">
        <x:v>not reported</x:v>
      </x:c>
      <x:c r="P187" s="28" t="str">
        <x:v>abstract only</x:v>
      </x:c>
      <x:c r="Q187" s="28" t="str">
        <x:v>PubMed/MEDLINE export supplied by user | query: not verified from export; see Protocol sheet for reproducible recommended query</x:v>
      </x:c>
      <x:c r="R187" s="28" t="str">
        <x:v>Batch 1 core</x:v>
      </x:c>
      <x:c r="S187" s="28" t="str">
        <x:v>Direct ADHD evidence synthesis/guideline with broad multi-topic relevance.</x:v>
      </x:c>
      <x:c r="T187" s="28" t="str">
        <x:v>not apparent from accessed abstract/metadata</x:v>
      </x:c>
      <x:c r="U187" s="28" t="str">
        <x:v>none identified in MEDLINE record</x:v>
      </x:c>
      <x:c r="V187" s="26" t="str">
        <x:v>not reported</x:v>
      </x:c>
      <x:c r="W187" s="28" t="str">
        <x:v>No PMC copy identified; publisher PDF/access must be checked</x:v>
      </x:c>
      <x:c r="X187" s="28" t="str">
        <x:v>Not verified</x:v>
      </x:c>
      <x:c r="Y187" s="31" t="str">
        <x:f>IF(V187="not reported","not reported",HYPERLINK("https://pmc.ncbi.nlm.nih.gov/articles/"&amp;V187&amp;"/","Open Full Text"))</x:f>
        <x:v>not reported</x:v>
      </x:c>
      <x:c r="Z187" s="31" t="e">
        <x:f>IF(L187="not reported","not reported",HYPERLINK("https://doi.org/"&amp;L187,"Open Publisher"))</x:f>
        <x:v>HYPERLINK is not implemented. linkLocation=https://doi.org/10.1177/10870547251387006, friendlyName=Open Publisher</x:v>
      </x:c>
      <x:c r="AA187" s="28" t="str">
        <x:v>DOI present in PubMed/MEDLINE; no PMCID present.</x:v>
      </x:c>
      <x:c r="AB187" s="28" t="str">
        <x:v>Open the DOI/publisher page. If PDF is paywalled, try Stony Brook Library access, Article Galaxy, or interlibrary loan.</x:v>
      </x:c>
      <x:c r="AC187" s="26" t="str">
        <x:v>2026-09-20</x:v>
      </x:c>
    </x:row>
    <x:row r="188">
      <x:c r="A188" s="26" t="str">
        <x:v>PUBMED-41222592</x:v>
      </x:c>
      <x:c r="B188" s="28" t="str">
        <x:v>A resting-state functional magnetic resonance imaging meta-analysis of differences in brain activity between children and adolescents with attention-deficit/hyperactivity disorder using activation likelihood estimation.</x:v>
      </x:c>
      <x:c r="C188" s="28" t="str">
        <x:v>Shu, Yanping; Zhang, Qin; Liu, Jiaoying; He, Qiang; Hou, Yongzhe</x:v>
      </x:c>
      <x:c r="D188" s="28" t="n">
        <x:v>2026</x:v>
      </x:c>
      <x:c r="E188" s="28" t="str">
        <x:v>European child &amp; adolescent psychiatry</x:v>
      </x:c>
      <x:c r="F188" s="28" t="str">
        <x:v>Evidence synthesis - meta-analysis</x:v>
      </x:c>
      <x:c r="G188" s="28" t="str">
        <x:v>Development &amp; presentation; Recognition &amp; diagnosis; Social &amp; structural</x:v>
      </x:c>
      <x:c r="H188" s="28" t="str">
        <x:v>Childhood; Adolescence; Adulthood</x:v>
      </x:c>
      <x:c r="I188" s="28" t="str">
        <x:v>not reported/not verified</x:v>
      </x:c>
      <x:c r="J188" s="28" t="str">
        <x:v>not reported</x:v>
      </x:c>
      <x:c r="K188" s="28" t="str">
        <x:v>Attention-deficit/hyperactivity disorder (ADHD) is a prevalent neurodevelopmental disorder that often persists from childhood into adolescence and adulthood.</x:v>
      </x:c>
      <x:c r="L188" s="28" t="str">
        <x:v>10.1007/s00787-025-02906-3</x:v>
      </x:c>
      <x:c r="M188" s="28" t="str">
        <x:v>41222592</x:v>
      </x:c>
      <x:c r="N188" s="31" t="e">
        <x:f>HYPERLINK("https://pubmed.ncbi.nlm.nih.gov/"&amp;M188&amp;"/","Open PubMed")</x:f>
        <x:v>HYPERLINK is not implemented. linkLocation=https://pubmed.ncbi.nlm.nih.gov/41222592/, friendlyName=Open PubMed</x:v>
      </x:c>
      <x:c r="O188" s="31" t="e">
        <x:f>HYPERLINK("https://pmc.ncbi.nlm.nih.gov/articles/PMC13219127/","Open Full Text")</x:f>
        <x:v>HYPERLINK is not implemented. linkLocation=https://pmc.ncbi.nlm.nih.gov/articles/PMC13219127/, friendlyName=Open Full Text</x:v>
      </x:c>
      <x:c r="P188" s="28" t="str">
        <x:v>abstract only</x:v>
      </x:c>
      <x:c r="Q188" s="28" t="str">
        <x:v>PubMed/MEDLINE export supplied by user | query: not verified from export; see Protocol sheet for reproducible recommended query</x:v>
      </x:c>
      <x:c r="R188" s="28" t="str">
        <x:v>Batch 1 core</x:v>
      </x:c>
      <x:c r="S188" s="28" t="str">
        <x:v>Direct ADHD evidence synthesis/guideline with broad multi-topic relevance.</x:v>
      </x:c>
      <x:c r="T188" s="28" t="str">
        <x:v>not apparent from accessed abstract/metadata</x:v>
      </x:c>
      <x:c r="U188" s="28" t="str">
        <x:v>none identified in MEDLINE record</x:v>
      </x:c>
      <x:c r="V188" s="26" t="str">
        <x:v>PMC13219127</x:v>
      </x:c>
      <x:c r="W188" s="28" t="str">
        <x:v>PDF available via PMC (verified free full text)</x:v>
      </x:c>
      <x:c r="X188" s="28" t="str">
        <x:v>Yes — PMC</x:v>
      </x:c>
      <x:c r="Y188" s="31" t="e">
        <x:f>IF(V188="not reported","not reported",HYPERLINK("https://pmc.ncbi.nlm.nih.gov/articles/"&amp;V188&amp;"/","Open Full Text"))</x:f>
        <x:v>HYPERLINK is not implemented. linkLocation=https://pmc.ncbi.nlm.nih.gov/articles/PMC13219127/, friendlyName=Open Full Text</x:v>
      </x:c>
      <x:c r="Z188" s="31" t="e">
        <x:f>IF(L188="not reported","not reported",HYPERLINK("https://doi.org/"&amp;L188,"Open Publisher"))</x:f>
        <x:v>HYPERLINK is not implemented. linkLocation=https://doi.org/10.1007/s00787-025-02906-3, friendlyName=Open Publisher</x:v>
      </x:c>
      <x:c r="AA188" s="28" t="str">
        <x:v>PMCID PMC13219127 present in the PubMed/MEDLINE record.</x:v>
      </x:c>
      <x:c r="AB188" s="28" t="str">
        <x:v>Open the PMC full-text page and use its PDF button/download option.</x:v>
      </x:c>
      <x:c r="AC188" s="26" t="str">
        <x:v>2026-09-20</x:v>
      </x:c>
    </x:row>
    <x:row r="189">
      <x:c r="A189" s="26" t="str">
        <x:v>PUBMED-41197219</x:v>
      </x:c>
      <x:c r="B189" s="28" t="str">
        <x:v>Association of ADHD/ASD traits with premenstrual dysphoric disorder among full-time employed women in Japan: A cross-sectional study.</x:v>
      </x:c>
      <x:c r="C189" s="28" t="str">
        <x:v>Tsuji, Rikako; Watanabe, Kazuhiro; Egawa, Miho; Ito, Yuka; Kanamori, Yoshiaki; Iida, Mako; Nishi, Daisuke; Sasaki, Natsu</x:v>
      </x:c>
      <x:c r="D189" s="28" t="n">
        <x:v>2026</x:v>
      </x:c>
      <x:c r="E189" s="28" t="str">
        <x:v>Journal of psychiatric research</x:v>
      </x:c>
      <x:c r="F189" s="28" t="str">
        <x:v>Primary study - cross-sectional</x:v>
      </x:c>
      <x:c r="G189" s="28" t="str">
        <x:v>Development &amp; presentation; Recognition &amp; diagnosis; Family &amp; education; Social &amp; structural; Life outcomes &amp; lived experience; Historical &amp; contemporary context</x:v>
      </x:c>
      <x:c r="H189" s="28" t="str">
        <x:v>Adulthood</x:v>
      </x:c>
      <x:c r="I189" s="28" t="str">
        <x:v>Geography (MeSH): Japan</x:v>
      </x:c>
      <x:c r="J189" s="28" t="str">
        <x:v>not reported</x:v>
      </x:c>
      <x:c r="K189" s="28" t="str">
        <x:v>OBJECTIVES: Premenstrual dysphoric disorder (PMDD) has a substantial impact on adult female workers.</x:v>
      </x:c>
      <x:c r="L189" s="28" t="str">
        <x:v>10.1016/j.jpsychires.2025.10.059</x:v>
      </x:c>
      <x:c r="M189" s="28" t="str">
        <x:v>41197219</x:v>
      </x:c>
      <x:c r="N189" s="31" t="e">
        <x:f>HYPERLINK("https://pubmed.ncbi.nlm.nih.gov/"&amp;M189&amp;"/","Open PubMed")</x:f>
        <x:v>HYPERLINK is not implemented. linkLocation=https://pubmed.ncbi.nlm.nih.gov/41197219/, friendlyName=Open PubMed</x:v>
      </x:c>
      <x:c r="O189" s="31" t="str">
        <x:v>not reported</x:v>
      </x:c>
      <x:c r="P189" s="28" t="str">
        <x:v>abstract only</x:v>
      </x:c>
      <x:c r="Q189" s="28" t="str">
        <x:v>PubMed/MEDLINE export supplied by user | query: not verified from export; see Protocol sheet for reproducible recommended query</x:v>
      </x:c>
      <x:c r="R189" s="28" t="str">
        <x:v>Batch 1 core</x:v>
      </x:c>
      <x:c r="S189" s="28" t="str">
        <x:v>Direct ADHD primary study on diagnosis, family/education, structural conditions, lived experience/outcomes, or environment/lifestyle.</x:v>
      </x:c>
      <x:c r="T189" s="28" t="str">
        <x:v>not apparent from accessed abstract/metadata</x:v>
      </x:c>
      <x:c r="U189" s="28" t="str">
        <x:v>none identified in MEDLINE record</x:v>
      </x:c>
      <x:c r="V189" s="26" t="str">
        <x:v>not reported</x:v>
      </x:c>
      <x:c r="W189" s="28" t="str">
        <x:v>No PMC copy identified; publisher PDF/access must be checked</x:v>
      </x:c>
      <x:c r="X189" s="28" t="str">
        <x:v>Not verified</x:v>
      </x:c>
      <x:c r="Y189" s="31" t="str">
        <x:f>IF(V189="not reported","not reported",HYPERLINK("https://pmc.ncbi.nlm.nih.gov/articles/"&amp;V189&amp;"/","Open Full Text"))</x:f>
        <x:v>not reported</x:v>
      </x:c>
      <x:c r="Z189" s="31" t="e">
        <x:f>IF(L189="not reported","not reported",HYPERLINK("https://doi.org/"&amp;L189,"Open Publisher"))</x:f>
        <x:v>HYPERLINK is not implemented. linkLocation=https://doi.org/10.1016/j.jpsychires.2025.10.059, friendlyName=Open Publisher</x:v>
      </x:c>
      <x:c r="AA189" s="28" t="str">
        <x:v>DOI present in PubMed/MEDLINE; no PMCID present.</x:v>
      </x:c>
      <x:c r="AB189" s="28" t="str">
        <x:v>Open the DOI/publisher page. If PDF is paywalled, try Stony Brook Library access, Article Galaxy, or interlibrary loan.</x:v>
      </x:c>
      <x:c r="AC189" s="26" t="str">
        <x:v>2026-09-20</x:v>
      </x:c>
    </x:row>
    <x:row r="190">
      <x:c r="A190" s="26" t="str">
        <x:v>PUBMED-41067916</x:v>
      </x:c>
      <x:c r="B190" s="28" t="str">
        <x:v>Maternal ADHD Diagnoses Before and After Childbirth: A Danish Population-Based Cohort Study.</x:v>
      </x:c>
      <x:c r="C190" s="28" t="str">
        <x:v>Madsen, Kathrine Bang; Winther, Mette; Jensen, Amalie Thea; Marcussen, Katrine; Munk-Olsen, Trine; Wesselhoeft, Rikke; Kittel-Schneider, Sarah</x:v>
      </x:c>
      <x:c r="D190" s="28" t="n">
        <x:v>2026</x:v>
      </x:c>
      <x:c r="E190" s="28" t="str">
        <x:v>Journal of attention disorders</x:v>
      </x:c>
      <x:c r="F190" s="28" t="str">
        <x:v>Primary study - cohort</x:v>
      </x:c>
      <x:c r="G190" s="28" t="str">
        <x:v>Development &amp; presentation; Recognition &amp; diagnosis; Social &amp; structural; Environmental &amp; lifestyle; Treatment &amp; support</x:v>
      </x:c>
      <x:c r="H190" s="28" t="str">
        <x:v>Adulthood</x:v>
      </x:c>
      <x:c r="I190" s="28" t="str">
        <x:v>Geography (MeSH): Denmark</x:v>
      </x:c>
      <x:c r="J190" s="28" t="str">
        <x:v>1994 to 2023; between 2010 and 2018</x:v>
      </x:c>
      <x:c r="K190" s="28" t="str">
        <x:v>OBJECTIVE: The rates of women of reproductive age diagnosed with ADHD have increased significantly.</x:v>
      </x:c>
      <x:c r="L190" s="28" t="str">
        <x:v>10.1177/10870547251372730</x:v>
      </x:c>
      <x:c r="M190" s="28" t="str">
        <x:v>41067916</x:v>
      </x:c>
      <x:c r="N190" s="31" t="e">
        <x:f>HYPERLINK("https://pubmed.ncbi.nlm.nih.gov/"&amp;M190&amp;"/","Open PubMed")</x:f>
        <x:v>HYPERLINK is not implemented. linkLocation=https://pubmed.ncbi.nlm.nih.gov/41067916/, friendlyName=Open PubMed</x:v>
      </x:c>
      <x:c r="O190" s="31" t="str">
        <x:v>not reported</x:v>
      </x:c>
      <x:c r="P190" s="28" t="str">
        <x:v>abstract only</x:v>
      </x:c>
      <x:c r="Q190" s="28" t="str">
        <x:v>PubMed/MEDLINE export supplied by user | query: not verified from export; see Protocol sheet for reproducible recommended query</x:v>
      </x:c>
      <x:c r="R190" s="28" t="str">
        <x:v>Batch 1 core</x:v>
      </x:c>
      <x:c r="S190" s="28" t="str">
        <x:v>Direct ADHD primary study on diagnosis, family/education, structural conditions, lived experience/outcomes, or environment/lifestyle.</x:v>
      </x:c>
      <x:c r="T190" s="28" t="str">
        <x:v>not apparent from accessed abstract/metadata</x:v>
      </x:c>
      <x:c r="U190" s="28" t="str">
        <x:v>none identified in MEDLINE record</x:v>
      </x:c>
      <x:c r="V190" s="26" t="str">
        <x:v>not reported</x:v>
      </x:c>
      <x:c r="W190" s="28" t="str">
        <x:v>No PMC copy identified; publisher PDF/access must be checked</x:v>
      </x:c>
      <x:c r="X190" s="28" t="str">
        <x:v>Not verified</x:v>
      </x:c>
      <x:c r="Y190" s="31" t="str">
        <x:f>IF(V190="not reported","not reported",HYPERLINK("https://pmc.ncbi.nlm.nih.gov/articles/"&amp;V190&amp;"/","Open Full Text"))</x:f>
        <x:v>not reported</x:v>
      </x:c>
      <x:c r="Z190" s="31" t="e">
        <x:f>IF(L190="not reported","not reported",HYPERLINK("https://doi.org/"&amp;L190,"Open Publisher"))</x:f>
        <x:v>HYPERLINK is not implemented. linkLocation=https://doi.org/10.1177/10870547251372730, friendlyName=Open Publisher</x:v>
      </x:c>
      <x:c r="AA190" s="28" t="str">
        <x:v>DOI present in PubMed/MEDLINE; no PMCID present.</x:v>
      </x:c>
      <x:c r="AB190" s="28" t="str">
        <x:v>Open the DOI/publisher page. If PDF is paywalled, try Stony Brook Library access, Article Galaxy, or interlibrary loan.</x:v>
      </x:c>
      <x:c r="AC190" s="26" t="str">
        <x:v>2026-09-20</x:v>
      </x:c>
    </x:row>
    <x:row r="191">
      <x:c r="A191" s="26" t="str">
        <x:v>PUBMED-40801243</x:v>
      </x:c>
      <x:c r="B191" s="28" t="str">
        <x:v>The role of comorbid childhood mental health and neurodevelopmental conditions in the persistence of ADHD symptoms: systematic review and meta-analysis.</x:v>
      </x:c>
      <x:c r="C191" s="28" t="str">
        <x:v>You, Yuan; McAdams, Tom; Ahmadzadeh, Yasmin I; Schoeler, Tabea; Marzecki, Filip; Zavos, Helena M S</x:v>
      </x:c>
      <x:c r="D191" s="28" t="n">
        <x:v>2026</x:v>
      </x:c>
      <x:c r="E191" s="28" t="str">
        <x:v>Journal of child psychology and psychiatry, and allied disciplines</x:v>
      </x:c>
      <x:c r="F191" s="28" t="str">
        <x:v>Evidence synthesis - meta-analysis</x:v>
      </x:c>
      <x:c r="G191" s="28" t="str">
        <x:v>Development &amp; presentation; Recognition &amp; diagnosis; Family &amp; education; Social &amp; structural</x:v>
      </x:c>
      <x:c r="H191" s="28" t="str">
        <x:v>Childhood</x:v>
      </x:c>
      <x:c r="I191" s="28" t="str">
        <x:v>not reported/not verified</x:v>
      </x:c>
      <x:c r="J191" s="28" t="str">
        <x:v>not reported</x:v>
      </x:c>
      <x:c r="K191" s="28" t="str">
        <x:v>BACKGROUND: Children diagnosed with ADHD and other comorbid mental health conditions often exhibit more severe functional impairments than those without comorbid conditions, including a tendency for their ADHD symptoms to persist into later developmental stages.</x:v>
      </x:c>
      <x:c r="L191" s="28" t="str">
        <x:v>10.1111/jcpp.70028</x:v>
      </x:c>
      <x:c r="M191" s="28" t="str">
        <x:v>40801243</x:v>
      </x:c>
      <x:c r="N191" s="31" t="e">
        <x:f>HYPERLINK("https://pubmed.ncbi.nlm.nih.gov/"&amp;M191&amp;"/","Open PubMed")</x:f>
        <x:v>HYPERLINK is not implemented. linkLocation=https://pubmed.ncbi.nlm.nih.gov/40801243/, friendlyName=Open PubMed</x:v>
      </x:c>
      <x:c r="O191" s="31" t="e">
        <x:f>HYPERLINK("https://pmc.ncbi.nlm.nih.gov/articles/PMC12812795/","Open Full Text")</x:f>
        <x:v>HYPERLINK is not implemented. linkLocation=https://pmc.ncbi.nlm.nih.gov/articles/PMC12812795/, friendlyName=Open Full Text</x:v>
      </x:c>
      <x:c r="P191" s="28" t="str">
        <x:v>abstract only</x:v>
      </x:c>
      <x:c r="Q191" s="28" t="str">
        <x:v>PubMed/MEDLINE export supplied by user | query: not verified from export; see Protocol sheet for reproducible recommended query</x:v>
      </x:c>
      <x:c r="R191" s="28" t="str">
        <x:v>Batch 1 core</x:v>
      </x:c>
      <x:c r="S191" s="28" t="str">
        <x:v>Direct ADHD evidence synthesis/guideline with broad multi-topic relevance.</x:v>
      </x:c>
      <x:c r="T191" s="28" t="str">
        <x:v>not apparent from accessed abstract/metadata</x:v>
      </x:c>
      <x:c r="U191" s="28" t="str">
        <x:v>none identified in MEDLINE record</x:v>
      </x:c>
      <x:c r="V191" s="26" t="str">
        <x:v>PMC12812795</x:v>
      </x:c>
      <x:c r="W191" s="28" t="str">
        <x:v>PDF available via PMC (verified free full text)</x:v>
      </x:c>
      <x:c r="X191" s="28" t="str">
        <x:v>Yes — PMC</x:v>
      </x:c>
      <x:c r="Y191" s="31" t="e">
        <x:f>IF(V191="not reported","not reported",HYPERLINK("https://pmc.ncbi.nlm.nih.gov/articles/"&amp;V191&amp;"/","Open Full Text"))</x:f>
        <x:v>HYPERLINK is not implemented. linkLocation=https://pmc.ncbi.nlm.nih.gov/articles/PMC12812795/, friendlyName=Open Full Text</x:v>
      </x:c>
      <x:c r="Z191" s="31" t="e">
        <x:f>IF(L191="not reported","not reported",HYPERLINK("https://doi.org/"&amp;L191,"Open Publisher"))</x:f>
        <x:v>HYPERLINK is not implemented. linkLocation=https://doi.org/10.1111/jcpp.70028, friendlyName=Open Publisher</x:v>
      </x:c>
      <x:c r="AA191" s="28" t="str">
        <x:v>PMCID PMC12812795 present in the PubMed/MEDLINE record.</x:v>
      </x:c>
      <x:c r="AB191" s="28" t="str">
        <x:v>Open the PMC full-text page and use its PDF button/download option.</x:v>
      </x:c>
      <x:c r="AC191" s="26" t="str">
        <x:v>2026-09-20</x:v>
      </x:c>
    </x:row>
    <x:row r="192">
      <x:c r="A192" s="26" t="str">
        <x:v>PUBMED-40737052</x:v>
      </x:c>
      <x:c r="B192" s="28" t="str">
        <x:v>Equity-Centered Development of a Community Health Worker Intervention to Improve Engagement in Care for ADHD.</x:v>
      </x:c>
      <x:c r="C192" s="28" t="str">
        <x:v>Spencer, Andrea E; Loubeau, Jacqueline Krystel; Sikov, Jennifer; Zolli, Nicole; Lejeune, Julia; Baul, Tithi; Kobayashi, Imme; Pena, Kryztal; Vanegas, Jocelin; Hansen-Erraziqi, Miriam; Kim, Jessica; Nawreen, Farah; Wong, Garseng; Dayal, Rohan; Faber-Rico, Bella; Fortuna, Lisa R; Borba, Christina; Garg, Arvin; Silverstein, Michael</x:v>
      </x:c>
      <x:c r="D192" s="28" t="n">
        <x:v>2026</x:v>
      </x:c>
      <x:c r="E192" s="28" t="str">
        <x:v>Journal of attention disorders</x:v>
      </x:c>
      <x:c r="F192" s="28" t="str">
        <x:v>Primary study - qualitative</x:v>
      </x:c>
      <x:c r="G192" s="28" t="str">
        <x:v>Development &amp; presentation; Recognition &amp; diagnosis; Family &amp; education; Social &amp; structural; Treatment &amp; support; Life outcomes &amp; lived experience</x:v>
      </x:c>
      <x:c r="H192" s="28" t="str">
        <x:v>Childhood; Adulthood; aged 6 to 12 years</x:v>
      </x:c>
      <x:c r="I192" s="28" t="str">
        <x:v>not reported/not verified</x:v>
      </x:c>
      <x:c r="J192" s="28" t="str">
        <x:v>not reported</x:v>
      </x:c>
      <x:c r="K192" s="28" t="str">
        <x:v>OBJECTIVE: Barriers to engagement perpetuate inequities in ADHD care for children.</x:v>
      </x:c>
      <x:c r="L192" s="28" t="str">
        <x:v>10.1177/10870547251355696</x:v>
      </x:c>
      <x:c r="M192" s="28" t="str">
        <x:v>40737052</x:v>
      </x:c>
      <x:c r="N192" s="31" t="e">
        <x:f>HYPERLINK("https://pubmed.ncbi.nlm.nih.gov/"&amp;M192&amp;"/","Open PubMed")</x:f>
        <x:v>HYPERLINK is not implemented. linkLocation=https://pubmed.ncbi.nlm.nih.gov/40737052/, friendlyName=Open PubMed</x:v>
      </x:c>
      <x:c r="O192" s="31" t="str">
        <x:v>not reported</x:v>
      </x:c>
      <x:c r="P192" s="28" t="str">
        <x:v>abstract only</x:v>
      </x:c>
      <x:c r="Q192" s="28" t="str">
        <x:v>PubMed/MEDLINE export supplied by user | query: not verified from export; see Protocol sheet for reproducible recommended query</x:v>
      </x:c>
      <x:c r="R192" s="28" t="str">
        <x:v>Batch 1 core</x:v>
      </x:c>
      <x:c r="S192" s="28" t="str">
        <x:v>Direct ADHD primary study on diagnosis, family/education, structural conditions, lived experience/outcomes, or environment/lifestyle.</x:v>
      </x:c>
      <x:c r="T192" s="28" t="str">
        <x:v>not apparent from accessed abstract/metadata</x:v>
      </x:c>
      <x:c r="U192" s="28" t="str">
        <x:v>none identified in MEDLINE record</x:v>
      </x:c>
      <x:c r="V192" s="26" t="str">
        <x:v>not reported</x:v>
      </x:c>
      <x:c r="W192" s="28" t="str">
        <x:v>No PMC copy identified; publisher PDF/access must be checked</x:v>
      </x:c>
      <x:c r="X192" s="28" t="str">
        <x:v>Not verified</x:v>
      </x:c>
      <x:c r="Y192" s="31" t="str">
        <x:f>IF(V192="not reported","not reported",HYPERLINK("https://pmc.ncbi.nlm.nih.gov/articles/"&amp;V192&amp;"/","Open Full Text"))</x:f>
        <x:v>not reported</x:v>
      </x:c>
      <x:c r="Z192" s="31" t="e">
        <x:f>IF(L192="not reported","not reported",HYPERLINK("https://doi.org/"&amp;L192,"Open Publisher"))</x:f>
        <x:v>HYPERLINK is not implemented. linkLocation=https://doi.org/10.1177/10870547251355696, friendlyName=Open Publisher</x:v>
      </x:c>
      <x:c r="AA192" s="28" t="str">
        <x:v>DOI present in PubMed/MEDLINE; no PMCID present.</x:v>
      </x:c>
      <x:c r="AB192" s="28" t="str">
        <x:v>Open the DOI/publisher page. If PDF is paywalled, try Stony Brook Library access, Article Galaxy, or interlibrary loan.</x:v>
      </x:c>
      <x:c r="AC192" s="26" t="str">
        <x:v>2026-09-20</x:v>
      </x:c>
    </x:row>
    <x:row r="193">
      <x:c r="A193" s="26" t="str">
        <x:v>PUBMED-40638003</x:v>
      </x:c>
      <x:c r="B193" s="28" t="str">
        <x:v>Peripheral Inflammation In Adult ADHD: Sex Differences And Hematological Markers.</x:v>
      </x:c>
      <x:c r="C193" s="28" t="str">
        <x:v>Çankaya, Pınar Kızılay</x:v>
      </x:c>
      <x:c r="D193" s="28" t="n">
        <x:v>2026</x:v>
      </x:c>
      <x:c r="E193" s="28" t="str">
        <x:v>The Psychiatric quarterly</x:v>
      </x:c>
      <x:c r="F193" s="28" t="str">
        <x:v>Primary study - cross-sectional</x:v>
      </x:c>
      <x:c r="G193" s="28" t="str">
        <x:v>Development &amp; presentation; Recognition &amp; diagnosis; Social &amp; structural; Treatment &amp; support</x:v>
      </x:c>
      <x:c r="H193" s="28" t="str">
        <x:v>Adolescence; Adulthood; aged 18-38 years</x:v>
      </x:c>
      <x:c r="I193" s="28" t="str">
        <x:v>not reported/not verified</x:v>
      </x:c>
      <x:c r="J193" s="28" t="str">
        <x:v>not reported</x:v>
      </x:c>
      <x:c r="K193" s="28" t="str">
        <x:v>Attention-Deficit/Hyperactivity Disorder (ADHD) is a neurodevelopmental disorder characterized by impairments that persist into adulthood.</x:v>
      </x:c>
      <x:c r="L193" s="28" t="str">
        <x:v>10.1007/s11126-025-10185-z</x:v>
      </x:c>
      <x:c r="M193" s="28" t="str">
        <x:v>40638003</x:v>
      </x:c>
      <x:c r="N193" s="31" t="e">
        <x:f>HYPERLINK("https://pubmed.ncbi.nlm.nih.gov/"&amp;M193&amp;"/","Open PubMed")</x:f>
        <x:v>HYPERLINK is not implemented. linkLocation=https://pubmed.ncbi.nlm.nih.gov/40638003/, friendlyName=Open PubMed</x:v>
      </x:c>
      <x:c r="O193" s="31" t="str">
        <x:v>not reported</x:v>
      </x:c>
      <x:c r="P193" s="28" t="str">
        <x:v>abstract only</x:v>
      </x:c>
      <x:c r="Q193" s="28" t="str">
        <x:v>PubMed/MEDLINE export supplied by user | query: not verified from export; see Protocol sheet for reproducible recommended query</x:v>
      </x:c>
      <x:c r="R193" s="28" t="str">
        <x:v>Batch 1 core</x:v>
      </x:c>
      <x:c r="S193" s="28" t="str">
        <x:v>Direct ADHD primary study on diagnosis, family/education, structural conditions, lived experience/outcomes, or environment/lifestyle.</x:v>
      </x:c>
      <x:c r="T193" s="28" t="str">
        <x:v>not apparent from accessed abstract/metadata</x:v>
      </x:c>
      <x:c r="U193" s="28" t="str">
        <x:v>none identified in MEDLINE record</x:v>
      </x:c>
      <x:c r="V193" s="26" t="str">
        <x:v>not reported</x:v>
      </x:c>
      <x:c r="W193" s="28" t="str">
        <x:v>No PMC copy identified; publisher PDF/access must be checked</x:v>
      </x:c>
      <x:c r="X193" s="28" t="str">
        <x:v>Not verified</x:v>
      </x:c>
      <x:c r="Y193" s="31" t="str">
        <x:f>IF(V193="not reported","not reported",HYPERLINK("https://pmc.ncbi.nlm.nih.gov/articles/"&amp;V193&amp;"/","Open Full Text"))</x:f>
        <x:v>not reported</x:v>
      </x:c>
      <x:c r="Z193" s="31" t="e">
        <x:f>IF(L193="not reported","not reported",HYPERLINK("https://doi.org/"&amp;L193,"Open Publisher"))</x:f>
        <x:v>HYPERLINK is not implemented. linkLocation=https://doi.org/10.1007/s11126-025-10185-z, friendlyName=Open Publisher</x:v>
      </x:c>
      <x:c r="AA193" s="28" t="str">
        <x:v>DOI present in PubMed/MEDLINE; no PMCID present.</x:v>
      </x:c>
      <x:c r="AB193" s="28" t="str">
        <x:v>Open the DOI/publisher page. If PDF is paywalled, try Stony Brook Library access, Article Galaxy, or interlibrary loan.</x:v>
      </x:c>
      <x:c r="AC193" s="26" t="str">
        <x:v>2026-09-20</x:v>
      </x:c>
    </x:row>
    <x:row r="194">
      <x:c r="A194" s="26" t="str">
        <x:v>PUBMED-40417822</x:v>
      </x:c>
      <x:c r="B194" s="28" t="str">
        <x:v>The Family Quality of Life of Children With Specific Learning Disabilities, Attention-Deficit/Hyperactivity Disorder, and Their Co-Occurrence: A Cross-Sectional Study.</x:v>
      </x:c>
      <x:c r="C194" s="28" t="str">
        <x:v>Liang, Di Chao; Poon, Kean; Yum, Yen Na</x:v>
      </x:c>
      <x:c r="D194" s="28" t="n">
        <x:v>2026</x:v>
      </x:c>
      <x:c r="E194" s="28" t="str">
        <x:v>Journal of learning disabilities</x:v>
      </x:c>
      <x:c r="F194" s="28" t="str">
        <x:v>Primary study - cross-sectional</x:v>
      </x:c>
      <x:c r="G194" s="28" t="str">
        <x:v>Development &amp; presentation; Family &amp; education; Social &amp; structural; Life outcomes &amp; lived experience</x:v>
      </x:c>
      <x:c r="H194" s="28" t="str">
        <x:v>Childhood; Adolescence</x:v>
      </x:c>
      <x:c r="I194" s="28" t="str">
        <x:v>Geography (MeSH): Hong Kong</x:v>
      </x:c>
      <x:c r="J194" s="28" t="str">
        <x:v>not reported</x:v>
      </x:c>
      <x:c r="K194" s="28" t="str">
        <x:v>Research on Family Quality of Life (FQoL) has increasingly focused on the impact of learning disabilities on families.</x:v>
      </x:c>
      <x:c r="L194" s="28" t="str">
        <x:v>10.1177/00222194251342202</x:v>
      </x:c>
      <x:c r="M194" s="28" t="str">
        <x:v>40417822</x:v>
      </x:c>
      <x:c r="N194" s="31" t="e">
        <x:f>HYPERLINK("https://pubmed.ncbi.nlm.nih.gov/"&amp;M194&amp;"/","Open PubMed")</x:f>
        <x:v>HYPERLINK is not implemented. linkLocation=https://pubmed.ncbi.nlm.nih.gov/40417822/, friendlyName=Open PubMed</x:v>
      </x:c>
      <x:c r="O194" s="31" t="str">
        <x:v>not reported</x:v>
      </x:c>
      <x:c r="P194" s="28" t="str">
        <x:v>abstract only</x:v>
      </x:c>
      <x:c r="Q194" s="28" t="str">
        <x:v>PubMed/MEDLINE export supplied by user | query: not verified from export; see Protocol sheet for reproducible recommended query</x:v>
      </x:c>
      <x:c r="R194" s="28" t="str">
        <x:v>Batch 1 core</x:v>
      </x:c>
      <x:c r="S194" s="28" t="str">
        <x:v>Direct ADHD primary study on diagnosis, family/education, structural conditions, lived experience/outcomes, or environment/lifestyle.</x:v>
      </x:c>
      <x:c r="T194" s="28" t="str">
        <x:v>not apparent from accessed abstract/metadata</x:v>
      </x:c>
      <x:c r="U194" s="28" t="str">
        <x:v>none identified in MEDLINE record</x:v>
      </x:c>
      <x:c r="V194" s="26" t="str">
        <x:v>not reported</x:v>
      </x:c>
      <x:c r="W194" s="28" t="str">
        <x:v>No PMC copy identified; publisher PDF/access must be checked</x:v>
      </x:c>
      <x:c r="X194" s="28" t="str">
        <x:v>Not verified</x:v>
      </x:c>
      <x:c r="Y194" s="31" t="str">
        <x:f>IF(V194="not reported","not reported",HYPERLINK("https://pmc.ncbi.nlm.nih.gov/articles/"&amp;V194&amp;"/","Open Full Text"))</x:f>
        <x:v>not reported</x:v>
      </x:c>
      <x:c r="Z194" s="31" t="e">
        <x:f>IF(L194="not reported","not reported",HYPERLINK("https://doi.org/"&amp;L194,"Open Publisher"))</x:f>
        <x:v>HYPERLINK is not implemented. linkLocation=https://doi.org/10.1177/00222194251342202, friendlyName=Open Publisher</x:v>
      </x:c>
      <x:c r="AA194" s="28" t="str">
        <x:v>DOI present in PubMed/MEDLINE; no PMCID present.</x:v>
      </x:c>
      <x:c r="AB194" s="28" t="str">
        <x:v>Open the DOI/publisher page. If PDF is paywalled, try Stony Brook Library access, Article Galaxy, or interlibrary loan.</x:v>
      </x:c>
      <x:c r="AC194" s="26" t="str">
        <x:v>2026-09-20</x:v>
      </x:c>
    </x:row>
    <x:row r="195">
      <x:c r="A195" s="26" t="str">
        <x:v>PUBMED-40122116</x:v>
      </x:c>
      <x:c r="B195" s="28" t="str">
        <x:v>Prevalence of the Prescribing of Attention-Deficit Hyperactivity Disorder Medication During Pregnancy: A Systematic Review.</x:v>
      </x:c>
      <x:c r="C195" s="28" t="str">
        <x:v>Russell, Danielle J; Quintrell, Ebony; Wyrwoll, Caitlin S; Kelty, Erin</x:v>
      </x:c>
      <x:c r="D195" s="28" t="n">
        <x:v>2026</x:v>
      </x:c>
      <x:c r="E195" s="28" t="str">
        <x:v>Journal of psychoactive drugs</x:v>
      </x:c>
      <x:c r="F195" s="28" t="str">
        <x:v>Evidence synthesis - meta-analysis</x:v>
      </x:c>
      <x:c r="G195" s="28" t="str">
        <x:v>Development &amp; presentation; Recognition &amp; diagnosis; Social &amp; structural; Environmental &amp; lifestyle; Treatment &amp; support</x:v>
      </x:c>
      <x:c r="H195" s="28" t="str">
        <x:v>Not specified</x:v>
      </x:c>
      <x:c r="I195" s="28" t="str">
        <x:v>Geography (MeSH): United States, Australia, Canada</x:v>
      </x:c>
      <x:c r="J195" s="28" t="str">
        <x:v>not reported</x:v>
      </x:c>
      <x:c r="K195" s="28" t="str">
        <x:v>Attention deficit hyperactivity disorder (ADHD) diagnosis in women has markedly increased in recent years, resulting in an increase of ADHD medication exposure during pregnancy, which has uncertain health risks.</x:v>
      </x:c>
      <x:c r="L195" s="28" t="str">
        <x:v>10.1080/02791072.2025.2478085</x:v>
      </x:c>
      <x:c r="M195" s="28" t="str">
        <x:v>40122116</x:v>
      </x:c>
      <x:c r="N195" s="31" t="e">
        <x:f>HYPERLINK("https://pubmed.ncbi.nlm.nih.gov/"&amp;M195&amp;"/","Open PubMed")</x:f>
        <x:v>HYPERLINK is not implemented. linkLocation=https://pubmed.ncbi.nlm.nih.gov/40122116/, friendlyName=Open PubMed</x:v>
      </x:c>
      <x:c r="O195" s="31" t="str">
        <x:v>not reported</x:v>
      </x:c>
      <x:c r="P195" s="28" t="str">
        <x:v>abstract only</x:v>
      </x:c>
      <x:c r="Q195" s="28" t="str">
        <x:v>PubMed/MEDLINE export supplied by user | query: not verified from export; see Protocol sheet for reproducible recommended query</x:v>
      </x:c>
      <x:c r="R195" s="28" t="str">
        <x:v>Batch 1 core</x:v>
      </x:c>
      <x:c r="S195" s="28" t="str">
        <x:v>Direct ADHD evidence synthesis/guideline with broad multi-topic relevance.</x:v>
      </x:c>
      <x:c r="T195" s="28" t="str">
        <x:v>not apparent from accessed abstract/metadata</x:v>
      </x:c>
      <x:c r="U195" s="28" t="str">
        <x:v>none identified in MEDLINE record</x:v>
      </x:c>
      <x:c r="V195" s="26" t="str">
        <x:v>not reported</x:v>
      </x:c>
      <x:c r="W195" s="28" t="str">
        <x:v>No PMC copy identified; publisher PDF/access must be checked</x:v>
      </x:c>
      <x:c r="X195" s="28" t="str">
        <x:v>Not verified</x:v>
      </x:c>
      <x:c r="Y195" s="31" t="str">
        <x:f>IF(V195="not reported","not reported",HYPERLINK("https://pmc.ncbi.nlm.nih.gov/articles/"&amp;V195&amp;"/","Open Full Text"))</x:f>
        <x:v>not reported</x:v>
      </x:c>
      <x:c r="Z195" s="31" t="e">
        <x:f>IF(L195="not reported","not reported",HYPERLINK("https://doi.org/"&amp;L195,"Open Publisher"))</x:f>
        <x:v>HYPERLINK is not implemented. linkLocation=https://doi.org/10.1080/02791072.2025.2478085, friendlyName=Open Publisher</x:v>
      </x:c>
      <x:c r="AA195" s="28" t="str">
        <x:v>DOI present in PubMed/MEDLINE; no PMCID present.</x:v>
      </x:c>
      <x:c r="AB195" s="28" t="str">
        <x:v>Open the DOI/publisher page. If PDF is paywalled, try Stony Brook Library access, Article Galaxy, or interlibrary loan.</x:v>
      </x:c>
      <x:c r="AC195" s="26" t="str">
        <x:v>2026-09-20</x:v>
      </x:c>
    </x:row>
    <x:row r="196">
      <x:c r="A196" s="26" t="str">
        <x:v>PUBMED-38809476</x:v>
      </x:c>
      <x:c r="B196" s="28" t="str">
        <x:v>Relations Between Social Camouflaging, Life Satisfaction, and Depression Among Polish Women with ADHD.</x:v>
      </x:c>
      <x:c r="C196" s="28" t="str">
        <x:v>Wicherkiewicz, Fryderyka; Gambin, Małgorzata</x:v>
      </x:c>
      <x:c r="D196" s="28" t="n">
        <x:v>2026</x:v>
      </x:c>
      <x:c r="E196" s="28" t="str">
        <x:v>Journal of autism and developmental disorders</x:v>
      </x:c>
      <x:c r="F196" s="28" t="str">
        <x:v>Primary study - cross-sectional</x:v>
      </x:c>
      <x:c r="G196" s="28" t="str">
        <x:v>Development &amp; presentation; Recognition &amp; diagnosis; Social &amp; structural; Life outcomes &amp; lived experience; Historical &amp; contemporary context</x:v>
      </x:c>
      <x:c r="H196" s="28" t="str">
        <x:v>Adolescence; Adulthood</x:v>
      </x:c>
      <x:c r="I196" s="28" t="str">
        <x:v>Geography (MeSH): Poland</x:v>
      </x:c>
      <x:c r="J196" s="28" t="str">
        <x:v>not reported</x:v>
      </x:c>
      <x:c r="K196" s="28" t="str">
        <x:v>BACKGROUND: This study investigated the relationship between social camouflaging, life satisfaction, and depression symptoms in Polish women with ADHD.</x:v>
      </x:c>
      <x:c r="L196" s="28" t="str">
        <x:v>10.1007/s10803-024-06410-6</x:v>
      </x:c>
      <x:c r="M196" s="28" t="str">
        <x:v>38809476</x:v>
      </x:c>
      <x:c r="N196" s="31" t="e">
        <x:f>HYPERLINK("https://pubmed.ncbi.nlm.nih.gov/"&amp;M196&amp;"/","Open PubMed")</x:f>
        <x:v>HYPERLINK is not implemented. linkLocation=https://pubmed.ncbi.nlm.nih.gov/38809476/, friendlyName=Open PubMed</x:v>
      </x:c>
      <x:c r="O196" s="31" t="str">
        <x:v>not reported</x:v>
      </x:c>
      <x:c r="P196" s="28" t="str">
        <x:v>abstract only</x:v>
      </x:c>
      <x:c r="Q196" s="28" t="str">
        <x:v>PubMed/MEDLINE export supplied by user | query: not verified from export; see Protocol sheet for reproducible recommended query</x:v>
      </x:c>
      <x:c r="R196" s="28" t="str">
        <x:v>Batch 1 core</x:v>
      </x:c>
      <x:c r="S196" s="28" t="str">
        <x:v>Direct ADHD primary study on diagnosis, family/education, structural conditions, lived experience/outcomes, or environment/lifestyle.</x:v>
      </x:c>
      <x:c r="T196" s="28" t="str">
        <x:v>not apparent from accessed abstract/metadata</x:v>
      </x:c>
      <x:c r="U196" s="28" t="str">
        <x:v>none identified in MEDLINE record</x:v>
      </x:c>
      <x:c r="V196" s="26" t="str">
        <x:v>not reported</x:v>
      </x:c>
      <x:c r="W196" s="28" t="str">
        <x:v>No PMC copy identified; publisher PDF/access must be checked</x:v>
      </x:c>
      <x:c r="X196" s="28" t="str">
        <x:v>Not verified</x:v>
      </x:c>
      <x:c r="Y196" s="31" t="str">
        <x:f>IF(V196="not reported","not reported",HYPERLINK("https://pmc.ncbi.nlm.nih.gov/articles/"&amp;V196&amp;"/","Open Full Text"))</x:f>
        <x:v>not reported</x:v>
      </x:c>
      <x:c r="Z196" s="31" t="e">
        <x:f>IF(L196="not reported","not reported",HYPERLINK("https://doi.org/"&amp;L196,"Open Publisher"))</x:f>
        <x:v>HYPERLINK is not implemented. linkLocation=https://doi.org/10.1007/s10803-024-06410-6, friendlyName=Open Publisher</x:v>
      </x:c>
      <x:c r="AA196" s="28" t="str">
        <x:v>DOI present in PubMed/MEDLINE; no PMCID present.</x:v>
      </x:c>
      <x:c r="AB196" s="28" t="str">
        <x:v>Open the DOI/publisher page. If PDF is paywalled, try Stony Brook Library access, Article Galaxy, or interlibrary loan.</x:v>
      </x:c>
      <x:c r="AC196" s="26" t="str">
        <x:v>2026-09-20</x:v>
      </x:c>
    </x:row>
    <x:row r="197">
      <x:c r="A197" s="26" t="str">
        <x:v>PUBMED-42760662</x:v>
      </x:c>
      <x:c r="B197" s="28" t="str">
        <x:v>The relationship between problematic social media use and psychological factors among university students with evaluation of ADHD, social anxiety and self-esteem.</x:v>
      </x:c>
      <x:c r="C197" s="28" t="str">
        <x:v>Gürcan, Gamze; Çokaslan, Latife Büşra</x:v>
      </x:c>
      <x:c r="D197" s="28" t="n">
        <x:v>2026</x:v>
      </x:c>
      <x:c r="E197" s="28" t="str">
        <x:v>Medicine</x:v>
      </x:c>
      <x:c r="F197" s="28" t="str">
        <x:v>Primary study - cross-sectional</x:v>
      </x:c>
      <x:c r="G197" s="28" t="str">
        <x:v>Development &amp; presentation; Recognition &amp; diagnosis; Social &amp; structural; Environmental &amp; lifestyle; Life outcomes &amp; lived experience; Historical &amp; contemporary context</x:v>
      </x:c>
      <x:c r="H197" s="28" t="str">
        <x:v>Adolescence; Adulthood; aged 18 to 25 years</x:v>
      </x:c>
      <x:c r="I197" s="28" t="str">
        <x:v>Setting (MeSH): Universities</x:v>
      </x:c>
      <x:c r="J197" s="28" t="str">
        <x:v>not reported</x:v>
      </x:c>
      <x:c r="K197" s="28" t="str">
        <x:v>This study aimed to examine the associations between PSMU and psychological factors including attention-deficit/hyperactivity disorder (ADHD) symptoms, social anxiety, and self-esteem among university students, as well as to explore the role of selected sociodemographic and usage-related characteristics.</x:v>
      </x:c>
      <x:c r="L197" s="28" t="str">
        <x:v>10.1097/MD.0000000000050740</x:v>
      </x:c>
      <x:c r="M197" s="28" t="str">
        <x:v>42760662</x:v>
      </x:c>
      <x:c r="N197" s="31" t="e">
        <x:f>HYPERLINK("https://pubmed.ncbi.nlm.nih.gov/"&amp;M197&amp;"/","Open PubMed")</x:f>
        <x:v>HYPERLINK is not implemented. linkLocation=https://pubmed.ncbi.nlm.nih.gov/42760662/, friendlyName=Open PubMed</x:v>
      </x:c>
      <x:c r="O197" s="31" t="str">
        <x:v>not reported</x:v>
      </x:c>
      <x:c r="P197" s="28" t="str">
        <x:v>abstract only</x:v>
      </x:c>
      <x:c r="Q197" s="28" t="str">
        <x:v>PubMed/MEDLINE export supplied by user | query: not verified from export; see Protocol sheet for reproducible recommended query</x:v>
      </x:c>
      <x:c r="R197" s="28" t="str">
        <x:v>Batch 1 core</x:v>
      </x:c>
      <x:c r="S197" s="28" t="str">
        <x:v>Direct ADHD primary study on diagnosis, family/education, structural conditions, lived experience/outcomes, or environment/lifestyle.</x:v>
      </x:c>
      <x:c r="T197" s="28" t="str">
        <x:v>not apparent from accessed abstract/metadata</x:v>
      </x:c>
      <x:c r="U197" s="28" t="str">
        <x:v>none identified in MEDLINE record</x:v>
      </x:c>
      <x:c r="V197" s="26" t="str">
        <x:v>not reported</x:v>
      </x:c>
      <x:c r="W197" s="28" t="str">
        <x:v>No PMC copy identified; publisher PDF/access must be checked</x:v>
      </x:c>
      <x:c r="X197" s="28" t="str">
        <x:v>Not verified</x:v>
      </x:c>
      <x:c r="Y197" s="31" t="str">
        <x:f>IF(V197="not reported","not reported",HYPERLINK("https://pmc.ncbi.nlm.nih.gov/articles/"&amp;V197&amp;"/","Open Full Text"))</x:f>
        <x:v>not reported</x:v>
      </x:c>
      <x:c r="Z197" s="31" t="e">
        <x:f>IF(L197="not reported","not reported",HYPERLINK("https://doi.org/"&amp;L197,"Open Publisher"))</x:f>
        <x:v>HYPERLINK is not implemented. linkLocation=https://doi.org/10.1097/MD.0000000000050740, friendlyName=Open Publisher</x:v>
      </x:c>
      <x:c r="AA197" s="28" t="str">
        <x:v>DOI present in PubMed/MEDLINE; no PMCID present.</x:v>
      </x:c>
      <x:c r="AB197" s="28" t="str">
        <x:v>Open the DOI/publisher page. If PDF is paywalled, try Stony Brook Library access, Article Galaxy, or interlibrary loan.</x:v>
      </x:c>
      <x:c r="AC197" s="26" t="str">
        <x:v>2026-09-20</x:v>
      </x:c>
    </x:row>
    <x:row r="198">
      <x:c r="A198" s="26" t="str">
        <x:v>PUBMED-42288756</x:v>
      </x:c>
      <x:c r="B198" s="28" t="str">
        <x:v>Exploring adolescents' and parents' experiences of pharmacological and non-pharmacological treatment in ADHD: a qualitative study.</x:v>
      </x:c>
      <x:c r="C198" s="28" t="str">
        <x:v>Karimi, Mobina; Ghasemzadeh, Sogand; Ghasemzadeh, Peivand; Salehi, Keyvan; Shabanali Fami, Faezeh</x:v>
      </x:c>
      <x:c r="D198" s="28" t="n">
        <x:v>2026</x:v>
      </x:c>
      <x:c r="E198" s="28" t="str">
        <x:v>BMC psychiatry</x:v>
      </x:c>
      <x:c r="F198" s="28" t="str">
        <x:v>Primary study - qualitative</x:v>
      </x:c>
      <x:c r="G198" s="28" t="str">
        <x:v>Development &amp; presentation; Recognition &amp; diagnosis; Family &amp; education; Social &amp; structural; Treatment &amp; support; Life outcomes &amp; lived experience</x:v>
      </x:c>
      <x:c r="H198" s="28" t="str">
        <x:v>Childhood; Adolescence</x:v>
      </x:c>
      <x:c r="I198" s="28" t="str">
        <x:v>not reported/not verified</x:v>
      </x:c>
      <x:c r="J198" s="28" t="str">
        <x:v>not reported</x:v>
      </x:c>
      <x:c r="K198" s="28" t="str">
        <x:v>OBJECTIVE: This study sought to explore and understand the lived experiences of Iranian adolescents who have ADHD and their parents regarding pharmacological and non-pharmacological treatments with respect to barriers, facilitators, and conditions that affected the engagement.</x:v>
      </x:c>
      <x:c r="L198" s="28" t="str">
        <x:v>10.1186/s12888-026-08293-6</x:v>
      </x:c>
      <x:c r="M198" s="28" t="str">
        <x:v>42288756</x:v>
      </x:c>
      <x:c r="N198" s="31" t="e">
        <x:f>HYPERLINK("https://pubmed.ncbi.nlm.nih.gov/"&amp;M198&amp;"/","Open PubMed")</x:f>
        <x:v>HYPERLINK is not implemented. linkLocation=https://pubmed.ncbi.nlm.nih.gov/42288756/, friendlyName=Open PubMed</x:v>
      </x:c>
      <x:c r="O198" s="31" t="e">
        <x:f>HYPERLINK("https://pmc.ncbi.nlm.nih.gov/articles/PMC13504824/","Open Full Text")</x:f>
        <x:v>HYPERLINK is not implemented. linkLocation=https://pmc.ncbi.nlm.nih.gov/articles/PMC13504824/, friendlyName=Open Full Text</x:v>
      </x:c>
      <x:c r="P198" s="28" t="str">
        <x:v>abstract only</x:v>
      </x:c>
      <x:c r="Q198" s="28" t="str">
        <x:v>PubMed/MEDLINE export supplied by user | query: not verified from export; see Protocol sheet for reproducible recommended query</x:v>
      </x:c>
      <x:c r="R198" s="28" t="str">
        <x:v>Batch 1 core</x:v>
      </x:c>
      <x:c r="S198" s="28" t="str">
        <x:v>Direct ADHD primary study on diagnosis, family/education, structural conditions, lived experience/outcomes, or environment/lifestyle.</x:v>
      </x:c>
      <x:c r="T198" s="28" t="str">
        <x:v>not apparent from accessed abstract/metadata</x:v>
      </x:c>
      <x:c r="U198" s="28" t="str">
        <x:v>none identified in MEDLINE record</x:v>
      </x:c>
      <x:c r="V198" s="26" t="str">
        <x:v>PMC13504824</x:v>
      </x:c>
      <x:c r="W198" s="28" t="str">
        <x:v>PDF available via PMC (verified free full text)</x:v>
      </x:c>
      <x:c r="X198" s="28" t="str">
        <x:v>Yes — PMC</x:v>
      </x:c>
      <x:c r="Y198" s="31" t="e">
        <x:f>IF(V198="not reported","not reported",HYPERLINK("https://pmc.ncbi.nlm.nih.gov/articles/"&amp;V198&amp;"/","Open Full Text"))</x:f>
        <x:v>HYPERLINK is not implemented. linkLocation=https://pmc.ncbi.nlm.nih.gov/articles/PMC13504824/, friendlyName=Open Full Text</x:v>
      </x:c>
      <x:c r="Z198" s="31" t="e">
        <x:f>IF(L198="not reported","not reported",HYPERLINK("https://doi.org/"&amp;L198,"Open Publisher"))</x:f>
        <x:v>HYPERLINK is not implemented. linkLocation=https://doi.org/10.1186/s12888-026-08293-6, friendlyName=Open Publisher</x:v>
      </x:c>
      <x:c r="AA198" s="28" t="str">
        <x:v>PMCID PMC13504824 present in the PubMed/MEDLINE record.</x:v>
      </x:c>
      <x:c r="AB198" s="28" t="str">
        <x:v>Open the PMC full-text page and use its PDF button/download option.</x:v>
      </x:c>
      <x:c r="AC198" s="26" t="str">
        <x:v>2026-09-20</x:v>
      </x:c>
    </x:row>
    <x:row r="199">
      <x:c r="A199" s="26" t="str">
        <x:v>PUBMED-41958508</x:v>
      </x:c>
      <x:c r="B199" s="28" t="str">
        <x:v>Auditory integration training techniques for brain stimulation to reduce attention deficit hyperactivity disorder symptoms and improve academic and behavioral skills among children with learning disabilities.</x:v>
      </x:c>
      <x:c r="C199" s="28" t="str">
        <x:v>Alyoubi, Reem; Issa, Ahmed; Al-Mwaulid, Hamza; Alyazidi, Anas</x:v>
      </x:c>
      <x:c r="D199" s="28" t="n">
        <x:v>2026</x:v>
      </x:c>
      <x:c r="E199" s="28" t="str">
        <x:v>Journal of medicine and life</x:v>
      </x:c>
      <x:c r="F199" s="28" t="str">
        <x:v>Primary study - qualitative</x:v>
      </x:c>
      <x:c r="G199" s="28" t="str">
        <x:v>Development &amp; presentation; Recognition &amp; diagnosis; Family &amp; education; Social &amp; structural; Treatment &amp; support; Life outcomes &amp; lived experience</x:v>
      </x:c>
      <x:c r="H199" s="28" t="str">
        <x:v>Childhood</x:v>
      </x:c>
      <x:c r="I199" s="28" t="str">
        <x:v>not reported/not verified</x:v>
      </x:c>
      <x:c r="J199" s="28" t="str">
        <x:v>not reported</x:v>
      </x:c>
      <x:c r="K199" s="28" t="str">
        <x:v>This study investigated the therapeutic effectiveness of the Berard Auditory Integration Training (AIT) protocol, a neurosensory intervention believed to address underlying auditory processing deficits that often contribute to the high comorbidity of learning disabilities (LD) and attention-deficit/hyperactivity disorder (ADHD), for treating children diagnosed with both conditions.</x:v>
      </x:c>
      <x:c r="L199" s="28" t="str">
        <x:v>10.25122/jml-2025-0170</x:v>
      </x:c>
      <x:c r="M199" s="28" t="str">
        <x:v>41958508</x:v>
      </x:c>
      <x:c r="N199" s="31" t="e">
        <x:f>HYPERLINK("https://pubmed.ncbi.nlm.nih.gov/"&amp;M199&amp;"/","Open PubMed")</x:f>
        <x:v>HYPERLINK is not implemented. linkLocation=https://pubmed.ncbi.nlm.nih.gov/41958508/, friendlyName=Open PubMed</x:v>
      </x:c>
      <x:c r="O199" s="31" t="e">
        <x:f>HYPERLINK("https://pmc.ncbi.nlm.nih.gov/articles/PMC13059453/","Open Full Text")</x:f>
        <x:v>HYPERLINK is not implemented. linkLocation=https://pmc.ncbi.nlm.nih.gov/articles/PMC13059453/, friendlyName=Open Full Text</x:v>
      </x:c>
      <x:c r="P199" s="28" t="str">
        <x:v>abstract only</x:v>
      </x:c>
      <x:c r="Q199" s="28" t="str">
        <x:v>PubMed/MEDLINE export supplied by user | query: not verified from export; see Protocol sheet for reproducible recommended query</x:v>
      </x:c>
      <x:c r="R199" s="28" t="str">
        <x:v>Batch 1 core</x:v>
      </x:c>
      <x:c r="S199" s="28" t="str">
        <x:v>Direct ADHD primary study on diagnosis, family/education, structural conditions, lived experience/outcomes, or environment/lifestyle.</x:v>
      </x:c>
      <x:c r="T199" s="28" t="str">
        <x:v>not apparent from accessed abstract/metadata</x:v>
      </x:c>
      <x:c r="U199" s="28" t="str">
        <x:v>none identified in MEDLINE record</x:v>
      </x:c>
      <x:c r="V199" s="26" t="str">
        <x:v>PMC13059453</x:v>
      </x:c>
      <x:c r="W199" s="28" t="str">
        <x:v>PDF available via PMC (verified free full text)</x:v>
      </x:c>
      <x:c r="X199" s="28" t="str">
        <x:v>Yes — PMC</x:v>
      </x:c>
      <x:c r="Y199" s="31" t="e">
        <x:f>IF(V199="not reported","not reported",HYPERLINK("https://pmc.ncbi.nlm.nih.gov/articles/"&amp;V199&amp;"/","Open Full Text"))</x:f>
        <x:v>HYPERLINK is not implemented. linkLocation=https://pmc.ncbi.nlm.nih.gov/articles/PMC13059453/, friendlyName=Open Full Text</x:v>
      </x:c>
      <x:c r="Z199" s="31" t="e">
        <x:f>IF(L199="not reported","not reported",HYPERLINK("https://doi.org/"&amp;L199,"Open Publisher"))</x:f>
        <x:v>HYPERLINK is not implemented. linkLocation=https://doi.org/10.25122/jml-2025-0170, friendlyName=Open Publisher</x:v>
      </x:c>
      <x:c r="AA199" s="28" t="str">
        <x:v>PMCID PMC13059453 present in the PubMed/MEDLINE record.</x:v>
      </x:c>
      <x:c r="AB199" s="28" t="str">
        <x:v>Open the PMC full-text page and use its PDF button/download option.</x:v>
      </x:c>
      <x:c r="AC199" s="26" t="str">
        <x:v>2026-09-20</x:v>
      </x:c>
    </x:row>
    <x:row r="200">
      <x:c r="A200" s="26" t="str">
        <x:v>PUBMED-41955914</x:v>
      </x:c>
      <x:c r="B200" s="28" t="str">
        <x:v>Challenges in translating AI-driven ASD/ADHD diagnosis: A methodological systematic review.</x:v>
      </x:c>
      <x:c r="C200" s="28" t="str">
        <x:v>Rasool, Abdur; Ahmad, Faizan; Bunterngchit, Chayut; Aslam, Saba</x:v>
      </x:c>
      <x:c r="D200" s="28" t="n">
        <x:v>2026</x:v>
      </x:c>
      <x:c r="E200" s="28" t="str">
        <x:v>International journal of medical informatics</x:v>
      </x:c>
      <x:c r="F200" s="28" t="str">
        <x:v>Evidence synthesis - systematic review</x:v>
      </x:c>
      <x:c r="G200" s="28" t="str">
        <x:v>Development &amp; presentation; Recognition &amp; diagnosis; Social &amp; structural; Treatment &amp; support</x:v>
      </x:c>
      <x:c r="H200" s="28" t="str">
        <x:v>Childhood</x:v>
      </x:c>
      <x:c r="I200" s="28" t="str">
        <x:v>not reported/not verified</x:v>
      </x:c>
      <x:c r="J200" s="28" t="str">
        <x:v>2020-2024</x:v>
      </x:c>
      <x:c r="K200" s="28" t="str">
        <x:v>OBJECTIVE: This systematic review synthesizes biomedical informatics methodologies using deep learning-driven computer vision to enable objective, data-driven diagnostic decision support for pediatric NDDs.</x:v>
      </x:c>
      <x:c r="L200" s="28" t="str">
        <x:v>10.1016/j.ijmedinf.2026.106417</x:v>
      </x:c>
      <x:c r="M200" s="28" t="str">
        <x:v>41955914</x:v>
      </x:c>
      <x:c r="N200" s="31" t="e">
        <x:f>HYPERLINK("https://pubmed.ncbi.nlm.nih.gov/"&amp;M200&amp;"/","Open PubMed")</x:f>
        <x:v>HYPERLINK is not implemented. linkLocation=https://pubmed.ncbi.nlm.nih.gov/41955914/, friendlyName=Open PubMed</x:v>
      </x:c>
      <x:c r="O200" s="31" t="str">
        <x:v>not reported</x:v>
      </x:c>
      <x:c r="P200" s="28" t="str">
        <x:v>abstract only</x:v>
      </x:c>
      <x:c r="Q200" s="28" t="str">
        <x:v>PubMed/MEDLINE export supplied by user | query: not verified from export; see Protocol sheet for reproducible recommended query</x:v>
      </x:c>
      <x:c r="R200" s="28" t="str">
        <x:v>Batch 1 core</x:v>
      </x:c>
      <x:c r="S200" s="28" t="str">
        <x:v>Direct ADHD evidence synthesis/guideline with broad multi-topic relevance.</x:v>
      </x:c>
      <x:c r="T200" s="28" t="str">
        <x:v>not apparent from accessed abstract/metadata</x:v>
      </x:c>
      <x:c r="U200" s="28" t="str">
        <x:v>none identified in MEDLINE record</x:v>
      </x:c>
      <x:c r="V200" s="26" t="str">
        <x:v>not reported</x:v>
      </x:c>
      <x:c r="W200" s="28" t="str">
        <x:v>No PMC copy identified; publisher PDF/access must be checked</x:v>
      </x:c>
      <x:c r="X200" s="28" t="str">
        <x:v>Not verified</x:v>
      </x:c>
      <x:c r="Y200" s="31" t="str">
        <x:f>IF(V200="not reported","not reported",HYPERLINK("https://pmc.ncbi.nlm.nih.gov/articles/"&amp;V200&amp;"/","Open Full Text"))</x:f>
        <x:v>not reported</x:v>
      </x:c>
      <x:c r="Z200" s="31" t="e">
        <x:f>IF(L200="not reported","not reported",HYPERLINK("https://doi.org/"&amp;L200,"Open Publisher"))</x:f>
        <x:v>HYPERLINK is not implemented. linkLocation=https://doi.org/10.1016/j.ijmedinf.2026.106417, friendlyName=Open Publisher</x:v>
      </x:c>
      <x:c r="AA200" s="28" t="str">
        <x:v>DOI present in PubMed/MEDLINE; no PMCID present.</x:v>
      </x:c>
      <x:c r="AB200" s="28" t="str">
        <x:v>Open the DOI/publisher page. If PDF is paywalled, try Stony Brook Library access, Article Galaxy, or interlibrary loan.</x:v>
      </x:c>
      <x:c r="AC200" s="26" t="str">
        <x:v>2026-09-20</x:v>
      </x:c>
    </x:row>
    <x:row r="201">
      <x:c r="A201" s="26" t="str">
        <x:v>PUBMED-41949840</x:v>
      </x:c>
      <x:c r="B201" s="28" t="str">
        <x:v>Age at First Attention-Deficit/Hyperactivity Disorder Diagnosis and Educational Outcomes.</x:v>
      </x:c>
      <x:c r="C201" s="28" t="str">
        <x:v>Volotinen, Lotta; Remes, Hanna; Martikainen, Pekka; Metsä-Simola, Niina</x:v>
      </x:c>
      <x:c r="D201" s="28" t="n">
        <x:v>2026</x:v>
      </x:c>
      <x:c r="E201" s="28" t="str">
        <x:v>JAMA psychiatry</x:v>
      </x:c>
      <x:c r="F201" s="28" t="str">
        <x:v>Primary study - cohort</x:v>
      </x:c>
      <x:c r="G201" s="28" t="str">
        <x:v>Development &amp; presentation; Recognition &amp; diagnosis; Family &amp; education; Social &amp; structural; Environmental &amp; lifestyle; Treatment &amp; support; Life outcomes &amp; lived experience</x:v>
      </x:c>
      <x:c r="H201" s="28" t="str">
        <x:v>Childhood; Adolescence; Adulthood; ages 17-20 years</x:v>
      </x:c>
      <x:c r="I201" s="28" t="str">
        <x:v>Geography (MeSH): Finland</x:v>
      </x:c>
      <x:c r="J201" s="28" t="str">
        <x:v>not reported</x:v>
      </x:c>
      <x:c r="K201" s="28" t="str">
        <x:v>OBJECTIVE: To estimate whether age at ADHD diagnosis is associated with school performance, completed degrees, educational enrollment, and school dropout.</x:v>
      </x:c>
      <x:c r="L201" s="28" t="str">
        <x:v>10.1001/jamapsychiatry.2026.0181</x:v>
      </x:c>
      <x:c r="M201" s="28" t="str">
        <x:v>41949840</x:v>
      </x:c>
      <x:c r="N201" s="31" t="e">
        <x:f>HYPERLINK("https://pubmed.ncbi.nlm.nih.gov/"&amp;M201&amp;"/","Open PubMed")</x:f>
        <x:v>HYPERLINK is not implemented. linkLocation=https://pubmed.ncbi.nlm.nih.gov/41949840/, friendlyName=Open PubMed</x:v>
      </x:c>
      <x:c r="O201" s="31" t="e">
        <x:f>HYPERLINK("https://pmc.ncbi.nlm.nih.gov/articles/PMC13063145/","Open Full Text")</x:f>
        <x:v>HYPERLINK is not implemented. linkLocation=https://pmc.ncbi.nlm.nih.gov/articles/PMC13063145/, friendlyName=Open Full Text</x:v>
      </x:c>
      <x:c r="P201" s="28" t="str">
        <x:v>abstract only</x:v>
      </x:c>
      <x:c r="Q201" s="28" t="str">
        <x:v>PubMed/MEDLINE export supplied by user | query: not verified from export; see Protocol sheet for reproducible recommended query</x:v>
      </x:c>
      <x:c r="R201" s="28" t="str">
        <x:v>Batch 1 core</x:v>
      </x:c>
      <x:c r="S201" s="28" t="str">
        <x:v>Direct ADHD primary study on diagnosis, family/education, structural conditions, lived experience/outcomes, or environment/lifestyle.</x:v>
      </x:c>
      <x:c r="T201" s="28" t="str">
        <x:v>not apparent from accessed abstract/metadata</x:v>
      </x:c>
      <x:c r="U201" s="28" t="str">
        <x:v>none identified in MEDLINE record</x:v>
      </x:c>
      <x:c r="V201" s="26" t="str">
        <x:v>PMC13063145</x:v>
      </x:c>
      <x:c r="W201" s="28" t="str">
        <x:v>PDF available via PMC (verified free full text)</x:v>
      </x:c>
      <x:c r="X201" s="28" t="str">
        <x:v>Yes — PMC</x:v>
      </x:c>
      <x:c r="Y201" s="31" t="e">
        <x:f>IF(V201="not reported","not reported",HYPERLINK("https://pmc.ncbi.nlm.nih.gov/articles/"&amp;V201&amp;"/","Open Full Text"))</x:f>
        <x:v>HYPERLINK is not implemented. linkLocation=https://pmc.ncbi.nlm.nih.gov/articles/PMC13063145/, friendlyName=Open Full Text</x:v>
      </x:c>
      <x:c r="Z201" s="31" t="e">
        <x:f>IF(L201="not reported","not reported",HYPERLINK("https://doi.org/"&amp;L201,"Open Publisher"))</x:f>
        <x:v>HYPERLINK is not implemented. linkLocation=https://doi.org/10.1001/jamapsychiatry.2026.0181, friendlyName=Open Publisher</x:v>
      </x:c>
      <x:c r="AA201" s="28" t="str">
        <x:v>PMCID PMC13063145 present in the PubMed/MEDLINE record.</x:v>
      </x:c>
      <x:c r="AB201" s="28" t="str">
        <x:v>Open the PMC full-text page and use its PDF button/download option.</x:v>
      </x:c>
      <x:c r="AC201" s="26" t="str">
        <x:v>2026-09-20</x:v>
      </x:c>
    </x:row>
    <x:row r="202">
      <x:c r="A202" s="26" t="str">
        <x:v>PUBMED-41936228</x:v>
      </x:c>
      <x:c r="B202" s="28" t="str">
        <x:v>Cognitive behavioral therapy effects on global functioning, domain-specific functioning, and quality of life in adult ADHD: A comprehensive meta-analysis.</x:v>
      </x:c>
      <x:c r="C202" s="28" t="str">
        <x:v>López-Pinar, Carlos; Selaskowski, Benjamin; Schulze, Marcel; Oscarsson, Martin; Fenollar-Cortés, Javier; Sibley, Margaret H; Philipsen, Alexandra; Hirvikoski, Tatja</x:v>
      </x:c>
      <x:c r="D202" s="28" t="n">
        <x:v>2026</x:v>
      </x:c>
      <x:c r="E202" s="28" t="str">
        <x:v>Behaviour research and therapy</x:v>
      </x:c>
      <x:c r="F202" s="28" t="str">
        <x:v>Evidence synthesis - meta-analysis</x:v>
      </x:c>
      <x:c r="G202" s="28" t="str">
        <x:v>Development &amp; presentation; Family &amp; education; Social &amp; structural; Treatment &amp; support; Life outcomes &amp; lived experience</x:v>
      </x:c>
      <x:c r="H202" s="28" t="str">
        <x:v>Adulthood</x:v>
      </x:c>
      <x:c r="I202" s="28" t="str">
        <x:v>not reported/not verified</x:v>
      </x:c>
      <x:c r="J202" s="28" t="str">
        <x:v>not reported</x:v>
      </x:c>
      <x:c r="K202" s="28" t="str">
        <x:v>BACKGROUND: Cognitive behavioral therapy (CBT) for adult ADHD provides adaptive coping strategies targeting executive dysfunction and emotion regulation, processes underlying functional impairment.</x:v>
      </x:c>
      <x:c r="L202" s="28" t="str">
        <x:v>10.1016/j.brat.2026.105026</x:v>
      </x:c>
      <x:c r="M202" s="28" t="str">
        <x:v>41936228</x:v>
      </x:c>
      <x:c r="N202" s="31" t="e">
        <x:f>HYPERLINK("https://pubmed.ncbi.nlm.nih.gov/"&amp;M202&amp;"/","Open PubMed")</x:f>
        <x:v>HYPERLINK is not implemented. linkLocation=https://pubmed.ncbi.nlm.nih.gov/41936228/, friendlyName=Open PubMed</x:v>
      </x:c>
      <x:c r="O202" s="31" t="str">
        <x:v>not reported</x:v>
      </x:c>
      <x:c r="P202" s="28" t="str">
        <x:v>abstract only</x:v>
      </x:c>
      <x:c r="Q202" s="28" t="str">
        <x:v>PubMed/MEDLINE export supplied by user | query: not verified from export; see Protocol sheet for reproducible recommended query</x:v>
      </x:c>
      <x:c r="R202" s="28" t="str">
        <x:v>Batch 1 core</x:v>
      </x:c>
      <x:c r="S202" s="28" t="str">
        <x:v>Direct ADHD evidence synthesis/guideline with broad multi-topic relevance.</x:v>
      </x:c>
      <x:c r="T202" s="28" t="str">
        <x:v>not apparent from accessed abstract/metadata</x:v>
      </x:c>
      <x:c r="U202" s="28" t="str">
        <x:v>none identified in MEDLINE record</x:v>
      </x:c>
      <x:c r="V202" s="26" t="str">
        <x:v>not reported</x:v>
      </x:c>
      <x:c r="W202" s="28" t="str">
        <x:v>No PMC copy identified; publisher PDF/access must be checked</x:v>
      </x:c>
      <x:c r="X202" s="28" t="str">
        <x:v>Not verified</x:v>
      </x:c>
      <x:c r="Y202" s="31" t="str">
        <x:f>IF(V202="not reported","not reported",HYPERLINK("https://pmc.ncbi.nlm.nih.gov/articles/"&amp;V202&amp;"/","Open Full Text"))</x:f>
        <x:v>not reported</x:v>
      </x:c>
      <x:c r="Z202" s="31" t="e">
        <x:f>IF(L202="not reported","not reported",HYPERLINK("https://doi.org/"&amp;L202,"Open Publisher"))</x:f>
        <x:v>HYPERLINK is not implemented. linkLocation=https://doi.org/10.1016/j.brat.2026.105026, friendlyName=Open Publisher</x:v>
      </x:c>
      <x:c r="AA202" s="28" t="str">
        <x:v>DOI present in PubMed/MEDLINE; no PMCID present.</x:v>
      </x:c>
      <x:c r="AB202" s="28" t="str">
        <x:v>Open the DOI/publisher page. If PDF is paywalled, try Stony Brook Library access, Article Galaxy, or interlibrary loan.</x:v>
      </x:c>
      <x:c r="AC202" s="26" t="str">
        <x:v>2026-09-20</x:v>
      </x:c>
    </x:row>
    <x:row r="203">
      <x:c r="A203" s="26" t="str">
        <x:v>PUBMED-41932226</x:v>
      </x:c>
      <x:c r="B203" s="28" t="str">
        <x:v>Optimizing exercise prescription parameters for ADHD in children: A systematic review and meta-analysis.</x:v>
      </x:c>
      <x:c r="C203" s="28" t="str">
        <x:v>Chen, Baoxia; Shi, Zhenguo; Liu, Jianmin</x:v>
      </x:c>
      <x:c r="D203" s="28" t="n">
        <x:v>2026</x:v>
      </x:c>
      <x:c r="E203" s="28" t="str">
        <x:v>Public health</x:v>
      </x:c>
      <x:c r="F203" s="28" t="str">
        <x:v>Evidence synthesis - meta-analysis</x:v>
      </x:c>
      <x:c r="G203" s="28" t="str">
        <x:v>Development &amp; presentation; Social &amp; structural; Environmental &amp; lifestyle; Treatment &amp; support</x:v>
      </x:c>
      <x:c r="H203" s="28" t="str">
        <x:v>Childhood</x:v>
      </x:c>
      <x:c r="I203" s="28" t="str">
        <x:v>not reported/not verified</x:v>
      </x:c>
      <x:c r="J203" s="28" t="str">
        <x:v>not reported</x:v>
      </x:c>
      <x:c r="K203" s="28" t="str">
        <x:v>OBJECTIVES: This study aimed to systematically evaluate the effects of physical exercise on children with Attention Deficit Hyperactivity Disorder (ADHD) and provide evidence for optimal exercise prescription.</x:v>
      </x:c>
      <x:c r="L203" s="28" t="str">
        <x:v>10.1016/j.puhe.2026.106272</x:v>
      </x:c>
      <x:c r="M203" s="28" t="str">
        <x:v>41932226</x:v>
      </x:c>
      <x:c r="N203" s="31" t="e">
        <x:f>HYPERLINK("https://pubmed.ncbi.nlm.nih.gov/"&amp;M203&amp;"/","Open PubMed")</x:f>
        <x:v>HYPERLINK is not implemented. linkLocation=https://pubmed.ncbi.nlm.nih.gov/41932226/, friendlyName=Open PubMed</x:v>
      </x:c>
      <x:c r="O203" s="31" t="str">
        <x:v>not reported</x:v>
      </x:c>
      <x:c r="P203" s="28" t="str">
        <x:v>abstract only</x:v>
      </x:c>
      <x:c r="Q203" s="28" t="str">
        <x:v>PubMed/MEDLINE export supplied by user | query: not verified from export; see Protocol sheet for reproducible recommended query</x:v>
      </x:c>
      <x:c r="R203" s="28" t="str">
        <x:v>Batch 1 core</x:v>
      </x:c>
      <x:c r="S203" s="28" t="str">
        <x:v>Direct ADHD evidence synthesis/guideline with broad multi-topic relevance.</x:v>
      </x:c>
      <x:c r="T203" s="28" t="str">
        <x:v>not apparent from accessed abstract/metadata</x:v>
      </x:c>
      <x:c r="U203" s="28" t="str">
        <x:v>none identified in MEDLINE record</x:v>
      </x:c>
      <x:c r="V203" s="26" t="str">
        <x:v>not reported</x:v>
      </x:c>
      <x:c r="W203" s="28" t="str">
        <x:v>No PMC copy identified; publisher PDF/access must be checked</x:v>
      </x:c>
      <x:c r="X203" s="28" t="str">
        <x:v>Not verified</x:v>
      </x:c>
      <x:c r="Y203" s="31" t="str">
        <x:f>IF(V203="not reported","not reported",HYPERLINK("https://pmc.ncbi.nlm.nih.gov/articles/"&amp;V203&amp;"/","Open Full Text"))</x:f>
        <x:v>not reported</x:v>
      </x:c>
      <x:c r="Z203" s="31" t="e">
        <x:f>IF(L203="not reported","not reported",HYPERLINK("https://doi.org/"&amp;L203,"Open Publisher"))</x:f>
        <x:v>HYPERLINK is not implemented. linkLocation=https://doi.org/10.1016/j.puhe.2026.106272, friendlyName=Open Publisher</x:v>
      </x:c>
      <x:c r="AA203" s="28" t="str">
        <x:v>DOI present in PubMed/MEDLINE; no PMCID present.</x:v>
      </x:c>
      <x:c r="AB203" s="28" t="str">
        <x:v>Open the DOI/publisher page. If PDF is paywalled, try Stony Brook Library access, Article Galaxy, or interlibrary loan.</x:v>
      </x:c>
      <x:c r="AC203" s="26" t="str">
        <x:v>2026-09-20</x:v>
      </x:c>
    </x:row>
    <x:row r="204">
      <x:c r="A204" s="26" t="str">
        <x:v>PUBMED-41932092</x:v>
      </x:c>
      <x:c r="B204" s="28" t="str">
        <x:v>Effects of exercise on social dysfunction in children and adolescents with ADHD: A systematic review and network, dose-response meta-analyses.</x:v>
      </x:c>
      <x:c r="C204" s="28" t="str">
        <x:v>Gao, Xiang; Zhang, Meng; He, Changshuang; Fan, Zongyu; Pan, Keyu; Huang, Huan; Jin, Shanru; Wei, Yiting; Xu, Wanqun; Quan, Minghui</x:v>
      </x:c>
      <x:c r="D204" s="28" t="n">
        <x:v>2026</x:v>
      </x:c>
      <x:c r="E204" s="28" t="str">
        <x:v>Research in developmental disabilities</x:v>
      </x:c>
      <x:c r="F204" s="28" t="str">
        <x:v>Evidence synthesis - meta-analysis</x:v>
      </x:c>
      <x:c r="G204" s="28" t="str">
        <x:v>Development &amp; presentation; Social &amp; structural; Environmental &amp; lifestyle; Treatment &amp; support; Life outcomes &amp; lived experience</x:v>
      </x:c>
      <x:c r="H204" s="28" t="str">
        <x:v>Childhood; Adolescence; aged 6-13 years</x:v>
      </x:c>
      <x:c r="I204" s="28" t="str">
        <x:v>not reported/not verified</x:v>
      </x:c>
      <x:c r="J204" s="28" t="str">
        <x:v>not reported</x:v>
      </x:c>
      <x:c r="K204" s="28" t="str">
        <x:v>This study compares exercise modalities to identify the optimal dose for enhancing social functioning.</x:v>
      </x:c>
      <x:c r="L204" s="28" t="str">
        <x:v>10.1016/j.ridd.2026.105276</x:v>
      </x:c>
      <x:c r="M204" s="28" t="str">
        <x:v>41932092</x:v>
      </x:c>
      <x:c r="N204" s="31" t="e">
        <x:f>HYPERLINK("https://pubmed.ncbi.nlm.nih.gov/"&amp;M204&amp;"/","Open PubMed")</x:f>
        <x:v>HYPERLINK is not implemented. linkLocation=https://pubmed.ncbi.nlm.nih.gov/41932092/, friendlyName=Open PubMed</x:v>
      </x:c>
      <x:c r="O204" s="31" t="str">
        <x:v>not reported</x:v>
      </x:c>
      <x:c r="P204" s="28" t="str">
        <x:v>abstract only</x:v>
      </x:c>
      <x:c r="Q204" s="28" t="str">
        <x:v>PubMed/MEDLINE export supplied by user | query: not verified from export; see Protocol sheet for reproducible recommended query</x:v>
      </x:c>
      <x:c r="R204" s="28" t="str">
        <x:v>Batch 1 core</x:v>
      </x:c>
      <x:c r="S204" s="28" t="str">
        <x:v>Direct ADHD evidence synthesis/guideline with broad multi-topic relevance.</x:v>
      </x:c>
      <x:c r="T204" s="28" t="str">
        <x:v>not apparent from accessed abstract/metadata</x:v>
      </x:c>
      <x:c r="U204" s="28" t="str">
        <x:v>none identified in MEDLINE record</x:v>
      </x:c>
      <x:c r="V204" s="26" t="str">
        <x:v>not reported</x:v>
      </x:c>
      <x:c r="W204" s="28" t="str">
        <x:v>No PMC copy identified; publisher PDF/access must be checked</x:v>
      </x:c>
      <x:c r="X204" s="28" t="str">
        <x:v>Not verified</x:v>
      </x:c>
      <x:c r="Y204" s="31" t="str">
        <x:f>IF(V204="not reported","not reported",HYPERLINK("https://pmc.ncbi.nlm.nih.gov/articles/"&amp;V204&amp;"/","Open Full Text"))</x:f>
        <x:v>not reported</x:v>
      </x:c>
      <x:c r="Z204" s="31" t="e">
        <x:f>IF(L204="not reported","not reported",HYPERLINK("https://doi.org/"&amp;L204,"Open Publisher"))</x:f>
        <x:v>HYPERLINK is not implemented. linkLocation=https://doi.org/10.1016/j.ridd.2026.105276, friendlyName=Open Publisher</x:v>
      </x:c>
      <x:c r="AA204" s="28" t="str">
        <x:v>DOI present in PubMed/MEDLINE; no PMCID present.</x:v>
      </x:c>
      <x:c r="AB204" s="28" t="str">
        <x:v>Open the DOI/publisher page. If PDF is paywalled, try Stony Brook Library access, Article Galaxy, or interlibrary loan.</x:v>
      </x:c>
      <x:c r="AC204" s="26" t="str">
        <x:v>2026-09-20</x:v>
      </x:c>
    </x:row>
    <x:row r="205">
      <x:c r="A205" s="26" t="str">
        <x:v>PUBMED-41916941</x:v>
      </x:c>
      <x:c r="B205" s="28" t="str">
        <x:v>Efficacy and safety of risperidone for attention deficit hyperactivity disorder and disruptive behaviour disorders: a systematic review and meta-analysis.</x:v>
      </x:c>
      <x:c r="C205" s="28" t="str">
        <x:v>Penubarthi, S; Rajamanickam, K; Thappa, H A; Ayyalasomayajula, R; Chakravarthy, P S; Vats, S; Suklabaidya, A; Sarkar, S</x:v>
      </x:c>
      <x:c r="D205" s="28" t="n">
        <x:v>2026</x:v>
      </x:c>
      <x:c r="E205" s="28" t="str">
        <x:v>East Asian archives of psychiatry : official journal of the Hong Kong College of Psychiatrists = Dong Ya jing shen ke xue zhi : Xianggang jing shen ke yi xue yuan qi kan</x:v>
      </x:c>
      <x:c r="F205" s="28" t="str">
        <x:v>Evidence synthesis - meta-analysis</x:v>
      </x:c>
      <x:c r="G205" s="28" t="str">
        <x:v>Development &amp; presentation; Recognition &amp; diagnosis; Social &amp; structural; Treatment &amp; support; Life outcomes &amp; lived experience</x:v>
      </x:c>
      <x:c r="H205" s="28" t="str">
        <x:v>Childhood; Adolescence; aged 6 to 12 years</x:v>
      </x:c>
      <x:c r="I205" s="28" t="str">
        <x:v>not reported/not verified</x:v>
      </x:c>
      <x:c r="J205" s="28" t="str">
        <x:v>not reported</x:v>
      </x:c>
      <x:c r="K205" s="28" t="str">
        <x:v>OBJECTIVES: To quantitatively synthesise evidence from randomised controlled trials (RCTs) on the efficacy and safety of risperidone augmentation in children and adolescents with attention deficit hyperactivity disorder (ADHD) and comorbid disruptive behaviour disorders (DBDs).</x:v>
      </x:c>
      <x:c r="L205" s="28" t="str">
        <x:v>10.12809/eaap25137</x:v>
      </x:c>
      <x:c r="M205" s="28" t="str">
        <x:v>41916941</x:v>
      </x:c>
      <x:c r="N205" s="31" t="e">
        <x:f>HYPERLINK("https://pubmed.ncbi.nlm.nih.gov/"&amp;M205&amp;"/","Open PubMed")</x:f>
        <x:v>HYPERLINK is not implemented. linkLocation=https://pubmed.ncbi.nlm.nih.gov/41916941/, friendlyName=Open PubMed</x:v>
      </x:c>
      <x:c r="O205" s="31" t="str">
        <x:v>not reported</x:v>
      </x:c>
      <x:c r="P205" s="28" t="str">
        <x:v>abstract only</x:v>
      </x:c>
      <x:c r="Q205" s="28" t="str">
        <x:v>PubMed/MEDLINE export supplied by user | query: not verified from export; see Protocol sheet for reproducible recommended query</x:v>
      </x:c>
      <x:c r="R205" s="28" t="str">
        <x:v>Batch 1 core</x:v>
      </x:c>
      <x:c r="S205" s="28" t="str">
        <x:v>Direct ADHD evidence synthesis/guideline with broad multi-topic relevance.</x:v>
      </x:c>
      <x:c r="T205" s="28" t="str">
        <x:v>not apparent from accessed abstract/metadata</x:v>
      </x:c>
      <x:c r="U205" s="28" t="str">
        <x:v>none identified in MEDLINE record</x:v>
      </x:c>
      <x:c r="V205" s="26" t="str">
        <x:v>not reported</x:v>
      </x:c>
      <x:c r="W205" s="28" t="str">
        <x:v>No PMC copy identified; publisher PDF/access must be checked</x:v>
      </x:c>
      <x:c r="X205" s="28" t="str">
        <x:v>Not verified</x:v>
      </x:c>
      <x:c r="Y205" s="31" t="str">
        <x:f>IF(V205="not reported","not reported",HYPERLINK("https://pmc.ncbi.nlm.nih.gov/articles/"&amp;V205&amp;"/","Open Full Text"))</x:f>
        <x:v>not reported</x:v>
      </x:c>
      <x:c r="Z205" s="31" t="e">
        <x:f>IF(L205="not reported","not reported",HYPERLINK("https://doi.org/"&amp;L205,"Open Publisher"))</x:f>
        <x:v>HYPERLINK is not implemented. linkLocation=https://doi.org/10.12809/eaap25137, friendlyName=Open Publisher</x:v>
      </x:c>
      <x:c r="AA205" s="28" t="str">
        <x:v>DOI present in PubMed/MEDLINE; no PMCID present.</x:v>
      </x:c>
      <x:c r="AB205" s="28" t="str">
        <x:v>Open the DOI/publisher page. If PDF is paywalled, try Stony Brook Library access, Article Galaxy, or interlibrary loan.</x:v>
      </x:c>
      <x:c r="AC205" s="26" t="str">
        <x:v>2026-09-20</x:v>
      </x:c>
    </x:row>
    <x:row r="206">
      <x:c r="A206" s="26" t="str">
        <x:v>PUBMED-41873451</x:v>
      </x:c>
      <x:c r="B206" s="28" t="str">
        <x:v>The Effect of Methylphenidate Treatment on Oxidative Stress Levels in Children Diagnosed with Attention-Deficit/Hyperactivity Disorder: An Observational Study.</x:v>
      </x:c>
      <x:c r="C206" s="28" t="str">
        <x:v>Altunkılıc, Enes Faruk; Alnak, Alper; Karacetın, Gul; Eroglu Iclı, Hacer; Kayan Ocakoglu, Binay; Gurel Fıcıcıoglu, Ipek Ege</x:v>
      </x:c>
      <x:c r="D206" s="28" t="n">
        <x:v>2026</x:v>
      </x:c>
      <x:c r="E206" s="28" t="str">
        <x:v>Journal of child and adolescent psychopharmacology</x:v>
      </x:c>
      <x:c r="F206" s="28" t="str">
        <x:v>Primary study - cohort</x:v>
      </x:c>
      <x:c r="G206" s="28" t="str">
        <x:v>Development &amp; presentation; Recognition &amp; diagnosis; Family &amp; education; Social &amp; structural; Environmental &amp; lifestyle; Treatment &amp; support; Life outcomes &amp; lived experience</x:v>
      </x:c>
      <x:c r="H206" s="28" t="str">
        <x:v>Childhood; aged 6-11 years</x:v>
      </x:c>
      <x:c r="I206" s="28" t="str">
        <x:v>not reported/not verified</x:v>
      </x:c>
      <x:c r="J206" s="28" t="str">
        <x:v>not reported</x:v>
      </x:c>
      <x:c r="K206" s="28" t="str">
        <x:v>This study evaluated short-term differences in circulating oxidant/antioxidant markers after methylphenidate (MPH) treatment and explored whether baseline biomarkers predict clinically significant symptom improvement.</x:v>
      </x:c>
      <x:c r="L206" s="28" t="str">
        <x:v>10.1177/10445463261436792</x:v>
      </x:c>
      <x:c r="M206" s="28" t="str">
        <x:v>41873451</x:v>
      </x:c>
      <x:c r="N206" s="31" t="e">
        <x:f>HYPERLINK("https://pubmed.ncbi.nlm.nih.gov/"&amp;M206&amp;"/","Open PubMed")</x:f>
        <x:v>HYPERLINK is not implemented. linkLocation=https://pubmed.ncbi.nlm.nih.gov/41873451/, friendlyName=Open PubMed</x:v>
      </x:c>
      <x:c r="O206" s="31" t="str">
        <x:v>not reported</x:v>
      </x:c>
      <x:c r="P206" s="28" t="str">
        <x:v>abstract only</x:v>
      </x:c>
      <x:c r="Q206" s="28" t="str">
        <x:v>PubMed/MEDLINE export supplied by user | query: not verified from export; see Protocol sheet for reproducible recommended query</x:v>
      </x:c>
      <x:c r="R206" s="28" t="str">
        <x:v>Batch 1 core</x:v>
      </x:c>
      <x:c r="S206" s="28" t="str">
        <x:v>Direct ADHD primary study on diagnosis, family/education, structural conditions, lived experience/outcomes, or environment/lifestyle.</x:v>
      </x:c>
      <x:c r="T206" s="28" t="str">
        <x:v>not apparent from accessed abstract/metadata</x:v>
      </x:c>
      <x:c r="U206" s="28" t="str">
        <x:v>none identified in MEDLINE record</x:v>
      </x:c>
      <x:c r="V206" s="26" t="str">
        <x:v>not reported</x:v>
      </x:c>
      <x:c r="W206" s="28" t="str">
        <x:v>No PMC copy identified; publisher PDF/access must be checked</x:v>
      </x:c>
      <x:c r="X206" s="28" t="str">
        <x:v>Not verified</x:v>
      </x:c>
      <x:c r="Y206" s="31" t="str">
        <x:f>IF(V206="not reported","not reported",HYPERLINK("https://pmc.ncbi.nlm.nih.gov/articles/"&amp;V206&amp;"/","Open Full Text"))</x:f>
        <x:v>not reported</x:v>
      </x:c>
      <x:c r="Z206" s="31" t="e">
        <x:f>IF(L206="not reported","not reported",HYPERLINK("https://doi.org/"&amp;L206,"Open Publisher"))</x:f>
        <x:v>HYPERLINK is not implemented. linkLocation=https://doi.org/10.1177/10445463261436792, friendlyName=Open Publisher</x:v>
      </x:c>
      <x:c r="AA206" s="28" t="str">
        <x:v>DOI present in PubMed/MEDLINE; no PMCID present.</x:v>
      </x:c>
      <x:c r="AB206" s="28" t="str">
        <x:v>Open the DOI/publisher page. If PDF is paywalled, try Stony Brook Library access, Article Galaxy, or interlibrary loan.</x:v>
      </x:c>
      <x:c r="AC206" s="26" t="str">
        <x:v>2026-09-20</x:v>
      </x:c>
    </x:row>
    <x:row r="207">
      <x:c r="A207" s="26" t="str">
        <x:v>PUBMED-41833504</x:v>
      </x:c>
      <x:c r="B207" s="28" t="str">
        <x:v>Experience of the diagnostic journey for ADHD in adulthood: A quantitative and qualitative study.</x:v>
      </x:c>
      <x:c r="C207" s="28" t="str">
        <x:v>Verwaerde, Ophélie; Galera, Cédric; Bouvard, Manuel; Briot, Kellen</x:v>
      </x:c>
      <x:c r="D207" s="28" t="n">
        <x:v>2026</x:v>
      </x:c>
      <x:c r="E207" s="28" t="str">
        <x:v>L'Encephale</x:v>
      </x:c>
      <x:c r="F207" s="28" t="str">
        <x:v>Primary study - qualitative</x:v>
      </x:c>
      <x:c r="G207" s="28" t="str">
        <x:v>Development &amp; presentation; Recognition &amp; diagnosis; Social &amp; structural; Treatment &amp; support; Life outcomes &amp; lived experience; Historical &amp; contemporary context</x:v>
      </x:c>
      <x:c r="H207" s="28" t="str">
        <x:v>Childhood; Adolescence; Adulthood</x:v>
      </x:c>
      <x:c r="I207" s="28" t="str">
        <x:v>Geography (MeSH): France</x:v>
      </x:c>
      <x:c r="J207" s="28" t="str">
        <x:v>not reported</x:v>
      </x:c>
      <x:c r="K207" s="28" t="str">
        <x:v>These factors were all evaluated in this study.</x:v>
      </x:c>
      <x:c r="L207" s="28" t="str">
        <x:v>10.1016/j.encep.2025.12.004</x:v>
      </x:c>
      <x:c r="M207" s="28" t="str">
        <x:v>41833504</x:v>
      </x:c>
      <x:c r="N207" s="31" t="e">
        <x:f>HYPERLINK("https://pubmed.ncbi.nlm.nih.gov/"&amp;M207&amp;"/","Open PubMed")</x:f>
        <x:v>HYPERLINK is not implemented. linkLocation=https://pubmed.ncbi.nlm.nih.gov/41833504/, friendlyName=Open PubMed</x:v>
      </x:c>
      <x:c r="O207" s="31" t="str">
        <x:v>not reported</x:v>
      </x:c>
      <x:c r="P207" s="28" t="str">
        <x:v>abstract only</x:v>
      </x:c>
      <x:c r="Q207" s="28" t="str">
        <x:v>PubMed/MEDLINE export supplied by user | query: not verified from export; see Protocol sheet for reproducible recommended query</x:v>
      </x:c>
      <x:c r="R207" s="28" t="str">
        <x:v>Batch 1 core</x:v>
      </x:c>
      <x:c r="S207" s="28" t="str">
        <x:v>Direct ADHD primary study on diagnosis, family/education, structural conditions, lived experience/outcomes, or environment/lifestyle.</x:v>
      </x:c>
      <x:c r="T207" s="28" t="str">
        <x:v>not apparent from accessed abstract/metadata</x:v>
      </x:c>
      <x:c r="U207" s="28" t="str">
        <x:v>none identified in MEDLINE record</x:v>
      </x:c>
      <x:c r="V207" s="26" t="str">
        <x:v>not reported</x:v>
      </x:c>
      <x:c r="W207" s="28" t="str">
        <x:v>No PMC copy identified; publisher PDF/access must be checked</x:v>
      </x:c>
      <x:c r="X207" s="28" t="str">
        <x:v>Not verified</x:v>
      </x:c>
      <x:c r="Y207" s="31" t="str">
        <x:f>IF(V207="not reported","not reported",HYPERLINK("https://pmc.ncbi.nlm.nih.gov/articles/"&amp;V207&amp;"/","Open Full Text"))</x:f>
        <x:v>not reported</x:v>
      </x:c>
      <x:c r="Z207" s="31" t="e">
        <x:f>IF(L207="not reported","not reported",HYPERLINK("https://doi.org/"&amp;L207,"Open Publisher"))</x:f>
        <x:v>HYPERLINK is not implemented. linkLocation=https://doi.org/10.1016/j.encep.2025.12.004, friendlyName=Open Publisher</x:v>
      </x:c>
      <x:c r="AA207" s="28" t="str">
        <x:v>DOI present in PubMed/MEDLINE; no PMCID present.</x:v>
      </x:c>
      <x:c r="AB207" s="28" t="str">
        <x:v>Open the DOI/publisher page. If PDF is paywalled, try Stony Brook Library access, Article Galaxy, or interlibrary loan.</x:v>
      </x:c>
      <x:c r="AC207" s="26" t="str">
        <x:v>2026-09-20</x:v>
      </x:c>
    </x:row>
    <x:row r="208">
      <x:c r="A208" s="26" t="str">
        <x:v>PUBMED-41627718</x:v>
      </x:c>
      <x:c r="B208" s="28" t="str">
        <x:v>Tolerance and Tachyphylaxis to Medications for Attention-Deficit/Hyperactivity Disorder (ADHD): A Systematic Review of Empirical Studies.</x:v>
      </x:c>
      <x:c r="C208" s="28" t="str">
        <x:v>Smith, Christopher; Walker, Hollie; Parlatini, Valeria; Cortese, Samuele</x:v>
      </x:c>
      <x:c r="D208" s="28" t="n">
        <x:v>2026</x:v>
      </x:c>
      <x:c r="E208" s="28" t="str">
        <x:v>CNS drugs</x:v>
      </x:c>
      <x:c r="F208" s="28" t="str">
        <x:v>Evidence synthesis - systematic review</x:v>
      </x:c>
      <x:c r="G208" s="28" t="str">
        <x:v>Development &amp; presentation; Recognition &amp; diagnosis; Social &amp; structural; Treatment &amp; support</x:v>
      </x:c>
      <x:c r="H208" s="28" t="str">
        <x:v>Not specified</x:v>
      </x:c>
      <x:c r="I208" s="28" t="str">
        <x:v>not reported/not verified</x:v>
      </x:c>
      <x:c r="J208" s="28" t="str">
        <x:v>not reported</x:v>
      </x:c>
      <x:c r="K208" s="28" t="str">
        <x:v>BACKGROUND AND OBJECTIVE: Individuals with attention-deficit/hyperactivity disorder, their families and clinicians may report worsening symptoms despite compliant use of medication, suggesting potential tolerance, but evidence remains conflicting.</x:v>
      </x:c>
      <x:c r="L208" s="28" t="str">
        <x:v>10.1007/s40263-025-01263-8</x:v>
      </x:c>
      <x:c r="M208" s="28" t="str">
        <x:v>41627718</x:v>
      </x:c>
      <x:c r="N208" s="31" t="e">
        <x:f>HYPERLINK("https://pubmed.ncbi.nlm.nih.gov/"&amp;M208&amp;"/","Open PubMed")</x:f>
        <x:v>HYPERLINK is not implemented. linkLocation=https://pubmed.ncbi.nlm.nih.gov/41627718/, friendlyName=Open PubMed</x:v>
      </x:c>
      <x:c r="O208" s="31" t="str">
        <x:v>not reported</x:v>
      </x:c>
      <x:c r="P208" s="28" t="str">
        <x:v>abstract only</x:v>
      </x:c>
      <x:c r="Q208" s="28" t="str">
        <x:v>PubMed/MEDLINE export supplied by user | query: not verified from export; see Protocol sheet for reproducible recommended query</x:v>
      </x:c>
      <x:c r="R208" s="28" t="str">
        <x:v>Batch 1 core</x:v>
      </x:c>
      <x:c r="S208" s="28" t="str">
        <x:v>Direct ADHD evidence synthesis/guideline with broad multi-topic relevance.</x:v>
      </x:c>
      <x:c r="T208" s="28" t="str">
        <x:v>not apparent from accessed abstract/metadata</x:v>
      </x:c>
      <x:c r="U208" s="28" t="str">
        <x:v>none identified in MEDLINE record</x:v>
      </x:c>
      <x:c r="V208" s="26" t="str">
        <x:v>not reported</x:v>
      </x:c>
      <x:c r="W208" s="28" t="str">
        <x:v>No PMC copy identified; publisher PDF/access must be checked</x:v>
      </x:c>
      <x:c r="X208" s="28" t="str">
        <x:v>Not verified</x:v>
      </x:c>
      <x:c r="Y208" s="31" t="str">
        <x:f>IF(V208="not reported","not reported",HYPERLINK("https://pmc.ncbi.nlm.nih.gov/articles/"&amp;V208&amp;"/","Open Full Text"))</x:f>
        <x:v>not reported</x:v>
      </x:c>
      <x:c r="Z208" s="31" t="e">
        <x:f>IF(L208="not reported","not reported",HYPERLINK("https://doi.org/"&amp;L208,"Open Publisher"))</x:f>
        <x:v>HYPERLINK is not implemented. linkLocation=https://doi.org/10.1007/s40263-025-01263-8, friendlyName=Open Publisher</x:v>
      </x:c>
      <x:c r="AA208" s="28" t="str">
        <x:v>DOI present in PubMed/MEDLINE; no PMCID present.</x:v>
      </x:c>
      <x:c r="AB208" s="28" t="str">
        <x:v>Open the DOI/publisher page. If PDF is paywalled, try Stony Brook Library access, Article Galaxy, or interlibrary loan.</x:v>
      </x:c>
      <x:c r="AC208" s="26" t="str">
        <x:v>2026-09-20</x:v>
      </x:c>
    </x:row>
    <x:row r="209">
      <x:c r="A209" s="26" t="str">
        <x:v>PUBMED-41579913</x:v>
      </x:c>
      <x:c r="B209" s="28" t="str">
        <x:v>A systematic review on the association between executive function and emotional regulation in autism, ADHD, and autism/ADHD.</x:v>
      </x:c>
      <x:c r="C209" s="28" t="str">
        <x:v>Pozo-Rodríguez, Marta; Cruz, Sara; Conde-Pumpido-Zubizarreta, Sabela; Carracedo, Angel; Tubío-Fungueiriño, María; Fernández-Prieto, Montse</x:v>
      </x:c>
      <x:c r="D209" s="28" t="n">
        <x:v>2026</x:v>
      </x:c>
      <x:c r="E209" s="28" t="str">
        <x:v>Neuroscience and biobehavioral reviews</x:v>
      </x:c>
      <x:c r="F209" s="28" t="str">
        <x:v>Evidence synthesis - systematic review</x:v>
      </x:c>
      <x:c r="G209" s="28" t="str">
        <x:v>Development &amp; presentation; Recognition &amp; diagnosis; Social &amp; structural; Life outcomes &amp; lived experience</x:v>
      </x:c>
      <x:c r="H209" s="28" t="str">
        <x:v>Childhood; Adulthood</x:v>
      </x:c>
      <x:c r="I209" s="28" t="str">
        <x:v>not reported/not verified</x:v>
      </x:c>
      <x:c r="J209" s="28" t="str">
        <x:v>not reported</x:v>
      </x:c>
      <x:c r="K209" s="28" t="str">
        <x:v>In this study, we present a systematic review examining the associations between EF and ER in autism, ADHD, and autism/ADHD.</x:v>
      </x:c>
      <x:c r="L209" s="28" t="str">
        <x:v>10.1016/j.neubiorev.2026.106570</x:v>
      </x:c>
      <x:c r="M209" s="28" t="str">
        <x:v>41579913</x:v>
      </x:c>
      <x:c r="N209" s="31" t="e">
        <x:f>HYPERLINK("https://pubmed.ncbi.nlm.nih.gov/"&amp;M209&amp;"/","Open PubMed")</x:f>
        <x:v>HYPERLINK is not implemented. linkLocation=https://pubmed.ncbi.nlm.nih.gov/41579913/, friendlyName=Open PubMed</x:v>
      </x:c>
      <x:c r="O209" s="31" t="str">
        <x:v>not reported</x:v>
      </x:c>
      <x:c r="P209" s="28" t="str">
        <x:v>abstract only</x:v>
      </x:c>
      <x:c r="Q209" s="28" t="str">
        <x:v>PubMed/MEDLINE export supplied by user | query: not verified from export; see Protocol sheet for reproducible recommended query</x:v>
      </x:c>
      <x:c r="R209" s="28" t="str">
        <x:v>Batch 1 core</x:v>
      </x:c>
      <x:c r="S209" s="28" t="str">
        <x:v>Direct ADHD evidence synthesis/guideline with broad multi-topic relevance.</x:v>
      </x:c>
      <x:c r="T209" s="28" t="str">
        <x:v>not apparent from accessed abstract/metadata</x:v>
      </x:c>
      <x:c r="U209" s="28" t="str">
        <x:v>none identified in MEDLINE record</x:v>
      </x:c>
      <x:c r="V209" s="26" t="str">
        <x:v>not reported</x:v>
      </x:c>
      <x:c r="W209" s="28" t="str">
        <x:v>No PMC copy identified; publisher PDF/access must be checked</x:v>
      </x:c>
      <x:c r="X209" s="28" t="str">
        <x:v>Not verified</x:v>
      </x:c>
      <x:c r="Y209" s="31" t="str">
        <x:f>IF(V209="not reported","not reported",HYPERLINK("https://pmc.ncbi.nlm.nih.gov/articles/"&amp;V209&amp;"/","Open Full Text"))</x:f>
        <x:v>not reported</x:v>
      </x:c>
      <x:c r="Z209" s="31" t="e">
        <x:f>IF(L209="not reported","not reported",HYPERLINK("https://doi.org/"&amp;L209,"Open Publisher"))</x:f>
        <x:v>HYPERLINK is not implemented. linkLocation=https://doi.org/10.1016/j.neubiorev.2026.106570, friendlyName=Open Publisher</x:v>
      </x:c>
      <x:c r="AA209" s="28" t="str">
        <x:v>DOI present in PubMed/MEDLINE; no PMCID present.</x:v>
      </x:c>
      <x:c r="AB209" s="28" t="str">
        <x:v>Open the DOI/publisher page. If PDF is paywalled, try Stony Brook Library access, Article Galaxy, or interlibrary loan.</x:v>
      </x:c>
      <x:c r="AC209" s="26" t="str">
        <x:v>2026-09-20</x:v>
      </x:c>
    </x:row>
    <x:row r="210">
      <x:c r="A210" s="26" t="str">
        <x:v>PUBMED-41496432</x:v>
      </x:c>
      <x:c r="B210" s="28" t="str">
        <x:v>Neurodevelopmental, Pharmacological and Substance Use Factors in the Association Between ADHD and First-Episode Non-Affective Psychosis: A Systematic Review.</x:v>
      </x:c>
      <x:c r="C210" s="28" t="str">
        <x:v>Ricci, Valerio; Barresi, Marialuigia; Di Salvo, Gabriele; Maina, Giuseppe</x:v>
      </x:c>
      <x:c r="D210" s="28" t="n">
        <x:v>2026</x:v>
      </x:c>
      <x:c r="E210" s="28" t="str">
        <x:v>Early intervention in psychiatry</x:v>
      </x:c>
      <x:c r="F210" s="28" t="str">
        <x:v>Evidence synthesis - systematic review</x:v>
      </x:c>
      <x:c r="G210" s="28" t="str">
        <x:v>Development &amp; presentation; Recognition &amp; diagnosis; Social &amp; structural; Treatment &amp; support; Life outcomes &amp; lived experience</x:v>
      </x:c>
      <x:c r="H210" s="28" t="str">
        <x:v>Childhood</x:v>
      </x:c>
      <x:c r="I210" s="28" t="str">
        <x:v>not reported/not verified</x:v>
      </x:c>
      <x:c r="J210" s="28" t="str">
        <x:v>not reported</x:v>
      </x:c>
      <x:c r="K210" s="28" t="str">
        <x:v>OBJECTIVE: This systematic review investigates the complex relationship between attention deficit hyperactivity disorder (ADHD) and first-episode non-affective psychosis (FEP), focusing on neurodevelopmental, pharmacological and substance use factors that may influence this association.</x:v>
      </x:c>
      <x:c r="L210" s="28" t="str">
        <x:v>10.1111/eip.70123</x:v>
      </x:c>
      <x:c r="M210" s="28" t="str">
        <x:v>41496432</x:v>
      </x:c>
      <x:c r="N210" s="31" t="e">
        <x:f>HYPERLINK("https://pubmed.ncbi.nlm.nih.gov/"&amp;M210&amp;"/","Open PubMed")</x:f>
        <x:v>HYPERLINK is not implemented. linkLocation=https://pubmed.ncbi.nlm.nih.gov/41496432/, friendlyName=Open PubMed</x:v>
      </x:c>
      <x:c r="O210" s="31" t="str">
        <x:v>not reported</x:v>
      </x:c>
      <x:c r="P210" s="28" t="str">
        <x:v>abstract only</x:v>
      </x:c>
      <x:c r="Q210" s="28" t="str">
        <x:v>PubMed/MEDLINE export supplied by user | query: not verified from export; see Protocol sheet for reproducible recommended query</x:v>
      </x:c>
      <x:c r="R210" s="28" t="str">
        <x:v>Batch 1 core</x:v>
      </x:c>
      <x:c r="S210" s="28" t="str">
        <x:v>Direct ADHD evidence synthesis/guideline with broad multi-topic relevance.</x:v>
      </x:c>
      <x:c r="T210" s="28" t="str">
        <x:v>not apparent from accessed abstract/metadata</x:v>
      </x:c>
      <x:c r="U210" s="28" t="str">
        <x:v>none identified in MEDLINE record</x:v>
      </x:c>
      <x:c r="V210" s="26" t="str">
        <x:v>not reported</x:v>
      </x:c>
      <x:c r="W210" s="28" t="str">
        <x:v>No PMC copy identified; publisher PDF/access must be checked</x:v>
      </x:c>
      <x:c r="X210" s="28" t="str">
        <x:v>Not verified</x:v>
      </x:c>
      <x:c r="Y210" s="31" t="str">
        <x:f>IF(V210="not reported","not reported",HYPERLINK("https://pmc.ncbi.nlm.nih.gov/articles/"&amp;V210&amp;"/","Open Full Text"))</x:f>
        <x:v>not reported</x:v>
      </x:c>
      <x:c r="Z210" s="31" t="e">
        <x:f>IF(L210="not reported","not reported",HYPERLINK("https://doi.org/"&amp;L210,"Open Publisher"))</x:f>
        <x:v>HYPERLINK is not implemented. linkLocation=https://doi.org/10.1111/eip.70123, friendlyName=Open Publisher</x:v>
      </x:c>
      <x:c r="AA210" s="28" t="str">
        <x:v>DOI present in PubMed/MEDLINE; no PMCID present.</x:v>
      </x:c>
      <x:c r="AB210" s="28" t="str">
        <x:v>Open the DOI/publisher page. If PDF is paywalled, try Stony Brook Library access, Article Galaxy, or interlibrary loan.</x:v>
      </x:c>
      <x:c r="AC210" s="26" t="str">
        <x:v>2026-09-20</x:v>
      </x:c>
    </x:row>
    <x:row r="211">
      <x:c r="A211" s="26" t="str">
        <x:v>PUBMED-41411987</x:v>
      </x:c>
      <x:c r="B211" s="28" t="str">
        <x:v>Intellectual achievement and cognitive functioning in children and adolescents with ADHD-affected siblings: A systematic literature review and meta-analysis.</x:v>
      </x:c>
      <x:c r="C211" s="28" t="str">
        <x:v>Ramos, Ari Alex; Boaventura, Vinícius; Nascimento, Alanis Aparecida; Leite, Luana Lopes Rocha; Machado, Liana</x:v>
      </x:c>
      <x:c r="D211" s="28" t="n">
        <x:v>2026</x:v>
      </x:c>
      <x:c r="E211" s="28" t="str">
        <x:v>Clinical psychology review</x:v>
      </x:c>
      <x:c r="F211" s="28" t="str">
        <x:v>Evidence synthesis - meta-analysis</x:v>
      </x:c>
      <x:c r="G211" s="28" t="str">
        <x:v>Development &amp; presentation; Recognition &amp; diagnosis; Family &amp; education; Social &amp; structural; Environmental &amp; lifestyle; Life outcomes &amp; lived experience</x:v>
      </x:c>
      <x:c r="H211" s="28" t="str">
        <x:v>Childhood; Adolescence</x:v>
      </x:c>
      <x:c r="I211" s="28" t="str">
        <x:v>not reported/not verified</x:v>
      </x:c>
      <x:c r="J211" s="28" t="str">
        <x:v>not reported</x:v>
      </x:c>
      <x:c r="K211" s="28" t="str">
        <x:v>Moreover, we assessed the robustness of the findings by testing for potential small-study effects.</x:v>
      </x:c>
      <x:c r="L211" s="28" t="str">
        <x:v>10.1016/j.cpr.2025.102688</x:v>
      </x:c>
      <x:c r="M211" s="28" t="str">
        <x:v>41411987</x:v>
      </x:c>
      <x:c r="N211" s="31" t="e">
        <x:f>HYPERLINK("https://pubmed.ncbi.nlm.nih.gov/"&amp;M211&amp;"/","Open PubMed")</x:f>
        <x:v>HYPERLINK is not implemented. linkLocation=https://pubmed.ncbi.nlm.nih.gov/41411987/, friendlyName=Open PubMed</x:v>
      </x:c>
      <x:c r="O211" s="31" t="str">
        <x:v>not reported</x:v>
      </x:c>
      <x:c r="P211" s="28" t="str">
        <x:v>abstract only</x:v>
      </x:c>
      <x:c r="Q211" s="28" t="str">
        <x:v>PubMed/MEDLINE export supplied by user | query: not verified from export; see Protocol sheet for reproducible recommended query</x:v>
      </x:c>
      <x:c r="R211" s="28" t="str">
        <x:v>Batch 1 core</x:v>
      </x:c>
      <x:c r="S211" s="28" t="str">
        <x:v>Direct ADHD evidence synthesis/guideline with broad multi-topic relevance.</x:v>
      </x:c>
      <x:c r="T211" s="28" t="str">
        <x:v>not apparent from accessed abstract/metadata</x:v>
      </x:c>
      <x:c r="U211" s="28" t="str">
        <x:v>none identified in MEDLINE record</x:v>
      </x:c>
      <x:c r="V211" s="26" t="str">
        <x:v>not reported</x:v>
      </x:c>
      <x:c r="W211" s="28" t="str">
        <x:v>No PMC copy identified; publisher PDF/access must be checked</x:v>
      </x:c>
      <x:c r="X211" s="28" t="str">
        <x:v>Not verified</x:v>
      </x:c>
      <x:c r="Y211" s="31" t="str">
        <x:f>IF(V211="not reported","not reported",HYPERLINK("https://pmc.ncbi.nlm.nih.gov/articles/"&amp;V211&amp;"/","Open Full Text"))</x:f>
        <x:v>not reported</x:v>
      </x:c>
      <x:c r="Z211" s="31" t="e">
        <x:f>IF(L211="not reported","not reported",HYPERLINK("https://doi.org/"&amp;L211,"Open Publisher"))</x:f>
        <x:v>HYPERLINK is not implemented. linkLocation=https://doi.org/10.1016/j.cpr.2025.102688, friendlyName=Open Publisher</x:v>
      </x:c>
      <x:c r="AA211" s="28" t="str">
        <x:v>DOI present in PubMed/MEDLINE; no PMCID present.</x:v>
      </x:c>
      <x:c r="AB211" s="28" t="str">
        <x:v>Open the DOI/publisher page. If PDF is paywalled, try Stony Brook Library access, Article Galaxy, or interlibrary loan.</x:v>
      </x:c>
      <x:c r="AC211" s="26" t="str">
        <x:v>2026-09-20</x:v>
      </x:c>
    </x:row>
    <x:row r="212">
      <x:c r="A212" s="26" t="str">
        <x:v>PUBMED-41403099</x:v>
      </x:c>
      <x:c r="B212" s="28" t="str">
        <x:v>Effects of Exercise on Hyperactivity/Impulsivity and Inhibitory Control at Behavioral and Electrophysiological Levels in ADHD: A Systematic Review and Meta-Analysis.</x:v>
      </x:c>
      <x:c r="C212" s="28" t="str">
        <x:v>Zhang, Zeping; Bo, Xuanyu; Liu, Kun; Su, Jiangdi; Zhu, Yongfei; Yang, Suyong</x:v>
      </x:c>
      <x:c r="D212" s="28" t="n">
        <x:v>2026</x:v>
      </x:c>
      <x:c r="E212" s="28" t="str">
        <x:v>Journal of attention disorders</x:v>
      </x:c>
      <x:c r="F212" s="28" t="str">
        <x:v>Evidence synthesis - meta-analysis</x:v>
      </x:c>
      <x:c r="G212" s="28" t="str">
        <x:v>Development &amp; presentation; Social &amp; structural; Environmental &amp; lifestyle; Treatment &amp; support</x:v>
      </x:c>
      <x:c r="H212" s="28" t="str">
        <x:v>Childhood; Adolescence</x:v>
      </x:c>
      <x:c r="I212" s="28" t="str">
        <x:v>not reported/not verified</x:v>
      </x:c>
      <x:c r="J212" s="28" t="str">
        <x:v>not reported</x:v>
      </x:c>
      <x:c r="K212" s="28" t="str">
        <x:v>OBJECTIVE: This study aimed to assess the impact of exercise on hyperactivity/impulsivity, inhibitory control, and inhibition-related event-related potential (ERP) components in individuals with ADHD.</x:v>
      </x:c>
      <x:c r="L212" s="28" t="str">
        <x:v>10.1177/10870547251404197</x:v>
      </x:c>
      <x:c r="M212" s="28" t="str">
        <x:v>41403099</x:v>
      </x:c>
      <x:c r="N212" s="31" t="e">
        <x:f>HYPERLINK("https://pubmed.ncbi.nlm.nih.gov/"&amp;M212&amp;"/","Open PubMed")</x:f>
        <x:v>HYPERLINK is not implemented. linkLocation=https://pubmed.ncbi.nlm.nih.gov/41403099/, friendlyName=Open PubMed</x:v>
      </x:c>
      <x:c r="O212" s="31" t="str">
        <x:v>not reported</x:v>
      </x:c>
      <x:c r="P212" s="28" t="str">
        <x:v>abstract only</x:v>
      </x:c>
      <x:c r="Q212" s="28" t="str">
        <x:v>PubMed/MEDLINE export supplied by user | query: not verified from export; see Protocol sheet for reproducible recommended query</x:v>
      </x:c>
      <x:c r="R212" s="28" t="str">
        <x:v>Batch 1 core</x:v>
      </x:c>
      <x:c r="S212" s="28" t="str">
        <x:v>Direct ADHD evidence synthesis/guideline with broad multi-topic relevance.</x:v>
      </x:c>
      <x:c r="T212" s="28" t="str">
        <x:v>not apparent from accessed abstract/metadata</x:v>
      </x:c>
      <x:c r="U212" s="28" t="str">
        <x:v>none identified in MEDLINE record</x:v>
      </x:c>
      <x:c r="V212" s="26" t="str">
        <x:v>not reported</x:v>
      </x:c>
      <x:c r="W212" s="28" t="str">
        <x:v>No PMC copy identified; publisher PDF/access must be checked</x:v>
      </x:c>
      <x:c r="X212" s="28" t="str">
        <x:v>Not verified</x:v>
      </x:c>
      <x:c r="Y212" s="31" t="str">
        <x:f>IF(V212="not reported","not reported",HYPERLINK("https://pmc.ncbi.nlm.nih.gov/articles/"&amp;V212&amp;"/","Open Full Text"))</x:f>
        <x:v>not reported</x:v>
      </x:c>
      <x:c r="Z212" s="31" t="e">
        <x:f>IF(L212="not reported","not reported",HYPERLINK("https://doi.org/"&amp;L212,"Open Publisher"))</x:f>
        <x:v>HYPERLINK is not implemented. linkLocation=https://doi.org/10.1177/10870547251404197, friendlyName=Open Publisher</x:v>
      </x:c>
      <x:c r="AA212" s="28" t="str">
        <x:v>DOI present in PubMed/MEDLINE; no PMCID present.</x:v>
      </x:c>
      <x:c r="AB212" s="28" t="str">
        <x:v>Open the DOI/publisher page. If PDF is paywalled, try Stony Brook Library access, Article Galaxy, or interlibrary loan.</x:v>
      </x:c>
      <x:c r="AC212" s="26" t="str">
        <x:v>2026-09-20</x:v>
      </x:c>
    </x:row>
    <x:row r="213">
      <x:c r="A213" s="26" t="str">
        <x:v>PUBMED-41386194</x:v>
      </x:c>
      <x:c r="B213" s="28" t="str">
        <x:v>Neurocognitive outcomes of ADHD as a comorbidity in pediatric epilepsy: a systematic review.</x:v>
      </x:c>
      <x:c r="C213" s="28" t="str">
        <x:v>Leal, Laura Zaffari; Kehl, Inácio; Polesello, Natália Donati; de Souza, Yolanda Aquino; Schmitz, Catarina Hauser; Viola, Thiago Wendt; Nunes, Magda Lahorgue</x:v>
      </x:c>
      <x:c r="D213" s="28" t="n">
        <x:v>2026</x:v>
      </x:c>
      <x:c r="E213" s="28" t="str">
        <x:v>Epilepsy &amp; behavior : E&amp;B</x:v>
      </x:c>
      <x:c r="F213" s="28" t="str">
        <x:v>Evidence synthesis - systematic review</x:v>
      </x:c>
      <x:c r="G213" s="28" t="str">
        <x:v>Development &amp; presentation; Recognition &amp; diagnosis; Social &amp; structural; Life outcomes &amp; lived experience</x:v>
      </x:c>
      <x:c r="H213" s="28" t="str">
        <x:v>Childhood; Adolescence</x:v>
      </x:c>
      <x:c r="I213" s="28" t="str">
        <x:v>not reported/not verified</x:v>
      </x:c>
      <x:c r="J213" s="28" t="str">
        <x:v>not reported</x:v>
      </x:c>
      <x:c r="K213" s="28" t="str">
        <x:v>Attention-deficit/hyperactivity disorder (ADHD) is a common neuropsychiatric comorbidity in pediatric epilepsy.</x:v>
      </x:c>
      <x:c r="L213" s="28" t="str">
        <x:v>10.1016/j.yebeh.2025.110852</x:v>
      </x:c>
      <x:c r="M213" s="28" t="str">
        <x:v>41386194</x:v>
      </x:c>
      <x:c r="N213" s="31" t="e">
        <x:f>HYPERLINK("https://pubmed.ncbi.nlm.nih.gov/"&amp;M213&amp;"/","Open PubMed")</x:f>
        <x:v>HYPERLINK is not implemented. linkLocation=https://pubmed.ncbi.nlm.nih.gov/41386194/, friendlyName=Open PubMed</x:v>
      </x:c>
      <x:c r="O213" s="31" t="str">
        <x:v>not reported</x:v>
      </x:c>
      <x:c r="P213" s="28" t="str">
        <x:v>abstract only</x:v>
      </x:c>
      <x:c r="Q213" s="28" t="str">
        <x:v>PubMed/MEDLINE export supplied by user | query: not verified from export; see Protocol sheet for reproducible recommended query</x:v>
      </x:c>
      <x:c r="R213" s="28" t="str">
        <x:v>Batch 1 core</x:v>
      </x:c>
      <x:c r="S213" s="28" t="str">
        <x:v>Direct ADHD evidence synthesis/guideline with broad multi-topic relevance.</x:v>
      </x:c>
      <x:c r="T213" s="28" t="str">
        <x:v>not apparent from accessed abstract/metadata</x:v>
      </x:c>
      <x:c r="U213" s="28" t="str">
        <x:v>none identified in MEDLINE record</x:v>
      </x:c>
      <x:c r="V213" s="26" t="str">
        <x:v>not reported</x:v>
      </x:c>
      <x:c r="W213" s="28" t="str">
        <x:v>No PMC copy identified; publisher PDF/access must be checked</x:v>
      </x:c>
      <x:c r="X213" s="28" t="str">
        <x:v>Not verified</x:v>
      </x:c>
      <x:c r="Y213" s="31" t="str">
        <x:f>IF(V213="not reported","not reported",HYPERLINK("https://pmc.ncbi.nlm.nih.gov/articles/"&amp;V213&amp;"/","Open Full Text"))</x:f>
        <x:v>not reported</x:v>
      </x:c>
      <x:c r="Z213" s="31" t="e">
        <x:f>IF(L213="not reported","not reported",HYPERLINK("https://doi.org/"&amp;L213,"Open Publisher"))</x:f>
        <x:v>HYPERLINK is not implemented. linkLocation=https://doi.org/10.1016/j.yebeh.2025.110852, friendlyName=Open Publisher</x:v>
      </x:c>
      <x:c r="AA213" s="28" t="str">
        <x:v>DOI present in PubMed/MEDLINE; no PMCID present.</x:v>
      </x:c>
      <x:c r="AB213" s="28" t="str">
        <x:v>Open the DOI/publisher page. If PDF is paywalled, try Stony Brook Library access, Article Galaxy, or interlibrary loan.</x:v>
      </x:c>
      <x:c r="AC213" s="26" t="str">
        <x:v>2026-09-20</x:v>
      </x:c>
    </x:row>
    <x:row r="214">
      <x:c r="A214" s="26" t="str">
        <x:v>PUBMED-41385457</x:v>
      </x:c>
      <x:c r="B214" s="28" t="str">
        <x:v>A Meta-Analysis of the Prevalence of ADHD in Youth Across Racial and Ethnic Groups.</x:v>
      </x:c>
      <x:c r="C214" s="28" t="str">
        <x:v>Glenn, Andrea L; Hunter, Shelby; Thompson, Olivia K</x:v>
      </x:c>
      <x:c r="D214" s="28" t="n">
        <x:v>2026</x:v>
      </x:c>
      <x:c r="E214" s="28" t="str">
        <x:v>Journal of clinical child and adolescent psychology : the official journal for the Society of Clinical Child and Adolescent Psychology, American Psychological Association, Division 53</x:v>
      </x:c>
      <x:c r="F214" s="28" t="str">
        <x:v>Evidence synthesis - meta-analysis</x:v>
      </x:c>
      <x:c r="G214" s="28" t="str">
        <x:v>Development &amp; presentation; Recognition &amp; diagnosis; Family &amp; education; Social &amp; structural; Life outcomes &amp; lived experience</x:v>
      </x:c>
      <x:c r="H214" s="28" t="str">
        <x:v>Childhood; Adolescence</x:v>
      </x:c>
      <x:c r="I214" s="28" t="str">
        <x:v>not reported/not verified</x:v>
      </x:c>
      <x:c r="J214" s="28" t="str">
        <x:v>not reported</x:v>
      </x:c>
      <x:c r="K214" s="28" t="str">
        <x:v>OBJECTIVE: To compare the prevalence of attention-deficit/hyperactivity disorder (ADHD) among Asian, Black, Latino, and White children and adolescents across studies while considering method of diagnosis.</x:v>
      </x:c>
      <x:c r="L214" s="28" t="str">
        <x:v>10.1080/15374416.2025.2592952</x:v>
      </x:c>
      <x:c r="M214" s="28" t="str">
        <x:v>41385457</x:v>
      </x:c>
      <x:c r="N214" s="31" t="e">
        <x:f>HYPERLINK("https://pubmed.ncbi.nlm.nih.gov/"&amp;M214&amp;"/","Open PubMed")</x:f>
        <x:v>HYPERLINK is not implemented. linkLocation=https://pubmed.ncbi.nlm.nih.gov/41385457/, friendlyName=Open PubMed</x:v>
      </x:c>
      <x:c r="O214" s="31" t="str">
        <x:v>not reported</x:v>
      </x:c>
      <x:c r="P214" s="28" t="str">
        <x:v>abstract only</x:v>
      </x:c>
      <x:c r="Q214" s="28" t="str">
        <x:v>PubMed/MEDLINE export supplied by user | query: not verified from export; see Protocol sheet for reproducible recommended query</x:v>
      </x:c>
      <x:c r="R214" s="28" t="str">
        <x:v>Batch 1 core</x:v>
      </x:c>
      <x:c r="S214" s="28" t="str">
        <x:v>Direct ADHD evidence synthesis/guideline with broad multi-topic relevance.</x:v>
      </x:c>
      <x:c r="T214" s="28" t="str">
        <x:v>not apparent from accessed abstract/metadata</x:v>
      </x:c>
      <x:c r="U214" s="28" t="str">
        <x:v>none identified in MEDLINE record</x:v>
      </x:c>
      <x:c r="V214" s="26" t="str">
        <x:v>not reported</x:v>
      </x:c>
      <x:c r="W214" s="28" t="str">
        <x:v>No PMC copy identified; publisher PDF/access must be checked</x:v>
      </x:c>
      <x:c r="X214" s="28" t="str">
        <x:v>Not verified</x:v>
      </x:c>
      <x:c r="Y214" s="31" t="str">
        <x:f>IF(V214="not reported","not reported",HYPERLINK("https://pmc.ncbi.nlm.nih.gov/articles/"&amp;V214&amp;"/","Open Full Text"))</x:f>
        <x:v>not reported</x:v>
      </x:c>
      <x:c r="Z214" s="31" t="e">
        <x:f>IF(L214="not reported","not reported",HYPERLINK("https://doi.org/"&amp;L214,"Open Publisher"))</x:f>
        <x:v>HYPERLINK is not implemented. linkLocation=https://doi.org/10.1080/15374416.2025.2592952, friendlyName=Open Publisher</x:v>
      </x:c>
      <x:c r="AA214" s="28" t="str">
        <x:v>DOI present in PubMed/MEDLINE; no PMCID present.</x:v>
      </x:c>
      <x:c r="AB214" s="28" t="str">
        <x:v>Open the DOI/publisher page. If PDF is paywalled, try Stony Brook Library access, Article Galaxy, or interlibrary loan.</x:v>
      </x:c>
      <x:c r="AC214" s="26" t="str">
        <x:v>2026-09-20</x:v>
      </x:c>
    </x:row>
    <x:row r="215">
      <x:c r="A215" s="26" t="str">
        <x:v>PUBMED-41352760</x:v>
      </x:c>
      <x:c r="B215" s="28" t="str">
        <x:v>ADHD and the Risk of Benzodiazepine Misuse: A Systematic Review and Meta-Analysis.</x:v>
      </x:c>
      <x:c r="C215" s="28" t="str">
        <x:v>Zamboni, Lorenzo; Federico, Angela; Casari, Rebecca; Fusina, Francesca; Zandonai, Thomas; Zoccante, Leonardo; Lugoboni, Fabio</x:v>
      </x:c>
      <x:c r="D215" s="28" t="n">
        <x:v>2026</x:v>
      </x:c>
      <x:c r="E215" s="28" t="str">
        <x:v>Substance use &amp; misuse</x:v>
      </x:c>
      <x:c r="F215" s="28" t="str">
        <x:v>Evidence synthesis - meta-analysis</x:v>
      </x:c>
      <x:c r="G215" s="28" t="str">
        <x:v>Development &amp; presentation; Recognition &amp; diagnosis; Social &amp; structural; Environmental &amp; lifestyle; Treatment &amp; support; Life outcomes &amp; lived experience</x:v>
      </x:c>
      <x:c r="H215" s="28" t="str">
        <x:v>Adulthood</x:v>
      </x:c>
      <x:c r="I215" s="28" t="str">
        <x:v>not reported/not verified</x:v>
      </x:c>
      <x:c r="J215" s="28" t="str">
        <x:v>not reported</x:v>
      </x:c>
      <x:c r="K215" s="28" t="str">
        <x:v>OBJECTIVES: This review aimed to systematically examine the association between ADHD and BDZ misuse or dependence in adult populations, and to quantify this relationship through meta-analytic synthesis of observational data.</x:v>
      </x:c>
      <x:c r="L215" s="28" t="str">
        <x:v>10.1080/10826084.2025.2576652</x:v>
      </x:c>
      <x:c r="M215" s="28" t="str">
        <x:v>41352760</x:v>
      </x:c>
      <x:c r="N215" s="31" t="e">
        <x:f>HYPERLINK("https://pubmed.ncbi.nlm.nih.gov/"&amp;M215&amp;"/","Open PubMed")</x:f>
        <x:v>HYPERLINK is not implemented. linkLocation=https://pubmed.ncbi.nlm.nih.gov/41352760/, friendlyName=Open PubMed</x:v>
      </x:c>
      <x:c r="O215" s="31" t="str">
        <x:v>not reported</x:v>
      </x:c>
      <x:c r="P215" s="28" t="str">
        <x:v>abstract only</x:v>
      </x:c>
      <x:c r="Q215" s="28" t="str">
        <x:v>PubMed/MEDLINE export supplied by user | query: not verified from export; see Protocol sheet for reproducible recommended query</x:v>
      </x:c>
      <x:c r="R215" s="28" t="str">
        <x:v>Batch 1 core</x:v>
      </x:c>
      <x:c r="S215" s="28" t="str">
        <x:v>Direct ADHD evidence synthesis/guideline with broad multi-topic relevance.</x:v>
      </x:c>
      <x:c r="T215" s="28" t="str">
        <x:v>not apparent from accessed abstract/metadata</x:v>
      </x:c>
      <x:c r="U215" s="28" t="str">
        <x:v>none identified in MEDLINE record</x:v>
      </x:c>
      <x:c r="V215" s="26" t="str">
        <x:v>not reported</x:v>
      </x:c>
      <x:c r="W215" s="28" t="str">
        <x:v>No PMC copy identified; publisher PDF/access must be checked</x:v>
      </x:c>
      <x:c r="X215" s="28" t="str">
        <x:v>Not verified</x:v>
      </x:c>
      <x:c r="Y215" s="31" t="str">
        <x:f>IF(V215="not reported","not reported",HYPERLINK("https://pmc.ncbi.nlm.nih.gov/articles/"&amp;V215&amp;"/","Open Full Text"))</x:f>
        <x:v>not reported</x:v>
      </x:c>
      <x:c r="Z215" s="31" t="e">
        <x:f>IF(L215="not reported","not reported",HYPERLINK("https://doi.org/"&amp;L215,"Open Publisher"))</x:f>
        <x:v>HYPERLINK is not implemented. linkLocation=https://doi.org/10.1080/10826084.2025.2576652, friendlyName=Open Publisher</x:v>
      </x:c>
      <x:c r="AA215" s="28" t="str">
        <x:v>DOI present in PubMed/MEDLINE; no PMCID present.</x:v>
      </x:c>
      <x:c r="AB215" s="28" t="str">
        <x:v>Open the DOI/publisher page. If PDF is paywalled, try Stony Brook Library access, Article Galaxy, or interlibrary loan.</x:v>
      </x:c>
      <x:c r="AC215" s="26" t="str">
        <x:v>2026-09-20</x:v>
      </x:c>
    </x:row>
    <x:row r="216">
      <x:c r="A216" s="26" t="str">
        <x:v>PUBMED-41205076</x:v>
      </x:c>
      <x:c r="B216" s="28" t="str">
        <x:v>The diagnostic validity of central symptoms for major depressive disorder in adults with attention-deficit/hyperactivity disorder: a network analysis.</x:v>
      </x:c>
      <x:c r="C216" s="28" t="str">
        <x:v>Gao, Yuan; Pan, Meirong; Zhu, Ziqing; Yue, Xinxin; Si, Feifei; Zhao, Mengjie; Dong, Min; Li, Haimei; Wang, Yufeng; Qian, Qiujin; Liu, Lu</x:v>
      </x:c>
      <x:c r="D216" s="28" t="n">
        <x:v>2026</x:v>
      </x:c>
      <x:c r="E216" s="28" t="str">
        <x:v>European archives of psychiatry and clinical neuroscience</x:v>
      </x:c>
      <x:c r="F216" s="28" t="str">
        <x:v>Primary study - cohort</x:v>
      </x:c>
      <x:c r="G216" s="28" t="str">
        <x:v>Development &amp; presentation; Recognition &amp; diagnosis; Social &amp; structural</x:v>
      </x:c>
      <x:c r="H216" s="28" t="str">
        <x:v>Adulthood</x:v>
      </x:c>
      <x:c r="I216" s="28" t="str">
        <x:v>not reported/not verified</x:v>
      </x:c>
      <x:c r="J216" s="28" t="str">
        <x:v>not reported</x:v>
      </x:c>
      <x:c r="K216" s="28" t="str">
        <x:v>BACKGROUND: An efficient and accurate diagnosis of MDD in adult ADHD is highly significant.</x:v>
      </x:c>
      <x:c r="L216" s="28" t="str">
        <x:v>10.1007/s00406-025-02148-z</x:v>
      </x:c>
      <x:c r="M216" s="28" t="str">
        <x:v>41205076</x:v>
      </x:c>
      <x:c r="N216" s="31" t="e">
        <x:f>HYPERLINK("https://pubmed.ncbi.nlm.nih.gov/"&amp;M216&amp;"/","Open PubMed")</x:f>
        <x:v>HYPERLINK is not implemented. linkLocation=https://pubmed.ncbi.nlm.nih.gov/41205076/, friendlyName=Open PubMed</x:v>
      </x:c>
      <x:c r="O216" s="31" t="str">
        <x:v>not reported</x:v>
      </x:c>
      <x:c r="P216" s="28" t="str">
        <x:v>abstract only</x:v>
      </x:c>
      <x:c r="Q216" s="28" t="str">
        <x:v>PubMed/MEDLINE export supplied by user | query: not verified from export; see Protocol sheet for reproducible recommended query</x:v>
      </x:c>
      <x:c r="R216" s="28" t="str">
        <x:v>Batch 1 core</x:v>
      </x:c>
      <x:c r="S216" s="28" t="str">
        <x:v>Direct ADHD primary study on diagnosis, family/education, structural conditions, lived experience/outcomes, or environment/lifestyle.</x:v>
      </x:c>
      <x:c r="T216" s="28" t="str">
        <x:v>not apparent from accessed abstract/metadata</x:v>
      </x:c>
      <x:c r="U216" s="28" t="str">
        <x:v>none identified in MEDLINE record</x:v>
      </x:c>
      <x:c r="V216" s="26" t="str">
        <x:v>not reported</x:v>
      </x:c>
      <x:c r="W216" s="28" t="str">
        <x:v>No PMC copy identified; publisher PDF/access must be checked</x:v>
      </x:c>
      <x:c r="X216" s="28" t="str">
        <x:v>Not verified</x:v>
      </x:c>
      <x:c r="Y216" s="31" t="str">
        <x:f>IF(V216="not reported","not reported",HYPERLINK("https://pmc.ncbi.nlm.nih.gov/articles/"&amp;V216&amp;"/","Open Full Text"))</x:f>
        <x:v>not reported</x:v>
      </x:c>
      <x:c r="Z216" s="31" t="e">
        <x:f>IF(L216="not reported","not reported",HYPERLINK("https://doi.org/"&amp;L216,"Open Publisher"))</x:f>
        <x:v>HYPERLINK is not implemented. linkLocation=https://doi.org/10.1007/s00406-025-02148-z, friendlyName=Open Publisher</x:v>
      </x:c>
      <x:c r="AA216" s="28" t="str">
        <x:v>DOI present in PubMed/MEDLINE; no PMCID present.</x:v>
      </x:c>
      <x:c r="AB216" s="28" t="str">
        <x:v>Open the DOI/publisher page. If PDF is paywalled, try Stony Brook Library access, Article Galaxy, or interlibrary loan.</x:v>
      </x:c>
      <x:c r="AC216" s="26" t="str">
        <x:v>2026-09-20</x:v>
      </x:c>
    </x:row>
    <x:row r="217">
      <x:c r="A217" s="26" t="str">
        <x:v>PUBMED-41110746</x:v>
      </x:c>
      <x:c r="B217" s="28" t="str">
        <x:v>Circulating MicroRNAs in Cord Blood to Predict Attention-Deficit/Hyperactivity Disorder Diagnosis.</x:v>
      </x:c>
      <x:c r="C217" s="28" t="str">
        <x:v>Dypås, Lene B; Olsen, Ann-Karin; Gützkow, Kristine B; Andreassen, Ole; Brunborg, Gunnar; Magnus, Per; Reichborn-Kjennerud, Ted; Stoltenberg, Camilla; Duale, Nur</x:v>
      </x:c>
      <x:c r="D217" s="28" t="n">
        <x:v>2026</x:v>
      </x:c>
      <x:c r="E217" s="28" t="str">
        <x:v>Biological psychiatry</x:v>
      </x:c>
      <x:c r="F217" s="28" t="str">
        <x:v>Primary study - cohort</x:v>
      </x:c>
      <x:c r="G217" s="28" t="str">
        <x:v>Development &amp; presentation; Recognition &amp; diagnosis; Family &amp; education; Social &amp; structural; Environmental &amp; lifestyle; Life outcomes &amp; lived experience</x:v>
      </x:c>
      <x:c r="H217" s="28" t="str">
        <x:v>Childhood</x:v>
      </x:c>
      <x:c r="I217" s="28" t="str">
        <x:v>not reported/not verified</x:v>
      </x:c>
      <x:c r="J217" s="28" t="str">
        <x:v>not reported</x:v>
      </x:c>
      <x:c r="K217" s="28" t="str">
        <x:v>BACKGROUND: There are large knowledge gaps in the etiology of attention-deficit/hyperactivity disorder (ADHD), and although it is a prevalent and highly heritable neurodevelopmental disorder, diagnosis can be challenging.</x:v>
      </x:c>
      <x:c r="L217" s="28" t="str">
        <x:v>10.1016/j.biopsych.2025.10.010</x:v>
      </x:c>
      <x:c r="M217" s="28" t="str">
        <x:v>41110746</x:v>
      </x:c>
      <x:c r="N217" s="31" t="e">
        <x:f>HYPERLINK("https://pubmed.ncbi.nlm.nih.gov/"&amp;M217&amp;"/","Open PubMed")</x:f>
        <x:v>HYPERLINK is not implemented. linkLocation=https://pubmed.ncbi.nlm.nih.gov/41110746/, friendlyName=Open PubMed</x:v>
      </x:c>
      <x:c r="O217" s="31" t="str">
        <x:v>not reported</x:v>
      </x:c>
      <x:c r="P217" s="28" t="str">
        <x:v>abstract only</x:v>
      </x:c>
      <x:c r="Q217" s="28" t="str">
        <x:v>PubMed/MEDLINE export supplied by user | query: not verified from export; see Protocol sheet for reproducible recommended query</x:v>
      </x:c>
      <x:c r="R217" s="28" t="str">
        <x:v>Batch 1 core</x:v>
      </x:c>
      <x:c r="S217" s="28" t="str">
        <x:v>Direct ADHD primary study on diagnosis, family/education, structural conditions, lived experience/outcomes, or environment/lifestyle.</x:v>
      </x:c>
      <x:c r="T217" s="28" t="str">
        <x:v>MoBa / Norwegian Mother, Father and Child Cohort</x:v>
      </x:c>
      <x:c r="U217" s="28" t="str">
        <x:v>none identified in MEDLINE record</x:v>
      </x:c>
      <x:c r="V217" s="26" t="str">
        <x:v>not reported</x:v>
      </x:c>
      <x:c r="W217" s="28" t="str">
        <x:v>No PMC copy identified; publisher PDF/access must be checked</x:v>
      </x:c>
      <x:c r="X217" s="28" t="str">
        <x:v>Not verified</x:v>
      </x:c>
      <x:c r="Y217" s="31" t="str">
        <x:f>IF(V217="not reported","not reported",HYPERLINK("https://pmc.ncbi.nlm.nih.gov/articles/"&amp;V217&amp;"/","Open Full Text"))</x:f>
        <x:v>not reported</x:v>
      </x:c>
      <x:c r="Z217" s="31" t="e">
        <x:f>IF(L217="not reported","not reported",HYPERLINK("https://doi.org/"&amp;L217,"Open Publisher"))</x:f>
        <x:v>HYPERLINK is not implemented. linkLocation=https://doi.org/10.1016/j.biopsych.2025.10.010, friendlyName=Open Publisher</x:v>
      </x:c>
      <x:c r="AA217" s="28" t="str">
        <x:v>DOI present in PubMed/MEDLINE; no PMCID present.</x:v>
      </x:c>
      <x:c r="AB217" s="28" t="str">
        <x:v>Open the DOI/publisher page. If PDF is paywalled, try Stony Brook Library access, Article Galaxy, or interlibrary loan.</x:v>
      </x:c>
      <x:c r="AC217" s="26" t="str">
        <x:v>2026-09-20</x:v>
      </x:c>
    </x:row>
    <x:row r="218">
      <x:c r="A218" s="26" t="str">
        <x:v>PUBMED-40975435</x:v>
      </x:c>
      <x:c r="B218" s="28" t="str">
        <x:v>Individual Participant Data Meta-Analysis: Moderators of Response to Stimulants for Preschool Attention-Deficit/Hyperactivity Disorder.</x:v>
      </x:c>
      <x:c r="C218" s="28" t="str">
        <x:v>Farhat, Luis C; Sugaya, Luisa Shiguemi; Bloch, Michael H; Childress, Ann; Cortese, Samuele; Fatori, Daniel; Salum, Giovanni A; Rohde, Luis Augusto; Polanczyk, Guilherme V</x:v>
      </x:c>
      <x:c r="D218" s="28" t="n">
        <x:v>2026</x:v>
      </x:c>
      <x:c r="E218" s="28" t="str">
        <x:v>Journal of the American Academy of Child and Adolescent Psychiatry</x:v>
      </x:c>
      <x:c r="F218" s="28" t="str">
        <x:v>Evidence synthesis - meta-analysis</x:v>
      </x:c>
      <x:c r="G218" s="28" t="str">
        <x:v>Development &amp; presentation; Family &amp; education; Social &amp; structural; Treatment &amp; support</x:v>
      </x:c>
      <x:c r="H218" s="28" t="str">
        <x:v>Childhood; Aged 4-5 Years</x:v>
      </x:c>
      <x:c r="I218" s="28" t="str">
        <x:v>not reported/not verified</x:v>
      </x:c>
      <x:c r="J218" s="28" t="str">
        <x:v>not reported</x:v>
      </x:c>
      <x:c r="K218" s="28" t="str">
        <x:v>OBJECTIVE: This study aimed to identify moderators of efficacy of stimulants against placebo to inform personalized recommendations for treatment in preschool children (&lt;6 years of age) with attention-deficit/hyperactivity disorder (ADHD).</x:v>
      </x:c>
      <x:c r="L218" s="28" t="str">
        <x:v>10.1016/j.jaac.2025.09.012</x:v>
      </x:c>
      <x:c r="M218" s="28" t="str">
        <x:v>40975435</x:v>
      </x:c>
      <x:c r="N218" s="31" t="e">
        <x:f>HYPERLINK("https://pubmed.ncbi.nlm.nih.gov/"&amp;M218&amp;"/","Open PubMed")</x:f>
        <x:v>HYPERLINK is not implemented. linkLocation=https://pubmed.ncbi.nlm.nih.gov/40975435/, friendlyName=Open PubMed</x:v>
      </x:c>
      <x:c r="O218" s="31" t="str">
        <x:v>not reported</x:v>
      </x:c>
      <x:c r="P218" s="28" t="str">
        <x:v>abstract only</x:v>
      </x:c>
      <x:c r="Q218" s="28" t="str">
        <x:v>PubMed/MEDLINE export supplied by user | query: not verified from export; see Protocol sheet for reproducible recommended query</x:v>
      </x:c>
      <x:c r="R218" s="28" t="str">
        <x:v>Batch 1 core</x:v>
      </x:c>
      <x:c r="S218" s="28" t="str">
        <x:v>Direct ADHD evidence synthesis/guideline with broad multi-topic relevance.</x:v>
      </x:c>
      <x:c r="T218" s="28" t="str">
        <x:v>PATS / Preschool ADHD Treatment Study</x:v>
      </x:c>
      <x:c r="U218" s="28" t="str">
        <x:v>none identified in MEDLINE record</x:v>
      </x:c>
      <x:c r="V218" s="26" t="str">
        <x:v>not reported</x:v>
      </x:c>
      <x:c r="W218" s="28" t="str">
        <x:v>No PMC copy identified; publisher PDF/access must be checked</x:v>
      </x:c>
      <x:c r="X218" s="28" t="str">
        <x:v>Not verified</x:v>
      </x:c>
      <x:c r="Y218" s="31" t="str">
        <x:f>IF(V218="not reported","not reported",HYPERLINK("https://pmc.ncbi.nlm.nih.gov/articles/"&amp;V218&amp;"/","Open Full Text"))</x:f>
        <x:v>not reported</x:v>
      </x:c>
      <x:c r="Z218" s="31" t="e">
        <x:f>IF(L218="not reported","not reported",HYPERLINK("https://doi.org/"&amp;L218,"Open Publisher"))</x:f>
        <x:v>HYPERLINK is not implemented. linkLocation=https://doi.org/10.1016/j.jaac.2025.09.012, friendlyName=Open Publisher</x:v>
      </x:c>
      <x:c r="AA218" s="28" t="str">
        <x:v>DOI present in PubMed/MEDLINE; no PMCID present.</x:v>
      </x:c>
      <x:c r="AB218" s="28" t="str">
        <x:v>Open the DOI/publisher page. If PDF is paywalled, try Stony Brook Library access, Article Galaxy, or interlibrary loan.</x:v>
      </x:c>
      <x:c r="AC218" s="26" t="str">
        <x:v>2026-09-20</x:v>
      </x:c>
    </x:row>
    <x:row r="219">
      <x:c r="A219" s="26" t="str">
        <x:v>PUBMED-40962063</x:v>
      </x:c>
      <x:c r="B219" s="28" t="str">
        <x:v>Alterations in gray matter volume and cortical thickness in medication-naive offspring with ADHD and a parental history of bipolar disorder.</x:v>
      </x:c>
      <x:c r="C219" s="28" t="str">
        <x:v>Lu, Rui; Deng, Yu; Qin, Yuchun; Lou, Yuanju; Zeng, Hehua; Tan, Songtao; Xu, Lvqin; Xu, Guiyun; Lv, Yuanyuan</x:v>
      </x:c>
      <x:c r="D219" s="28" t="n">
        <x:v>2026</x:v>
      </x:c>
      <x:c r="E219" s="28" t="str">
        <x:v>Journal of affective disorders</x:v>
      </x:c>
      <x:c r="F219" s="28" t="str">
        <x:v>Primary study - cohort</x:v>
      </x:c>
      <x:c r="G219" s="28" t="str">
        <x:v>Development &amp; presentation; Recognition &amp; diagnosis; Family &amp; education; Social &amp; structural; Treatment &amp; support; Historical &amp; contemporary context</x:v>
      </x:c>
      <x:c r="H219" s="28" t="str">
        <x:v>Childhood; Adolescence; aged 8 to 15 years</x:v>
      </x:c>
      <x:c r="I219" s="28" t="str">
        <x:v>not reported/not verified</x:v>
      </x:c>
      <x:c r="J219" s="28" t="str">
        <x:v>not reported</x:v>
      </x:c>
      <x:c r="K219" s="28" t="str">
        <x:v>BACKGROUND: Bipolar disorder (BD) is a high heritability rate mental disorder.</x:v>
      </x:c>
      <x:c r="L219" s="28" t="str">
        <x:v>10.1016/j.jad.2025.120322</x:v>
      </x:c>
      <x:c r="M219" s="28" t="str">
        <x:v>40962063</x:v>
      </x:c>
      <x:c r="N219" s="31" t="e">
        <x:f>HYPERLINK("https://pubmed.ncbi.nlm.nih.gov/"&amp;M219&amp;"/","Open PubMed")</x:f>
        <x:v>HYPERLINK is not implemented. linkLocation=https://pubmed.ncbi.nlm.nih.gov/40962063/, friendlyName=Open PubMed</x:v>
      </x:c>
      <x:c r="O219" s="31" t="str">
        <x:v>not reported</x:v>
      </x:c>
      <x:c r="P219" s="28" t="str">
        <x:v>abstract only</x:v>
      </x:c>
      <x:c r="Q219" s="28" t="str">
        <x:v>PubMed/MEDLINE export supplied by user | query: not verified from export; see Protocol sheet for reproducible recommended query</x:v>
      </x:c>
      <x:c r="R219" s="28" t="str">
        <x:v>Batch 1 core</x:v>
      </x:c>
      <x:c r="S219" s="28" t="str">
        <x:v>Direct ADHD primary study on diagnosis, family/education, structural conditions, lived experience/outcomes, or environment/lifestyle.</x:v>
      </x:c>
      <x:c r="T219" s="28" t="str">
        <x:v>not apparent from accessed abstract/metadata</x:v>
      </x:c>
      <x:c r="U219" s="28" t="str">
        <x:v>none identified in MEDLINE record</x:v>
      </x:c>
      <x:c r="V219" s="26" t="str">
        <x:v>not reported</x:v>
      </x:c>
      <x:c r="W219" s="28" t="str">
        <x:v>No PMC copy identified; publisher PDF/access must be checked</x:v>
      </x:c>
      <x:c r="X219" s="28" t="str">
        <x:v>Not verified</x:v>
      </x:c>
      <x:c r="Y219" s="31" t="str">
        <x:f>IF(V219="not reported","not reported",HYPERLINK("https://pmc.ncbi.nlm.nih.gov/articles/"&amp;V219&amp;"/","Open Full Text"))</x:f>
        <x:v>not reported</x:v>
      </x:c>
      <x:c r="Z219" s="31" t="e">
        <x:f>IF(L219="not reported","not reported",HYPERLINK("https://doi.org/"&amp;L219,"Open Publisher"))</x:f>
        <x:v>HYPERLINK is not implemented. linkLocation=https://doi.org/10.1016/j.jad.2025.120322, friendlyName=Open Publisher</x:v>
      </x:c>
      <x:c r="AA219" s="28" t="str">
        <x:v>DOI present in PubMed/MEDLINE; no PMCID present.</x:v>
      </x:c>
      <x:c r="AB219" s="28" t="str">
        <x:v>Open the DOI/publisher page. If PDF is paywalled, try Stony Brook Library access, Article Galaxy, or interlibrary loan.</x:v>
      </x:c>
      <x:c r="AC219" s="26" t="str">
        <x:v>2026-09-20</x:v>
      </x:c>
    </x:row>
    <x:row r="220">
      <x:c r="A220" s="26" t="str">
        <x:v>PUBMED-40892097</x:v>
      </x:c>
      <x:c r="B220" s="28" t="str">
        <x:v>Indirect associations between adolescent ADHD and/or oppositional defiant disorder symptoms and adult incomes: the mediating roles of education and co-occurring psychiatric disorders.</x:v>
      </x:c>
      <x:c r="C220" s="28" t="str">
        <x:v>Seppä, Sampo; Huikari, Sanna; Korhonen, Marko; Nordström, Tanja; Hurtig, Tuula; Halt, Anu-Helmi</x:v>
      </x:c>
      <x:c r="D220" s="28" t="n">
        <x:v>2026</x:v>
      </x:c>
      <x:c r="E220" s="28" t="str">
        <x:v>European child &amp; adolescent psychiatry</x:v>
      </x:c>
      <x:c r="F220" s="28" t="str">
        <x:v>Primary study - cohort</x:v>
      </x:c>
      <x:c r="G220" s="28" t="str">
        <x:v>Development &amp; presentation; Family &amp; education; Social &amp; structural; Environmental &amp; lifestyle; Life outcomes &amp; lived experience</x:v>
      </x:c>
      <x:c r="H220" s="28" t="str">
        <x:v>Adolescence; Adulthood</x:v>
      </x:c>
      <x:c r="I220" s="28" t="str">
        <x:v>Geography (MeSH): Finland</x:v>
      </x:c>
      <x:c r="J220" s="28" t="str">
        <x:v>not reported</x:v>
      </x:c>
      <x:c r="K220" s="28" t="str">
        <x:v>This longitudinal, population-based cohort study examines the direct and indirect associations between adolescent Attention-Deficit/Hyperactivity Disorder (ADHD) and/or Oppositional Defiant Disorder (ODD) symptoms and adult incomes.</x:v>
      </x:c>
      <x:c r="L220" s="28" t="str">
        <x:v>10.1007/s00787-025-02842-2</x:v>
      </x:c>
      <x:c r="M220" s="28" t="str">
        <x:v>40892097</x:v>
      </x:c>
      <x:c r="N220" s="31" t="e">
        <x:f>HYPERLINK("https://pubmed.ncbi.nlm.nih.gov/"&amp;M220&amp;"/","Open PubMed")</x:f>
        <x:v>HYPERLINK is not implemented. linkLocation=https://pubmed.ncbi.nlm.nih.gov/40892097/, friendlyName=Open PubMed</x:v>
      </x:c>
      <x:c r="O220" s="31" t="e">
        <x:f>HYPERLINK("https://pmc.ncbi.nlm.nih.gov/articles/PMC12956917/","Open Full Text")</x:f>
        <x:v>HYPERLINK is not implemented. linkLocation=https://pmc.ncbi.nlm.nih.gov/articles/PMC12956917/, friendlyName=Open Full Text</x:v>
      </x:c>
      <x:c r="P220" s="28" t="str">
        <x:v>abstract only</x:v>
      </x:c>
      <x:c r="Q220" s="28" t="str">
        <x:v>PubMed/MEDLINE export supplied by user | query: not verified from export; see Protocol sheet for reproducible recommended query</x:v>
      </x:c>
      <x:c r="R220" s="28" t="str">
        <x:v>Batch 1 core</x:v>
      </x:c>
      <x:c r="S220" s="28" t="str">
        <x:v>Direct ADHD primary study on diagnosis, family/education, structural conditions, lived experience/outcomes, or environment/lifestyle.</x:v>
      </x:c>
      <x:c r="T220" s="28" t="str">
        <x:v>not apparent from accessed abstract/metadata</x:v>
      </x:c>
      <x:c r="U220" s="28" t="str">
        <x:v>none identified in MEDLINE record</x:v>
      </x:c>
      <x:c r="V220" s="26" t="str">
        <x:v>PMC12956917</x:v>
      </x:c>
      <x:c r="W220" s="28" t="str">
        <x:v>PDF available via PMC (verified free full text)</x:v>
      </x:c>
      <x:c r="X220" s="28" t="str">
        <x:v>Yes — PMC</x:v>
      </x:c>
      <x:c r="Y220" s="31" t="e">
        <x:f>IF(V220="not reported","not reported",HYPERLINK("https://pmc.ncbi.nlm.nih.gov/articles/"&amp;V220&amp;"/","Open Full Text"))</x:f>
        <x:v>HYPERLINK is not implemented. linkLocation=https://pmc.ncbi.nlm.nih.gov/articles/PMC12956917/, friendlyName=Open Full Text</x:v>
      </x:c>
      <x:c r="Z220" s="31" t="e">
        <x:f>IF(L220="not reported","not reported",HYPERLINK("https://doi.org/"&amp;L220,"Open Publisher"))</x:f>
        <x:v>HYPERLINK is not implemented. linkLocation=https://doi.org/10.1007/s00787-025-02842-2, friendlyName=Open Publisher</x:v>
      </x:c>
      <x:c r="AA220" s="28" t="str">
        <x:v>PMCID PMC12956917 present in the PubMed/MEDLINE record.</x:v>
      </x:c>
      <x:c r="AB220" s="28" t="str">
        <x:v>Open the PMC full-text page and use its PDF button/download option.</x:v>
      </x:c>
      <x:c r="AC220" s="26" t="str">
        <x:v>2026-09-20</x:v>
      </x:c>
    </x:row>
    <x:row r="221">
      <x:c r="A221" s="26" t="str">
        <x:v>PUBMED-40828192</x:v>
      </x:c>
      <x:c r="B221" s="28" t="str">
        <x:v>Microbiome dynamics in attention-deficit hyperactivity disorder: A systematic review and meta-analysis decoding the role of gut dysbiosis and potential dietary interventions.</x:v>
      </x:c>
      <x:c r="C221" s="28" t="str">
        <x:v>Ghosh, Sourav; Singh, Shelly</x:v>
      </x:c>
      <x:c r="D221" s="28" t="n">
        <x:v>2026</x:v>
      </x:c>
      <x:c r="E221" s="28" t="str">
        <x:v>European child &amp; adolescent psychiatry</x:v>
      </x:c>
      <x:c r="F221" s="28" t="str">
        <x:v>Evidence synthesis - meta-analysis</x:v>
      </x:c>
      <x:c r="G221" s="28" t="str">
        <x:v>Development &amp; presentation; Social &amp; structural; Environmental &amp; lifestyle; Treatment &amp; support</x:v>
      </x:c>
      <x:c r="H221" s="28" t="str">
        <x:v>Childhood</x:v>
      </x:c>
      <x:c r="I221" s="28" t="str">
        <x:v>not reported/not verified</x:v>
      </x:c>
      <x:c r="J221" s="28" t="str">
        <x:v>not reported</x:v>
      </x:c>
      <x:c r="K221" s="28" t="str">
        <x:v>The purpose of this meta-analysis is to compare the gut microbiome composition of ADHD children to that of neurotypical controls, as well as to assess the efficacy of dietary treatments in treating ADHD symptoms.</x:v>
      </x:c>
      <x:c r="L221" s="28" t="str">
        <x:v>10.1007/s00787-025-02822-6</x:v>
      </x:c>
      <x:c r="M221" s="28" t="str">
        <x:v>40828192</x:v>
      </x:c>
      <x:c r="N221" s="31" t="e">
        <x:f>HYPERLINK("https://pubmed.ncbi.nlm.nih.gov/"&amp;M221&amp;"/","Open PubMed")</x:f>
        <x:v>HYPERLINK is not implemented. linkLocation=https://pubmed.ncbi.nlm.nih.gov/40828192/, friendlyName=Open PubMed</x:v>
      </x:c>
      <x:c r="O221" s="31" t="str">
        <x:v>not reported</x:v>
      </x:c>
      <x:c r="P221" s="28" t="str">
        <x:v>abstract only</x:v>
      </x:c>
      <x:c r="Q221" s="28" t="str">
        <x:v>PubMed/MEDLINE export supplied by user | query: not verified from export; see Protocol sheet for reproducible recommended query</x:v>
      </x:c>
      <x:c r="R221" s="28" t="str">
        <x:v>Batch 1 core</x:v>
      </x:c>
      <x:c r="S221" s="28" t="str">
        <x:v>Direct ADHD evidence synthesis/guideline with broad multi-topic relevance.</x:v>
      </x:c>
      <x:c r="T221" s="28" t="str">
        <x:v>not apparent from accessed abstract/metadata</x:v>
      </x:c>
      <x:c r="U221" s="28" t="str">
        <x:v>none identified in MEDLINE record</x:v>
      </x:c>
      <x:c r="V221" s="26" t="str">
        <x:v>not reported</x:v>
      </x:c>
      <x:c r="W221" s="28" t="str">
        <x:v>No PMC copy identified; publisher PDF/access must be checked</x:v>
      </x:c>
      <x:c r="X221" s="28" t="str">
        <x:v>Not verified</x:v>
      </x:c>
      <x:c r="Y221" s="31" t="str">
        <x:f>IF(V221="not reported","not reported",HYPERLINK("https://pmc.ncbi.nlm.nih.gov/articles/"&amp;V221&amp;"/","Open Full Text"))</x:f>
        <x:v>not reported</x:v>
      </x:c>
      <x:c r="Z221" s="31" t="e">
        <x:f>IF(L221="not reported","not reported",HYPERLINK("https://doi.org/"&amp;L221,"Open Publisher"))</x:f>
        <x:v>HYPERLINK is not implemented. linkLocation=https://doi.org/10.1007/s00787-025-02822-6, friendlyName=Open Publisher</x:v>
      </x:c>
      <x:c r="AA221" s="28" t="str">
        <x:v>DOI present in PubMed/MEDLINE; no PMCID present.</x:v>
      </x:c>
      <x:c r="AB221" s="28" t="str">
        <x:v>Open the DOI/publisher page. If PDF is paywalled, try Stony Brook Library access, Article Galaxy, or interlibrary loan.</x:v>
      </x:c>
      <x:c r="AC221" s="26" t="str">
        <x:v>2026-09-20</x:v>
      </x:c>
    </x:row>
    <x:row r="222">
      <x:c r="A222" s="26" t="str">
        <x:v>PUBMED-40775061</x:v>
      </x:c>
      <x:c r="B222" s="28" t="str">
        <x:v>Beyond binary comparisons: a Bayesian dose-response meta-analysis of exercise on executive function in children and adolescents with ADHD.</x:v>
      </x:c>
      <x:c r="C222" s="28" t="str">
        <x:v>Pan, Qiuxue; Zheng, Shaoqi; He, Pengwei</x:v>
      </x:c>
      <x:c r="D222" s="28" t="n">
        <x:v>2026</x:v>
      </x:c>
      <x:c r="E222" s="28" t="str">
        <x:v>Pediatric research</x:v>
      </x:c>
      <x:c r="F222" s="28" t="str">
        <x:v>Evidence synthesis - meta-analysis</x:v>
      </x:c>
      <x:c r="G222" s="28" t="str">
        <x:v>Development &amp; presentation; Social &amp; structural; Environmental &amp; lifestyle; Treatment &amp; support</x:v>
      </x:c>
      <x:c r="H222" s="28" t="str">
        <x:v>Childhood; Adolescence</x:v>
      </x:c>
      <x:c r="I222" s="28" t="str">
        <x:v>not reported/not verified</x:v>
      </x:c>
      <x:c r="J222" s="28" t="str">
        <x:v>not reported</x:v>
      </x:c>
      <x:c r="K222" s="28" t="str">
        <x:v>OBJECTIVE: This study aimed to systematically evaluate the acute and long-term effects of exercise interventions on executive function in children and adolescents with attention-deficit/hyperactivity disorder (ADHD), using Bayesian dose-response modelling to identify optimal dose ranges and modality-specific effects.</x:v>
      </x:c>
      <x:c r="L222" s="28" t="str">
        <x:v>10.1038/s41390-025-04325-1</x:v>
      </x:c>
      <x:c r="M222" s="28" t="str">
        <x:v>40775061</x:v>
      </x:c>
      <x:c r="N222" s="31" t="e">
        <x:f>HYPERLINK("https://pubmed.ncbi.nlm.nih.gov/"&amp;M222&amp;"/","Open PubMed")</x:f>
        <x:v>HYPERLINK is not implemented. linkLocation=https://pubmed.ncbi.nlm.nih.gov/40775061/, friendlyName=Open PubMed</x:v>
      </x:c>
      <x:c r="O222" s="31" t="str">
        <x:v>not reported</x:v>
      </x:c>
      <x:c r="P222" s="28" t="str">
        <x:v>abstract only</x:v>
      </x:c>
      <x:c r="Q222" s="28" t="str">
        <x:v>PubMed/MEDLINE export supplied by user | query: not verified from export; see Protocol sheet for reproducible recommended query</x:v>
      </x:c>
      <x:c r="R222" s="28" t="str">
        <x:v>Batch 1 core</x:v>
      </x:c>
      <x:c r="S222" s="28" t="str">
        <x:v>Direct ADHD evidence synthesis/guideline with broad multi-topic relevance.</x:v>
      </x:c>
      <x:c r="T222" s="28" t="str">
        <x:v>not apparent from accessed abstract/metadata</x:v>
      </x:c>
      <x:c r="U222" s="28" t="str">
        <x:v>none identified in MEDLINE record</x:v>
      </x:c>
      <x:c r="V222" s="26" t="str">
        <x:v>not reported</x:v>
      </x:c>
      <x:c r="W222" s="28" t="str">
        <x:v>No PMC copy identified; publisher PDF/access must be checked</x:v>
      </x:c>
      <x:c r="X222" s="28" t="str">
        <x:v>Not verified</x:v>
      </x:c>
      <x:c r="Y222" s="31" t="str">
        <x:f>IF(V222="not reported","not reported",HYPERLINK("https://pmc.ncbi.nlm.nih.gov/articles/"&amp;V222&amp;"/","Open Full Text"))</x:f>
        <x:v>not reported</x:v>
      </x:c>
      <x:c r="Z222" s="31" t="e">
        <x:f>IF(L222="not reported","not reported",HYPERLINK("https://doi.org/"&amp;L222,"Open Publisher"))</x:f>
        <x:v>HYPERLINK is not implemented. linkLocation=https://doi.org/10.1038/s41390-025-04325-1, friendlyName=Open Publisher</x:v>
      </x:c>
      <x:c r="AA222" s="28" t="str">
        <x:v>DOI present in PubMed/MEDLINE; no PMCID present.</x:v>
      </x:c>
      <x:c r="AB222" s="28" t="str">
        <x:v>Open the DOI/publisher page. If PDF is paywalled, try Stony Brook Library access, Article Galaxy, or interlibrary loan.</x:v>
      </x:c>
      <x:c r="AC222" s="26" t="str">
        <x:v>2026-09-20</x:v>
      </x:c>
    </x:row>
    <x:row r="223">
      <x:c r="A223" s="26" t="str">
        <x:v>PUBMED-40701403</x:v>
      </x:c>
      <x:c r="B223" s="28" t="str">
        <x:v>Noninvasive Brain Stimulation in Attention-Deficit/Hyperactivity Disorder: A Systematic Review and Meta-Analysis of Treatment Efficacy and Targeting Strategies.</x:v>
      </x:c>
      <x:c r="C223" s="28" t="str">
        <x:v>Chen, Qiuxing; Pan, Nanfang; Long, Yajing; Qin, Kun; Sangchooli, Arshiya; Cao, Ying; Singh, Manpreet K; Chen, Ying; Gong, Qiyong</x:v>
      </x:c>
      <x:c r="D223" s="28" t="n">
        <x:v>2026</x:v>
      </x:c>
      <x:c r="E223" s="28" t="str">
        <x:v>Journal of the American Academy of Child and Adolescent Psychiatry</x:v>
      </x:c>
      <x:c r="F223" s="28" t="str">
        <x:v>Evidence synthesis - meta-analysis</x:v>
      </x:c>
      <x:c r="G223" s="28" t="str">
        <x:v>Development &amp; presentation; Social &amp; structural; Treatment &amp; support; Life outcomes &amp; lived experience; Historical &amp; contemporary context</x:v>
      </x:c>
      <x:c r="H223" s="28" t="str">
        <x:v>Childhood</x:v>
      </x:c>
      <x:c r="I223" s="28" t="str">
        <x:v>not reported/not verified</x:v>
      </x:c>
      <x:c r="J223" s="28" t="str">
        <x:v>not reported</x:v>
      </x:c>
      <x:c r="K223" s="28" t="str">
        <x:v>OBJECTIVE: Noninvasive brain stimulation (NIBS) has emerged as a promising novel treatment for attention-deficit/hyperactivity disorder (ADHD).</x:v>
      </x:c>
      <x:c r="L223" s="28" t="str">
        <x:v>10.1016/j.jaac.2025.07.009</x:v>
      </x:c>
      <x:c r="M223" s="28" t="str">
        <x:v>40701403</x:v>
      </x:c>
      <x:c r="N223" s="31" t="e">
        <x:f>HYPERLINK("https://pubmed.ncbi.nlm.nih.gov/"&amp;M223&amp;"/","Open PubMed")</x:f>
        <x:v>HYPERLINK is not implemented. linkLocation=https://pubmed.ncbi.nlm.nih.gov/40701403/, friendlyName=Open PubMed</x:v>
      </x:c>
      <x:c r="O223" s="31" t="str">
        <x:v>not reported</x:v>
      </x:c>
      <x:c r="P223" s="28" t="str">
        <x:v>abstract only</x:v>
      </x:c>
      <x:c r="Q223" s="28" t="str">
        <x:v>PubMed/MEDLINE export supplied by user | query: not verified from export; see Protocol sheet for reproducible recommended query</x:v>
      </x:c>
      <x:c r="R223" s="28" t="str">
        <x:v>Batch 1 core</x:v>
      </x:c>
      <x:c r="S223" s="28" t="str">
        <x:v>Direct ADHD evidence synthesis/guideline with broad multi-topic relevance.</x:v>
      </x:c>
      <x:c r="T223" s="28" t="str">
        <x:v>not apparent from accessed abstract/metadata</x:v>
      </x:c>
      <x:c r="U223" s="28" t="str">
        <x:v>none identified in MEDLINE record</x:v>
      </x:c>
      <x:c r="V223" s="26" t="str">
        <x:v>not reported</x:v>
      </x:c>
      <x:c r="W223" s="28" t="str">
        <x:v>No PMC copy identified; publisher PDF/access must be checked</x:v>
      </x:c>
      <x:c r="X223" s="28" t="str">
        <x:v>Not verified</x:v>
      </x:c>
      <x:c r="Y223" s="31" t="str">
        <x:f>IF(V223="not reported","not reported",HYPERLINK("https://pmc.ncbi.nlm.nih.gov/articles/"&amp;V223&amp;"/","Open Full Text"))</x:f>
        <x:v>not reported</x:v>
      </x:c>
      <x:c r="Z223" s="31" t="e">
        <x:f>IF(L223="not reported","not reported",HYPERLINK("https://doi.org/"&amp;L223,"Open Publisher"))</x:f>
        <x:v>HYPERLINK is not implemented. linkLocation=https://doi.org/10.1016/j.jaac.2025.07.009, friendlyName=Open Publisher</x:v>
      </x:c>
      <x:c r="AA223" s="28" t="str">
        <x:v>DOI present in PubMed/MEDLINE; no PMCID present.</x:v>
      </x:c>
      <x:c r="AB223" s="28" t="str">
        <x:v>Open the DOI/publisher page. If PDF is paywalled, try Stony Brook Library access, Article Galaxy, or interlibrary loan.</x:v>
      </x:c>
      <x:c r="AC223" s="26" t="str">
        <x:v>2026-09-20</x:v>
      </x:c>
    </x:row>
    <x:row r="224">
      <x:c r="A224" s="26" t="str">
        <x:v>PUBMED-40287009</x:v>
      </x:c>
      <x:c r="B224" s="28" t="str">
        <x:v>Systematic Review and Meta-Analysis: Predictors of Adult Psychiatric Outcomes of Childhood Attention-Deficit/Hyperactivity Disorder.</x:v>
      </x:c>
      <x:c r="C224" s="28" t="str">
        <x:v>van der Plas, Noa E; Noordermeer, Siri D S; Oosterlaan, Jaap; Luman, Marjolein</x:v>
      </x:c>
      <x:c r="D224" s="28" t="n">
        <x:v>2026</x:v>
      </x:c>
      <x:c r="E224" s="28" t="str">
        <x:v>Journal of the American Academy of Child and Adolescent Psychiatry</x:v>
      </x:c>
      <x:c r="F224" s="28" t="str">
        <x:v>Evidence synthesis - meta-analysis</x:v>
      </x:c>
      <x:c r="G224" s="28" t="str">
        <x:v>Development &amp; presentation; Recognition &amp; diagnosis; Social &amp; structural; Treatment &amp; support; Life outcomes &amp; lived experience; Historical &amp; contemporary context</x:v>
      </x:c>
      <x:c r="H224" s="28" t="str">
        <x:v>Childhood; Adulthood</x:v>
      </x:c>
      <x:c r="I224" s="28" t="str">
        <x:v>not reported/not verified</x:v>
      </x:c>
      <x:c r="J224" s="28" t="str">
        <x:v>not reported</x:v>
      </x:c>
      <x:c r="K224" s="28" t="str">
        <x:v>OBJECTIVE: Psychiatric disorders are highly prevalent in adults with childhood-onset attention-deficit/hyperactivity disorder (ADHD).</x:v>
      </x:c>
      <x:c r="L224" s="28" t="str">
        <x:v>10.1016/j.jaac.2025.04.012</x:v>
      </x:c>
      <x:c r="M224" s="28" t="str">
        <x:v>40287009</x:v>
      </x:c>
      <x:c r="N224" s="31" t="e">
        <x:f>HYPERLINK("https://pubmed.ncbi.nlm.nih.gov/"&amp;M224&amp;"/","Open PubMed")</x:f>
        <x:v>HYPERLINK is not implemented. linkLocation=https://pubmed.ncbi.nlm.nih.gov/40287009/, friendlyName=Open PubMed</x:v>
      </x:c>
      <x:c r="O224" s="31" t="str">
        <x:v>not reported</x:v>
      </x:c>
      <x:c r="P224" s="28" t="str">
        <x:v>abstract only</x:v>
      </x:c>
      <x:c r="Q224" s="28" t="str">
        <x:v>PubMed/MEDLINE export supplied by user | query: not verified from export; see Protocol sheet for reproducible recommended query</x:v>
      </x:c>
      <x:c r="R224" s="28" t="str">
        <x:v>Batch 1 core</x:v>
      </x:c>
      <x:c r="S224" s="28" t="str">
        <x:v>Direct ADHD evidence synthesis/guideline with broad multi-topic relevance.</x:v>
      </x:c>
      <x:c r="T224" s="28" t="str">
        <x:v>not apparent from accessed abstract/metadata</x:v>
      </x:c>
      <x:c r="U224" s="28" t="str">
        <x:v>none identified in MEDLINE record</x:v>
      </x:c>
      <x:c r="V224" s="26" t="str">
        <x:v>not reported</x:v>
      </x:c>
      <x:c r="W224" s="28" t="str">
        <x:v>No PMC copy identified; publisher PDF/access must be checked</x:v>
      </x:c>
      <x:c r="X224" s="28" t="str">
        <x:v>Not verified</x:v>
      </x:c>
      <x:c r="Y224" s="31" t="str">
        <x:f>IF(V224="not reported","not reported",HYPERLINK("https://pmc.ncbi.nlm.nih.gov/articles/"&amp;V224&amp;"/","Open Full Text"))</x:f>
        <x:v>not reported</x:v>
      </x:c>
      <x:c r="Z224" s="31" t="e">
        <x:f>IF(L224="not reported","not reported",HYPERLINK("https://doi.org/"&amp;L224,"Open Publisher"))</x:f>
        <x:v>HYPERLINK is not implemented. linkLocation=https://doi.org/10.1016/j.jaac.2025.04.012, friendlyName=Open Publisher</x:v>
      </x:c>
      <x:c r="AA224" s="28" t="str">
        <x:v>DOI present in PubMed/MEDLINE; no PMCID present.</x:v>
      </x:c>
      <x:c r="AB224" s="28" t="str">
        <x:v>Open the DOI/publisher page. If PDF is paywalled, try Stony Brook Library access, Article Galaxy, or interlibrary loan.</x:v>
      </x:c>
      <x:c r="AC224" s="26" t="str">
        <x:v>2026-09-20</x:v>
      </x:c>
    </x:row>
    <x:row r="225">
      <x:c r="A225" s="26" t="str">
        <x:v>PUBMED-39752609</x:v>
      </x:c>
      <x:c r="B225" s="28" t="str">
        <x:v>Are parents with bipolar disorder at higher risk of having offspring with ADHD? A systematic review.</x:v>
      </x:c>
      <x:c r="C225" s="28" t="str">
        <x:v>Ferreira, Leandro L; Nardi, Antonio E; Quagliato, Laiana A</x:v>
      </x:c>
      <x:c r="D225" s="28" t="n">
        <x:v>2026</x:v>
      </x:c>
      <x:c r="E225" s="28" t="str">
        <x:v>Trends in psychiatry and psychotherapy</x:v>
      </x:c>
      <x:c r="F225" s="28" t="str">
        <x:v>Evidence synthesis - systematic review</x:v>
      </x:c>
      <x:c r="G225" s="28" t="str">
        <x:v>Development &amp; presentation; Recognition &amp; diagnosis; Family &amp; education; Social &amp; structural; Life outcomes &amp; lived experience</x:v>
      </x:c>
      <x:c r="H225" s="28" t="str">
        <x:v>Childhood</x:v>
      </x:c>
      <x:c r="I225" s="28" t="str">
        <x:v>not reported/not verified</x:v>
      </x:c>
      <x:c r="J225" s="28" t="str">
        <x:v>not reported</x:v>
      </x:c>
      <x:c r="K225" s="28" t="str">
        <x:v>OBJECTIVE: The offspring of parents with bipolar disorder (BD) and with attention deficit hyperactivity disorder (ADHD) have a higher risk of having the same condition.</x:v>
      </x:c>
      <x:c r="L225" s="28" t="str">
        <x:v>10.47626/2237-6089-2024-0797</x:v>
      </x:c>
      <x:c r="M225" s="28" t="str">
        <x:v>39752609</x:v>
      </x:c>
      <x:c r="N225" s="31" t="e">
        <x:f>HYPERLINK("https://pubmed.ncbi.nlm.nih.gov/"&amp;M225&amp;"/","Open PubMed")</x:f>
        <x:v>HYPERLINK is not implemented. linkLocation=https://pubmed.ncbi.nlm.nih.gov/39752609/, friendlyName=Open PubMed</x:v>
      </x:c>
      <x:c r="O225" s="31" t="str">
        <x:v>not reported</x:v>
      </x:c>
      <x:c r="P225" s="28" t="str">
        <x:v>abstract only</x:v>
      </x:c>
      <x:c r="Q225" s="28" t="str">
        <x:v>PubMed/MEDLINE export supplied by user | query: not verified from export; see Protocol sheet for reproducible recommended query</x:v>
      </x:c>
      <x:c r="R225" s="28" t="str">
        <x:v>Batch 1 core</x:v>
      </x:c>
      <x:c r="S225" s="28" t="str">
        <x:v>Direct ADHD evidence synthesis/guideline with broad multi-topic relevance.</x:v>
      </x:c>
      <x:c r="T225" s="28" t="str">
        <x:v>not apparent from accessed abstract/metadata</x:v>
      </x:c>
      <x:c r="U225" s="28" t="str">
        <x:v>none identified in MEDLINE record</x:v>
      </x:c>
      <x:c r="V225" s="26" t="str">
        <x:v>not reported</x:v>
      </x:c>
      <x:c r="W225" s="28" t="str">
        <x:v>No PMC copy identified; publisher PDF/access must be checked</x:v>
      </x:c>
      <x:c r="X225" s="28" t="str">
        <x:v>Not verified</x:v>
      </x:c>
      <x:c r="Y225" s="31" t="str">
        <x:f>IF(V225="not reported","not reported",HYPERLINK("https://pmc.ncbi.nlm.nih.gov/articles/"&amp;V225&amp;"/","Open Full Text"))</x:f>
        <x:v>not reported</x:v>
      </x:c>
      <x:c r="Z225" s="31" t="e">
        <x:f>IF(L225="not reported","not reported",HYPERLINK("https://doi.org/"&amp;L225,"Open Publisher"))</x:f>
        <x:v>HYPERLINK is not implemented. linkLocation=https://doi.org/10.47626/2237-6089-2024-0797, friendlyName=Open Publisher</x:v>
      </x:c>
      <x:c r="AA225" s="28" t="str">
        <x:v>DOI present in PubMed/MEDLINE; no PMCID present.</x:v>
      </x:c>
      <x:c r="AB225" s="28" t="str">
        <x:v>Open the DOI/publisher page. If PDF is paywalled, try Stony Brook Library access, Article Galaxy, or interlibrary loan.</x:v>
      </x:c>
      <x:c r="AC225" s="26" t="str">
        <x:v>2026-09-20</x:v>
      </x:c>
    </x:row>
    <x:row r="226">
      <x:c r="A226" s="26" t="str">
        <x:v>PUBMED-39485594</x:v>
      </x:c>
      <x:c r="B226" s="28" t="str">
        <x:v>Sleep Problems in Children with ADHD: Associations with Internalizing Symptoms and Physical Activity.</x:v>
      </x:c>
      <x:c r="C226" s="28" t="str">
        <x:v>Liang, Xiao; Zhao, Mengping; Su, Li; Haegele, Justin A; Xu, Richard H; Li, Jiayue; Guo, Jinxian; Tse, Andy Choi-Yeung; Li, Shirley X; Shum, David H K</x:v>
      </x:c>
      <x:c r="D226" s="28" t="n">
        <x:v>2026</x:v>
      </x:c>
      <x:c r="E226" s="28" t="str">
        <x:v>Journal of autism and developmental disorders</x:v>
      </x:c>
      <x:c r="F226" s="28" t="str">
        <x:v>Primary study - cross-sectional</x:v>
      </x:c>
      <x:c r="G226" s="28" t="str">
        <x:v>Development &amp; presentation; Social &amp; structural; Environmental &amp; lifestyle</x:v>
      </x:c>
      <x:c r="H226" s="28" t="str">
        <x:v>Childhood</x:v>
      </x:c>
      <x:c r="I226" s="28" t="str">
        <x:v>not reported/not verified</x:v>
      </x:c>
      <x:c r="J226" s="28" t="str">
        <x:v>not reported</x:v>
      </x:c>
      <x:c r="K226" s="28" t="str">
        <x:v>This study aimed to examine the association of sleep problems and physical activity with internalizing symptoms in children with ADHD.</x:v>
      </x:c>
      <x:c r="L226" s="28" t="str">
        <x:v>10.1007/s10803-024-06623-9</x:v>
      </x:c>
      <x:c r="M226" s="28" t="str">
        <x:v>39485594</x:v>
      </x:c>
      <x:c r="N226" s="31" t="e">
        <x:f>HYPERLINK("https://pubmed.ncbi.nlm.nih.gov/"&amp;M226&amp;"/","Open PubMed")</x:f>
        <x:v>HYPERLINK is not implemented. linkLocation=https://pubmed.ncbi.nlm.nih.gov/39485594/, friendlyName=Open PubMed</x:v>
      </x:c>
      <x:c r="O226" s="31" t="e">
        <x:f>HYPERLINK("https://pmc.ncbi.nlm.nih.gov/articles/PMC12935720/","Open Full Text")</x:f>
        <x:v>HYPERLINK is not implemented. linkLocation=https://pmc.ncbi.nlm.nih.gov/articles/PMC12935720/, friendlyName=Open Full Text</x:v>
      </x:c>
      <x:c r="P226" s="28" t="str">
        <x:v>abstract only</x:v>
      </x:c>
      <x:c r="Q226" s="28" t="str">
        <x:v>PubMed/MEDLINE export supplied by user | query: not verified from export; see Protocol sheet for reproducible recommended query</x:v>
      </x:c>
      <x:c r="R226" s="28" t="str">
        <x:v>Batch 1 core</x:v>
      </x:c>
      <x:c r="S226" s="28" t="str">
        <x:v>Direct ADHD primary study on diagnosis, family/education, structural conditions, lived experience/outcomes, or environment/lifestyle.</x:v>
      </x:c>
      <x:c r="T226" s="28" t="str">
        <x:v>not apparent from accessed abstract/metadata</x:v>
      </x:c>
      <x:c r="U226" s="28" t="str">
        <x:v>none identified in MEDLINE record</x:v>
      </x:c>
      <x:c r="V226" s="26" t="str">
        <x:v>PMC12935720</x:v>
      </x:c>
      <x:c r="W226" s="28" t="str">
        <x:v>PDF available via PMC (verified free full text)</x:v>
      </x:c>
      <x:c r="X226" s="28" t="str">
        <x:v>Yes — PMC</x:v>
      </x:c>
      <x:c r="Y226" s="31" t="e">
        <x:f>IF(V226="not reported","not reported",HYPERLINK("https://pmc.ncbi.nlm.nih.gov/articles/"&amp;V226&amp;"/","Open Full Text"))</x:f>
        <x:v>HYPERLINK is not implemented. linkLocation=https://pmc.ncbi.nlm.nih.gov/articles/PMC12935720/, friendlyName=Open Full Text</x:v>
      </x:c>
      <x:c r="Z226" s="31" t="e">
        <x:f>IF(L226="not reported","not reported",HYPERLINK("https://doi.org/"&amp;L226,"Open Publisher"))</x:f>
        <x:v>HYPERLINK is not implemented. linkLocation=https://doi.org/10.1007/s10803-024-06623-9, friendlyName=Open Publisher</x:v>
      </x:c>
      <x:c r="AA226" s="28" t="str">
        <x:v>PMCID PMC12935720 present in the PubMed/MEDLINE record.</x:v>
      </x:c>
      <x:c r="AB226" s="28" t="str">
        <x:v>Open the PMC full-text page and use its PDF button/download option.</x:v>
      </x:c>
      <x:c r="AC226" s="26" t="str">
        <x:v>2026-09-20</x:v>
      </x:c>
    </x:row>
    <x:row r="227">
      <x:c r="A227" s="26" t="str">
        <x:v>PUBMED-38992329</x:v>
      </x:c>
      <x:c r="B227" s="28" t="str">
        <x:v>The Association Between the Impact of COVID-19 and Internalizing Problems Among Children and Adolescents with ADHD: The Moderating Role of Parental Anxiety.</x:v>
      </x:c>
      <x:c r="C227" s="28" t="str">
        <x:v>Gowans, Lauren; Ritchie, Tessa; Rogers, Maria A; Jiang, Yuanyuan; Climie, Emma A; Mah, Janet W T; Corkum, Penny; Krause, Amanda; Parvanova, Marina</x:v>
      </x:c>
      <x:c r="D227" s="28" t="n">
        <x:v>2026</x:v>
      </x:c>
      <x:c r="E227" s="28" t="str">
        <x:v>Child psychiatry and human development</x:v>
      </x:c>
      <x:c r="F227" s="28" t="str">
        <x:v>Primary study - cross-sectional</x:v>
      </x:c>
      <x:c r="G227" s="28" t="str">
        <x:v>Development &amp; presentation; Family &amp; education; Life outcomes &amp; lived experience; Historical &amp; contemporary context</x:v>
      </x:c>
      <x:c r="H227" s="28" t="str">
        <x:v>Childhood; Adolescence; aged 3-18 years</x:v>
      </x:c>
      <x:c r="I227" s="28" t="str">
        <x:v>Geography (MeSH): Canada</x:v>
      </x:c>
      <x:c r="J227" s="28" t="str">
        <x:v>not reported</x:v>
      </x:c>
      <x:c r="K227" s="28" t="str">
        <x:v>Previous research has identified an increase in internalizing problems during the COVID-19 pandemic in children and adolescents with attention-deficit/hyperactivity disorder (ADHD).</x:v>
      </x:c>
      <x:c r="L227" s="28" t="str">
        <x:v>10.1007/s10578-024-01732-z</x:v>
      </x:c>
      <x:c r="M227" s="28" t="str">
        <x:v>38992329</x:v>
      </x:c>
      <x:c r="N227" s="31" t="e">
        <x:f>HYPERLINK("https://pubmed.ncbi.nlm.nih.gov/"&amp;M227&amp;"/","Open PubMed")</x:f>
        <x:v>HYPERLINK is not implemented. linkLocation=https://pubmed.ncbi.nlm.nih.gov/38992329/, friendlyName=Open PubMed</x:v>
      </x:c>
      <x:c r="O227" s="31" t="str">
        <x:v>not reported</x:v>
      </x:c>
      <x:c r="P227" s="28" t="str">
        <x:v>abstract only</x:v>
      </x:c>
      <x:c r="Q227" s="28" t="str">
        <x:v>PubMed/MEDLINE export supplied by user | query: not verified from export; see Protocol sheet for reproducible recommended query</x:v>
      </x:c>
      <x:c r="R227" s="28" t="str">
        <x:v>Batch 1 core</x:v>
      </x:c>
      <x:c r="S227" s="28" t="str">
        <x:v>Direct ADHD primary study on diagnosis, family/education, structural conditions, lived experience/outcomes, or environment/lifestyle.</x:v>
      </x:c>
      <x:c r="T227" s="28" t="str">
        <x:v>not apparent from accessed abstract/metadata</x:v>
      </x:c>
      <x:c r="U227" s="28" t="str">
        <x:v>none identified in MEDLINE record</x:v>
      </x:c>
      <x:c r="V227" s="26" t="str">
        <x:v>not reported</x:v>
      </x:c>
      <x:c r="W227" s="28" t="str">
        <x:v>No PMC copy identified; publisher PDF/access must be checked</x:v>
      </x:c>
      <x:c r="X227" s="28" t="str">
        <x:v>Not verified</x:v>
      </x:c>
      <x:c r="Y227" s="31" t="str">
        <x:f>IF(V227="not reported","not reported",HYPERLINK("https://pmc.ncbi.nlm.nih.gov/articles/"&amp;V227&amp;"/","Open Full Text"))</x:f>
        <x:v>not reported</x:v>
      </x:c>
      <x:c r="Z227" s="31" t="e">
        <x:f>IF(L227="not reported","not reported",HYPERLINK("https://doi.org/"&amp;L227,"Open Publisher"))</x:f>
        <x:v>HYPERLINK is not implemented. linkLocation=https://doi.org/10.1007/s10578-024-01732-z, friendlyName=Open Publisher</x:v>
      </x:c>
      <x:c r="AA227" s="28" t="str">
        <x:v>DOI present in PubMed/MEDLINE; no PMCID present.</x:v>
      </x:c>
      <x:c r="AB227" s="28" t="str">
        <x:v>Open the DOI/publisher page. If PDF is paywalled, try Stony Brook Library access, Article Galaxy, or interlibrary loan.</x:v>
      </x:c>
      <x:c r="AC227" s="26" t="str">
        <x:v>2026-09-20</x:v>
      </x:c>
    </x:row>
    <x:row r="228">
      <x:c r="A228" s="26" t="str">
        <x:v>PUBMED-41739459</x:v>
      </x:c>
      <x:c r="B228" s="28" t="str">
        <x:v>Mapping ADHD Heterogeneity and Biotypes by Topological Deviations in Morphometric Similarity Networks.</x:v>
      </x:c>
      <x:c r="C228" s="28" t="str">
        <x:v>Pan, Nanfang; Long, Yajing; Qin, Kun; Pope, Isaac Z; Chen, Qiuxing; Zhu, Ziyu; Cao, Ying; Li, Lei; Singh, Manpreet K; McNamara, Robert K; DelBello, Melissa P; Chen, Ying; Fornito, Alex; Gong, Qiyong</x:v>
      </x:c>
      <x:c r="D228" s="28" t="n">
        <x:v>2026</x:v>
      </x:c>
      <x:c r="E228" s="28" t="str">
        <x:v>JAMA psychiatry</x:v>
      </x:c>
      <x:c r="F228" s="28" t="str">
        <x:v>Primary study - cohort</x:v>
      </x:c>
      <x:c r="G228" s="28" t="str">
        <x:v>Development &amp; presentation; Recognition &amp; diagnosis; Social &amp; structural; Environmental &amp; lifestyle; Life outcomes &amp; lived experience</x:v>
      </x:c>
      <x:c r="H228" s="28" t="str">
        <x:v>Childhood; Adolescence</x:v>
      </x:c>
      <x:c r="I228" s="28" t="str">
        <x:v>not reported/not verified</x:v>
      </x:c>
      <x:c r="J228" s="28" t="str">
        <x:v>not reported</x:v>
      </x:c>
      <x:c r="K228" s="28" t="str">
        <x:v>OBJECTIVE: To investigate whether normative modeling of topological properties derived from brain morphometry similarity networks can provide robust stratification markers for children with ADHD.</x:v>
      </x:c>
      <x:c r="L228" s="28" t="str">
        <x:v>10.1001/jamapsychiatry.2026.0001</x:v>
      </x:c>
      <x:c r="M228" s="28" t="str">
        <x:v>41739459</x:v>
      </x:c>
      <x:c r="N228" s="31" t="e">
        <x:f>HYPERLINK("https://pubmed.ncbi.nlm.nih.gov/"&amp;M228&amp;"/","Open PubMed")</x:f>
        <x:v>HYPERLINK is not implemented. linkLocation=https://pubmed.ncbi.nlm.nih.gov/41739459/, friendlyName=Open PubMed</x:v>
      </x:c>
      <x:c r="O228" s="31" t="e">
        <x:f>HYPERLINK("https://pmc.ncbi.nlm.nih.gov/articles/PMC12936971/","Open Full Text")</x:f>
        <x:v>HYPERLINK is not implemented. linkLocation=https://pmc.ncbi.nlm.nih.gov/articles/PMC12936971/, friendlyName=Open Full Text</x:v>
      </x:c>
      <x:c r="P228" s="28" t="str">
        <x:v>abstract only</x:v>
      </x:c>
      <x:c r="Q228" s="28" t="str">
        <x:v>PubMed/MEDLINE export supplied by user | query: not verified from export; see Protocol sheet for reproducible recommended query</x:v>
      </x:c>
      <x:c r="R228" s="28" t="str">
        <x:v>Batch 1 core</x:v>
      </x:c>
      <x:c r="S228" s="28" t="str">
        <x:v>Direct ADHD primary study on diagnosis, family/education, structural conditions, lived experience/outcomes, or environment/lifestyle.</x:v>
      </x:c>
      <x:c r="T228" s="28" t="str">
        <x:v>not apparent from accessed abstract/metadata</x:v>
      </x:c>
      <x:c r="U228" s="28" t="str">
        <x:v>none identified in MEDLINE record</x:v>
      </x:c>
      <x:c r="V228" s="26" t="str">
        <x:v>PMC12936971</x:v>
      </x:c>
      <x:c r="W228" s="28" t="str">
        <x:v>PDF available via PMC (verified free full text)</x:v>
      </x:c>
      <x:c r="X228" s="28" t="str">
        <x:v>Yes — PMC</x:v>
      </x:c>
      <x:c r="Y228" s="31" t="e">
        <x:f>IF(V228="not reported","not reported",HYPERLINK("https://pmc.ncbi.nlm.nih.gov/articles/"&amp;V228&amp;"/","Open Full Text"))</x:f>
        <x:v>HYPERLINK is not implemented. linkLocation=https://pmc.ncbi.nlm.nih.gov/articles/PMC12936971/, friendlyName=Open Full Text</x:v>
      </x:c>
      <x:c r="Z228" s="31" t="e">
        <x:f>IF(L228="not reported","not reported",HYPERLINK("https://doi.org/"&amp;L228,"Open Publisher"))</x:f>
        <x:v>HYPERLINK is not implemented. linkLocation=https://doi.org/10.1001/jamapsychiatry.2026.0001, friendlyName=Open Publisher</x:v>
      </x:c>
      <x:c r="AA228" s="28" t="str">
        <x:v>PMCID PMC12936971 present in the PubMed/MEDLINE record.</x:v>
      </x:c>
      <x:c r="AB228" s="28" t="str">
        <x:v>Open the PMC full-text page and use its PDF button/download option.</x:v>
      </x:c>
      <x:c r="AC228" s="26" t="str">
        <x:v>2026-09-20</x:v>
      </x:c>
    </x:row>
    <x:row r="229">
      <x:c r="A229" s="26" t="str">
        <x:v>PUBMED-41849922</x:v>
      </x:c>
      <x:c r="B229" s="28" t="str">
        <x:v>Prevalence and moderators of personality disorders in adults with ADHD: A meta-analysis.</x:v>
      </x:c>
      <x:c r="C229" s="28" t="str">
        <x:v>Adamis, Dimitrios; Zhang, Tianran; Gavin, Blánaid; McNicholas, Fiona</x:v>
      </x:c>
      <x:c r="D229" s="28" t="n">
        <x:v>2026</x:v>
      </x:c>
      <x:c r="E229" s="28" t="str">
        <x:v>Psychiatry research</x:v>
      </x:c>
      <x:c r="F229" s="28" t="str">
        <x:v>Evidence synthesis - meta-analysis</x:v>
      </x:c>
      <x:c r="G229" s="28" t="str">
        <x:v>Development &amp; presentation; Recognition &amp; diagnosis; Social &amp; structural</x:v>
      </x:c>
      <x:c r="H229" s="28" t="str">
        <x:v>Adulthood</x:v>
      </x:c>
      <x:c r="I229" s="28" t="str">
        <x:v>not reported/not verified</x:v>
      </x:c>
      <x:c r="J229" s="28" t="str">
        <x:v>not reported</x:v>
      </x:c>
      <x:c r="K229" s="28" t="str">
        <x:v>This meta-analysis investigated the prevalence and moderators of personality disorders (PDs) in adults with Attention-Deficit/Hyperactivity Disorder (ADHD), synthesizing data from 11 studies encompassing 2120 participants across clinical and nonclinical settings.</x:v>
      </x:c>
      <x:c r="L229" s="28" t="str">
        <x:v>10.1016/j.psychres.2026.117085</x:v>
      </x:c>
      <x:c r="M229" s="28" t="str">
        <x:v>41849922</x:v>
      </x:c>
      <x:c r="N229" s="31" t="e">
        <x:f>HYPERLINK("https://pubmed.ncbi.nlm.nih.gov/"&amp;M229&amp;"/","Open PubMed")</x:f>
        <x:v>HYPERLINK is not implemented. linkLocation=https://pubmed.ncbi.nlm.nih.gov/41849922/, friendlyName=Open PubMed</x:v>
      </x:c>
      <x:c r="O229" s="31" t="str">
        <x:v>not reported</x:v>
      </x:c>
      <x:c r="P229" s="28" t="str">
        <x:v>abstract only</x:v>
      </x:c>
      <x:c r="Q229" s="28" t="str">
        <x:v>PubMed/MEDLINE export supplied by user | query: not verified from export; see Protocol sheet for reproducible recommended query</x:v>
      </x:c>
      <x:c r="R229" s="28" t="str">
        <x:v>Batch 1 core</x:v>
      </x:c>
      <x:c r="S229" s="28" t="str">
        <x:v>Direct ADHD evidence synthesis/guideline with broad multi-topic relevance.</x:v>
      </x:c>
      <x:c r="T229" s="28" t="str">
        <x:v>not apparent from accessed abstract/metadata</x:v>
      </x:c>
      <x:c r="U229" s="28" t="str">
        <x:v>none identified in MEDLINE record</x:v>
      </x:c>
      <x:c r="V229" s="26" t="str">
        <x:v>not reported</x:v>
      </x:c>
      <x:c r="W229" s="28" t="str">
        <x:v>No PMC copy identified; publisher PDF/access must be checked</x:v>
      </x:c>
      <x:c r="X229" s="28" t="str">
        <x:v>Not verified</x:v>
      </x:c>
      <x:c r="Y229" s="31" t="str">
        <x:f>IF(V229="not reported","not reported",HYPERLINK("https://pmc.ncbi.nlm.nih.gov/articles/"&amp;V229&amp;"/","Open Full Text"))</x:f>
        <x:v>not reported</x:v>
      </x:c>
      <x:c r="Z229" s="31" t="e">
        <x:f>IF(L229="not reported","not reported",HYPERLINK("https://doi.org/"&amp;L229,"Open Publisher"))</x:f>
        <x:v>HYPERLINK is not implemented. linkLocation=https://doi.org/10.1016/j.psychres.2026.117085, friendlyName=Open Publisher</x:v>
      </x:c>
      <x:c r="AA229" s="28" t="str">
        <x:v>DOI present in PubMed/MEDLINE; no PMCID present.</x:v>
      </x:c>
      <x:c r="AB229" s="28" t="str">
        <x:v>Open the DOI/publisher page. If PDF is paywalled, try Stony Brook Library access, Article Galaxy, or interlibrary loan.</x:v>
      </x:c>
      <x:c r="AC229" s="26" t="str">
        <x:v>2026-09-20</x:v>
      </x:c>
    </x:row>
    <x:row r="230">
      <x:c r="A230" s="26" t="str">
        <x:v>PUBMED-41811543</x:v>
      </x:c>
      <x:c r="B230" s="28" t="str">
        <x:v>The Boredom-ADHD Nexus: A Narrative and Meta-Analytic Review of the Evidence.</x:v>
      </x:c>
      <x:c r="C230" s="28" t="str">
        <x:v>Muris, Peter; Otgaar, Henry; Donkers, Franc</x:v>
      </x:c>
      <x:c r="D230" s="28" t="n">
        <x:v>2026</x:v>
      </x:c>
      <x:c r="E230" s="28" t="str">
        <x:v>Clinical child and family psychology review</x:v>
      </x:c>
      <x:c r="F230" s="28" t="str">
        <x:v>Evidence synthesis - meta-analysis</x:v>
      </x:c>
      <x:c r="G230" s="28" t="str">
        <x:v>Development &amp; presentation; Recognition &amp; diagnosis; Social &amp; structural</x:v>
      </x:c>
      <x:c r="H230" s="28" t="str">
        <x:v>Not specified</x:v>
      </x:c>
      <x:c r="I230" s="28" t="str">
        <x:v>not reported/not verified</x:v>
      </x:c>
      <x:c r="J230" s="28" t="str">
        <x:v>not reported</x:v>
      </x:c>
      <x:c r="K230" s="28" t="str">
        <x:v>This paper examines the intersection of attention-deficit/hyperactivity disorder (ADHD) and boredom.</x:v>
      </x:c>
      <x:c r="L230" s="28" t="str">
        <x:v>10.1007/s10567-026-00563-9</x:v>
      </x:c>
      <x:c r="M230" s="28" t="str">
        <x:v>41811543</x:v>
      </x:c>
      <x:c r="N230" s="31" t="e">
        <x:f>HYPERLINK("https://pubmed.ncbi.nlm.nih.gov/"&amp;M230&amp;"/","Open PubMed")</x:f>
        <x:v>HYPERLINK is not implemented. linkLocation=https://pubmed.ncbi.nlm.nih.gov/41811543/, friendlyName=Open PubMed</x:v>
      </x:c>
      <x:c r="O230" s="31" t="e">
        <x:f>HYPERLINK("https://pmc.ncbi.nlm.nih.gov/articles/PMC13562150/","Open Full Text")</x:f>
        <x:v>HYPERLINK is not implemented. linkLocation=https://pmc.ncbi.nlm.nih.gov/articles/PMC13562150/, friendlyName=Open Full Text</x:v>
      </x:c>
      <x:c r="P230" s="28" t="str">
        <x:v>abstract only</x:v>
      </x:c>
      <x:c r="Q230" s="28" t="str">
        <x:v>PubMed/MEDLINE export supplied by user | query: not verified from export; see Protocol sheet for reproducible recommended query</x:v>
      </x:c>
      <x:c r="R230" s="28" t="str">
        <x:v>Batch 1 core</x:v>
      </x:c>
      <x:c r="S230" s="28" t="str">
        <x:v>Direct ADHD evidence synthesis/guideline with broad multi-topic relevance.</x:v>
      </x:c>
      <x:c r="T230" s="28" t="str">
        <x:v>not apparent from accessed abstract/metadata</x:v>
      </x:c>
      <x:c r="U230" s="28" t="str">
        <x:v>none identified in MEDLINE record</x:v>
      </x:c>
      <x:c r="V230" s="26" t="str">
        <x:v>PMC13562150</x:v>
      </x:c>
      <x:c r="W230" s="28" t="str">
        <x:v>PDF available via PMC (verified free full text)</x:v>
      </x:c>
      <x:c r="X230" s="28" t="str">
        <x:v>Yes — PMC</x:v>
      </x:c>
      <x:c r="Y230" s="31" t="e">
        <x:f>IF(V230="not reported","not reported",HYPERLINK("https://pmc.ncbi.nlm.nih.gov/articles/"&amp;V230&amp;"/","Open Full Text"))</x:f>
        <x:v>HYPERLINK is not implemented. linkLocation=https://pmc.ncbi.nlm.nih.gov/articles/PMC13562150/, friendlyName=Open Full Text</x:v>
      </x:c>
      <x:c r="Z230" s="31" t="e">
        <x:f>IF(L230="not reported","not reported",HYPERLINK("https://doi.org/"&amp;L230,"Open Publisher"))</x:f>
        <x:v>HYPERLINK is not implemented. linkLocation=https://doi.org/10.1007/s10567-026-00563-9, friendlyName=Open Publisher</x:v>
      </x:c>
      <x:c r="AA230" s="28" t="str">
        <x:v>PMCID PMC13562150 present in the PubMed/MEDLINE record.</x:v>
      </x:c>
      <x:c r="AB230" s="28" t="str">
        <x:v>Open the PMC full-text page and use its PDF button/download option.</x:v>
      </x:c>
      <x:c r="AC230" s="26" t="str">
        <x:v>2026-09-20</x:v>
      </x:c>
    </x:row>
    <x:row r="231">
      <x:c r="A231" s="26" t="str">
        <x:v>PUBMED-41787869</x:v>
      </x:c>
      <x:c r="B231" s="28" t="str">
        <x:v>Optimizing exercise interventions for motor skills enhancement in attention deficit hyperactivity disorder: Evidence from meta-analysis.</x:v>
      </x:c>
      <x:c r="C231" s="28" t="str">
        <x:v>Zhang, Yuxuan; Che, Xiaoman; Dong, Zhenghao; Shen, Jiaxing; Tao, Ye; Cui, Bo; Zhu, Feilong</x:v>
      </x:c>
      <x:c r="D231" s="28" t="n">
        <x:v>2026</x:v>
      </x:c>
      <x:c r="E231" s="28" t="str">
        <x:v>Clinical rehabilitation</x:v>
      </x:c>
      <x:c r="F231" s="28" t="str">
        <x:v>Evidence synthesis - meta-analysis</x:v>
      </x:c>
      <x:c r="G231" s="28" t="str">
        <x:v>Development &amp; presentation; Family &amp; education; Social &amp; structural; Environmental &amp; lifestyle; Treatment &amp; support; Life outcomes &amp; lived experience</x:v>
      </x:c>
      <x:c r="H231" s="28" t="str">
        <x:v>Childhood; Adolescence</x:v>
      </x:c>
      <x:c r="I231" s="28" t="str">
        <x:v>not reported/not verified</x:v>
      </x:c>
      <x:c r="J231" s="28" t="str">
        <x:v>not reported</x:v>
      </x:c>
      <x:c r="K231" s="28" t="str">
        <x:v>ObjectiveThis meta-analysis aimed to evaluate effects of physical exercises on gross and fine motor skills in children and adolescents with attention deficit hyperactivity disorder (ADHD), and to explore the influencing factors and dose-response relationships for optimizing exercise parameters.Data sourcesSix electronic databases were searched from inception to 20 June 2025, with an updated search performed on 27 January 2026.MethodsThe effect si</x:v>
      </x:c>
      <x:c r="L231" s="28" t="str">
        <x:v>10.1177/02692155261428944</x:v>
      </x:c>
      <x:c r="M231" s="28" t="str">
        <x:v>41787869</x:v>
      </x:c>
      <x:c r="N231" s="31" t="e">
        <x:f>HYPERLINK("https://pubmed.ncbi.nlm.nih.gov/"&amp;M231&amp;"/","Open PubMed")</x:f>
        <x:v>HYPERLINK is not implemented. linkLocation=https://pubmed.ncbi.nlm.nih.gov/41787869/, friendlyName=Open PubMed</x:v>
      </x:c>
      <x:c r="O231" s="31" t="str">
        <x:v>not reported</x:v>
      </x:c>
      <x:c r="P231" s="28" t="str">
        <x:v>abstract only</x:v>
      </x:c>
      <x:c r="Q231" s="28" t="str">
        <x:v>PubMed/MEDLINE export supplied by user | query: not verified from export; see Protocol sheet for reproducible recommended query</x:v>
      </x:c>
      <x:c r="R231" s="28" t="str">
        <x:v>Batch 1 core</x:v>
      </x:c>
      <x:c r="S231" s="28" t="str">
        <x:v>Direct ADHD evidence synthesis/guideline with broad multi-topic relevance.</x:v>
      </x:c>
      <x:c r="T231" s="28" t="str">
        <x:v>not apparent from accessed abstract/metadata</x:v>
      </x:c>
      <x:c r="U231" s="28" t="str">
        <x:v>none identified in MEDLINE record</x:v>
      </x:c>
      <x:c r="V231" s="26" t="str">
        <x:v>not reported</x:v>
      </x:c>
      <x:c r="W231" s="28" t="str">
        <x:v>No PMC copy identified; publisher PDF/access must be checked</x:v>
      </x:c>
      <x:c r="X231" s="28" t="str">
        <x:v>Not verified</x:v>
      </x:c>
      <x:c r="Y231" s="31" t="str">
        <x:f>IF(V231="not reported","not reported",HYPERLINK("https://pmc.ncbi.nlm.nih.gov/articles/"&amp;V231&amp;"/","Open Full Text"))</x:f>
        <x:v>not reported</x:v>
      </x:c>
      <x:c r="Z231" s="31" t="e">
        <x:f>IF(L231="not reported","not reported",HYPERLINK("https://doi.org/"&amp;L231,"Open Publisher"))</x:f>
        <x:v>HYPERLINK is not implemented. linkLocation=https://doi.org/10.1177/02692155261428944, friendlyName=Open Publisher</x:v>
      </x:c>
      <x:c r="AA231" s="28" t="str">
        <x:v>DOI present in PubMed/MEDLINE; no PMCID present.</x:v>
      </x:c>
      <x:c r="AB231" s="28" t="str">
        <x:v>Open the DOI/publisher page. If PDF is paywalled, try Stony Brook Library access, Article Galaxy, or interlibrary loan.</x:v>
      </x:c>
      <x:c r="AC231" s="26" t="str">
        <x:v>2026-09-20</x:v>
      </x:c>
    </x:row>
    <x:row r="232">
      <x:c r="A232" s="26" t="str">
        <x:v>PUBMED-41759441</x:v>
      </x:c>
      <x:c r="B232" s="28" t="str">
        <x:v>The effectiveness and feasibility of the new Forest parenting programme for Chinese children with attention-deficit/hyperactivity disorder and their families.</x:v>
      </x:c>
      <x:c r="C232" s="28" t="str">
        <x:v>Zhang, Yongchang; Liu, Caiyan; Li, Bingxiao; Fu, Xiangzhen; Fong, Hin; Yu, Ziqing; Wang, Sisi; Jin, Wenting; Shi, Lingling</x:v>
      </x:c>
      <x:c r="D232" s="28" t="n">
        <x:v>2026</x:v>
      </x:c>
      <x:c r="E232" s="28" t="str">
        <x:v>Acta psychologica</x:v>
      </x:c>
      <x:c r="F232" s="28" t="str">
        <x:v>Primary study - qualitative</x:v>
      </x:c>
      <x:c r="G232" s="28" t="str">
        <x:v>Development &amp; presentation; Family &amp; education; Social &amp; structural; Treatment &amp; support; Life outcomes &amp; lived experience</x:v>
      </x:c>
      <x:c r="H232" s="28" t="str">
        <x:v>Childhood</x:v>
      </x:c>
      <x:c r="I232" s="28" t="str">
        <x:v>Geography (MeSH): China</x:v>
      </x:c>
      <x:c r="J232" s="28" t="str">
        <x:v>not reported</x:v>
      </x:c>
      <x:c r="K232" s="28" t="str">
        <x:v>This study aims to evaluate its feasibility and effectiveness in China.</x:v>
      </x:c>
      <x:c r="L232" s="28" t="str">
        <x:v>10.1016/j.actpsy.2026.106492</x:v>
      </x:c>
      <x:c r="M232" s="28" t="str">
        <x:v>41759441</x:v>
      </x:c>
      <x:c r="N232" s="31" t="e">
        <x:f>HYPERLINK("https://pubmed.ncbi.nlm.nih.gov/"&amp;M232&amp;"/","Open PubMed")</x:f>
        <x:v>HYPERLINK is not implemented. linkLocation=https://pubmed.ncbi.nlm.nih.gov/41759441/, friendlyName=Open PubMed</x:v>
      </x:c>
      <x:c r="O232" s="31" t="str">
        <x:v>not reported</x:v>
      </x:c>
      <x:c r="P232" s="28" t="str">
        <x:v>abstract only</x:v>
      </x:c>
      <x:c r="Q232" s="28" t="str">
        <x:v>PubMed/MEDLINE export supplied by user | query: not verified from export; see Protocol sheet for reproducible recommended query</x:v>
      </x:c>
      <x:c r="R232" s="28" t="str">
        <x:v>Batch 1 core</x:v>
      </x:c>
      <x:c r="S232" s="28" t="str">
        <x:v>Direct ADHD primary study on diagnosis, family/education, structural conditions, lived experience/outcomes, or environment/lifestyle.</x:v>
      </x:c>
      <x:c r="T232" s="28" t="str">
        <x:v>not apparent from accessed abstract/metadata</x:v>
      </x:c>
      <x:c r="U232" s="28" t="str">
        <x:v>none identified in MEDLINE record</x:v>
      </x:c>
      <x:c r="V232" s="26" t="str">
        <x:v>not reported</x:v>
      </x:c>
      <x:c r="W232" s="28" t="str">
        <x:v>No PMC copy identified; publisher PDF/access must be checked</x:v>
      </x:c>
      <x:c r="X232" s="28" t="str">
        <x:v>Not verified</x:v>
      </x:c>
      <x:c r="Y232" s="31" t="str">
        <x:f>IF(V232="not reported","not reported",HYPERLINK("https://pmc.ncbi.nlm.nih.gov/articles/"&amp;V232&amp;"/","Open Full Text"))</x:f>
        <x:v>not reported</x:v>
      </x:c>
      <x:c r="Z232" s="31" t="e">
        <x:f>IF(L232="not reported","not reported",HYPERLINK("https://doi.org/"&amp;L232,"Open Publisher"))</x:f>
        <x:v>HYPERLINK is not implemented. linkLocation=https://doi.org/10.1016/j.actpsy.2026.106492, friendlyName=Open Publisher</x:v>
      </x:c>
      <x:c r="AA232" s="28" t="str">
        <x:v>DOI present in PubMed/MEDLINE; no PMCID present.</x:v>
      </x:c>
      <x:c r="AB232" s="28" t="str">
        <x:v>Open the DOI/publisher page. If PDF is paywalled, try Stony Brook Library access, Article Galaxy, or interlibrary loan.</x:v>
      </x:c>
      <x:c r="AC232" s="26" t="str">
        <x:v>2026-09-20</x:v>
      </x:c>
    </x:row>
    <x:row r="233">
      <x:c r="A233" s="26" t="str">
        <x:v>PUBMED-41741629</x:v>
      </x:c>
      <x:c r="B233" s="28" t="str">
        <x:v>Evaluation of the relationship between vitamin levels and symptom severity in adults with attention-deficit/hyperactivity disorder.</x:v>
      </x:c>
      <x:c r="C233" s="28" t="str">
        <x:v>Esra, Demiryürek; Havva, Kocayiğit</x:v>
      </x:c>
      <x:c r="D233" s="28" t="n">
        <x:v>2026</x:v>
      </x:c>
      <x:c r="E233" s="28" t="str">
        <x:v>Scientific reports</x:v>
      </x:c>
      <x:c r="F233" s="28" t="str">
        <x:v>Primary study - case-control</x:v>
      </x:c>
      <x:c r="G233" s="28" t="str">
        <x:v>Development &amp; presentation; Recognition &amp; diagnosis; Social &amp; structural; Environmental &amp; lifestyle; Life outcomes &amp; lived experience</x:v>
      </x:c>
      <x:c r="H233" s="28" t="str">
        <x:v>Adulthood</x:v>
      </x:c>
      <x:c r="I233" s="28" t="str">
        <x:v>not reported/not verified</x:v>
      </x:c>
      <x:c r="J233" s="28" t="str">
        <x:v>not reported</x:v>
      </x:c>
      <x:c r="K233" s="28" t="str">
        <x:v>This cross-sectional study aimed to compare serum vitamin B12, 25-hydroxyvitamin D (25-OHD), ferritin, and iron levels between adults diagnosed with attention deficit hyperactivity disorder (ADHD) and healthy controls, and to evaluate the relationship between these biochemical markers and the severity of ADHD symptoms.</x:v>
      </x:c>
      <x:c r="L233" s="28" t="str">
        <x:v>10.1038/s41598-026-41493-4</x:v>
      </x:c>
      <x:c r="M233" s="28" t="str">
        <x:v>41741629</x:v>
      </x:c>
      <x:c r="N233" s="31" t="e">
        <x:f>HYPERLINK("https://pubmed.ncbi.nlm.nih.gov/"&amp;M233&amp;"/","Open PubMed")</x:f>
        <x:v>HYPERLINK is not implemented. linkLocation=https://pubmed.ncbi.nlm.nih.gov/41741629/, friendlyName=Open PubMed</x:v>
      </x:c>
      <x:c r="O233" s="31" t="e">
        <x:f>HYPERLINK("https://pmc.ncbi.nlm.nih.gov/articles/PMC13000255/","Open Full Text")</x:f>
        <x:v>HYPERLINK is not implemented. linkLocation=https://pmc.ncbi.nlm.nih.gov/articles/PMC13000255/, friendlyName=Open Full Text</x:v>
      </x:c>
      <x:c r="P233" s="28" t="str">
        <x:v>abstract only</x:v>
      </x:c>
      <x:c r="Q233" s="28" t="str">
        <x:v>PubMed/MEDLINE export supplied by user | query: not verified from export; see Protocol sheet for reproducible recommended query</x:v>
      </x:c>
      <x:c r="R233" s="28" t="str">
        <x:v>Batch 1 core</x:v>
      </x:c>
      <x:c r="S233" s="28" t="str">
        <x:v>Direct ADHD primary study on diagnosis, family/education, structural conditions, lived experience/outcomes, or environment/lifestyle.</x:v>
      </x:c>
      <x:c r="T233" s="28" t="str">
        <x:v>not apparent from accessed abstract/metadata</x:v>
      </x:c>
      <x:c r="U233" s="28" t="str">
        <x:v>none identified in MEDLINE record</x:v>
      </x:c>
      <x:c r="V233" s="26" t="str">
        <x:v>PMC13000255</x:v>
      </x:c>
      <x:c r="W233" s="28" t="str">
        <x:v>PDF available via PMC (verified free full text)</x:v>
      </x:c>
      <x:c r="X233" s="28" t="str">
        <x:v>Yes — PMC</x:v>
      </x:c>
      <x:c r="Y233" s="31" t="e">
        <x:f>IF(V233="not reported","not reported",HYPERLINK("https://pmc.ncbi.nlm.nih.gov/articles/"&amp;V233&amp;"/","Open Full Text"))</x:f>
        <x:v>HYPERLINK is not implemented. linkLocation=https://pmc.ncbi.nlm.nih.gov/articles/PMC13000255/, friendlyName=Open Full Text</x:v>
      </x:c>
      <x:c r="Z233" s="31" t="e">
        <x:f>IF(L233="not reported","not reported",HYPERLINK("https://doi.org/"&amp;L233,"Open Publisher"))</x:f>
        <x:v>HYPERLINK is not implemented. linkLocation=https://doi.org/10.1038/s41598-026-41493-4, friendlyName=Open Publisher</x:v>
      </x:c>
      <x:c r="AA233" s="28" t="str">
        <x:v>PMCID PMC13000255 present in the PubMed/MEDLINE record.</x:v>
      </x:c>
      <x:c r="AB233" s="28" t="str">
        <x:v>Open the PMC full-text page and use its PDF button/download option.</x:v>
      </x:c>
      <x:c r="AC233" s="26" t="str">
        <x:v>2026-09-20</x:v>
      </x:c>
    </x:row>
    <x:row r="234">
      <x:c r="A234" s="26" t="str">
        <x:v>PUBMED-41740565</x:v>
      </x:c>
      <x:c r="B234" s="28" t="str">
        <x:v>Validity of screening tools and risk factors for Co-occurring ADHD in children with epilepsy: a systematic review and meta-analysis.</x:v>
      </x:c>
      <x:c r="C234" s="28" t="str">
        <x:v>Ni, Guang; Meng, Dong</x:v>
      </x:c>
      <x:c r="D234" s="28" t="n">
        <x:v>2026</x:v>
      </x:c>
      <x:c r="E234" s="28" t="str">
        <x:v>Epilepsy &amp; behavior : E&amp;B</x:v>
      </x:c>
      <x:c r="F234" s="28" t="str">
        <x:v>Evidence synthesis - meta-analysis</x:v>
      </x:c>
      <x:c r="G234" s="28" t="str">
        <x:v>Development &amp; presentation; Recognition &amp; diagnosis; Family &amp; education; Social &amp; structural; Treatment &amp; support; Life outcomes &amp; lived experience</x:v>
      </x:c>
      <x:c r="H234" s="28" t="str">
        <x:v>Childhood</x:v>
      </x:c>
      <x:c r="I234" s="28" t="str">
        <x:v>not reported/not verified</x:v>
      </x:c>
      <x:c r="J234" s="28" t="str">
        <x:v>not reported</x:v>
      </x:c>
      <x:c r="K234" s="28" t="str">
        <x:v>OBJECTIVE: To assess the diagnostic accuracy and discriminant validity of ADHD screening tools for children with epilepsy and comorbid ADHD and to conduct a systematic review and meta-analysis on the risk factors related to ADHD in children with epilepsy.</x:v>
      </x:c>
      <x:c r="L234" s="28" t="str">
        <x:v>10.1016/j.yebeh.2026.110965</x:v>
      </x:c>
      <x:c r="M234" s="28" t="str">
        <x:v>41740565</x:v>
      </x:c>
      <x:c r="N234" s="31" t="e">
        <x:f>HYPERLINK("https://pubmed.ncbi.nlm.nih.gov/"&amp;M234&amp;"/","Open PubMed")</x:f>
        <x:v>HYPERLINK is not implemented. linkLocation=https://pubmed.ncbi.nlm.nih.gov/41740565/, friendlyName=Open PubMed</x:v>
      </x:c>
      <x:c r="O234" s="31" t="str">
        <x:v>not reported</x:v>
      </x:c>
      <x:c r="P234" s="28" t="str">
        <x:v>abstract only</x:v>
      </x:c>
      <x:c r="Q234" s="28" t="str">
        <x:v>PubMed/MEDLINE export supplied by user | query: not verified from export; see Protocol sheet for reproducible recommended query</x:v>
      </x:c>
      <x:c r="R234" s="28" t="str">
        <x:v>Batch 1 core</x:v>
      </x:c>
      <x:c r="S234" s="28" t="str">
        <x:v>Direct ADHD evidence synthesis/guideline with broad multi-topic relevance.</x:v>
      </x:c>
      <x:c r="T234" s="28" t="str">
        <x:v>not apparent from accessed abstract/metadata</x:v>
      </x:c>
      <x:c r="U234" s="28" t="str">
        <x:v>none identified in MEDLINE record</x:v>
      </x:c>
      <x:c r="V234" s="26" t="str">
        <x:v>not reported</x:v>
      </x:c>
      <x:c r="W234" s="28" t="str">
        <x:v>No PMC copy identified; publisher PDF/access must be checked</x:v>
      </x:c>
      <x:c r="X234" s="28" t="str">
        <x:v>Not verified</x:v>
      </x:c>
      <x:c r="Y234" s="31" t="str">
        <x:f>IF(V234="not reported","not reported",HYPERLINK("https://pmc.ncbi.nlm.nih.gov/articles/"&amp;V234&amp;"/","Open Full Text"))</x:f>
        <x:v>not reported</x:v>
      </x:c>
      <x:c r="Z234" s="31" t="e">
        <x:f>IF(L234="not reported","not reported",HYPERLINK("https://doi.org/"&amp;L234,"Open Publisher"))</x:f>
        <x:v>HYPERLINK is not implemented. linkLocation=https://doi.org/10.1016/j.yebeh.2026.110965, friendlyName=Open Publisher</x:v>
      </x:c>
      <x:c r="AA234" s="28" t="str">
        <x:v>DOI present in PubMed/MEDLINE; no PMCID present.</x:v>
      </x:c>
      <x:c r="AB234" s="28" t="str">
        <x:v>Open the DOI/publisher page. If PDF is paywalled, try Stony Brook Library access, Article Galaxy, or interlibrary loan.</x:v>
      </x:c>
      <x:c r="AC234" s="26" t="str">
        <x:v>2026-09-20</x:v>
      </x:c>
    </x:row>
    <x:row r="235">
      <x:c r="A235" s="26" t="str">
        <x:v>PUBMED-41729271</x:v>
      </x:c>
      <x:c r="B235" s="28" t="str">
        <x:v>Visual-spatial working memory in ADHD: new evidence for a storage rather than a processing deficit.</x:v>
      </x:c>
      <x:c r="C235" s="28" t="str">
        <x:v>Coclici, A; Canu, D; Bretthauer, J; Biscaldi, M; Smyrnis, N; Klein, Christoph</x:v>
      </x:c>
      <x:c r="D235" s="28" t="n">
        <x:v>2026</x:v>
      </x:c>
      <x:c r="E235" s="28" t="str">
        <x:v>European child &amp; adolescent psychiatry</x:v>
      </x:c>
      <x:c r="F235" s="28" t="str">
        <x:v>Primary study - case-control</x:v>
      </x:c>
      <x:c r="G235" s="28" t="str">
        <x:v>Development &amp; presentation; Social &amp; structural; Life outcomes &amp; lived experience</x:v>
      </x:c>
      <x:c r="H235" s="28" t="str">
        <x:v>Childhood; Adolescence; age 9.2-17.1 years</x:v>
      </x:c>
      <x:c r="I235" s="28" t="str">
        <x:v>not reported/not verified</x:v>
      </x:c>
      <x:c r="J235" s="28" t="str">
        <x:v>not reported</x:v>
      </x:c>
      <x:c r="K235" s="28" t="str">
        <x:v>The ability to voluntarily control eye movements is part of the "executive function" domain, which includes working memory and is impaired in neuro-developmental disorders such as ADHD.</x:v>
      </x:c>
      <x:c r="L235" s="28" t="str">
        <x:v>10.1007/s00787-026-02987-8</x:v>
      </x:c>
      <x:c r="M235" s="28" t="str">
        <x:v>41729271</x:v>
      </x:c>
      <x:c r="N235" s="31" t="e">
        <x:f>HYPERLINK("https://pubmed.ncbi.nlm.nih.gov/"&amp;M235&amp;"/","Open PubMed")</x:f>
        <x:v>HYPERLINK is not implemented. linkLocation=https://pubmed.ncbi.nlm.nih.gov/41729271/, friendlyName=Open PubMed</x:v>
      </x:c>
      <x:c r="O235" s="31" t="e">
        <x:f>HYPERLINK("https://pmc.ncbi.nlm.nih.gov/articles/PMC13337579/","Open Full Text")</x:f>
        <x:v>HYPERLINK is not implemented. linkLocation=https://pmc.ncbi.nlm.nih.gov/articles/PMC13337579/, friendlyName=Open Full Text</x:v>
      </x:c>
      <x:c r="P235" s="28" t="str">
        <x:v>abstract only</x:v>
      </x:c>
      <x:c r="Q235" s="28" t="str">
        <x:v>PubMed/MEDLINE export supplied by user | query: not verified from export; see Protocol sheet for reproducible recommended query</x:v>
      </x:c>
      <x:c r="R235" s="28" t="str">
        <x:v>Batch 1 core</x:v>
      </x:c>
      <x:c r="S235" s="28" t="str">
        <x:v>Direct ADHD primary study on diagnosis, family/education, structural conditions, lived experience/outcomes, or environment/lifestyle.</x:v>
      </x:c>
      <x:c r="T235" s="28" t="str">
        <x:v>not apparent from accessed abstract/metadata</x:v>
      </x:c>
      <x:c r="U235" s="28" t="str">
        <x:v>none identified in MEDLINE record</x:v>
      </x:c>
      <x:c r="V235" s="26" t="str">
        <x:v>PMC13337579</x:v>
      </x:c>
      <x:c r="W235" s="28" t="str">
        <x:v>PDF available via PMC (verified free full text)</x:v>
      </x:c>
      <x:c r="X235" s="28" t="str">
        <x:v>Yes — PMC</x:v>
      </x:c>
      <x:c r="Y235" s="31" t="e">
        <x:f>IF(V235="not reported","not reported",HYPERLINK("https://pmc.ncbi.nlm.nih.gov/articles/"&amp;V235&amp;"/","Open Full Text"))</x:f>
        <x:v>HYPERLINK is not implemented. linkLocation=https://pmc.ncbi.nlm.nih.gov/articles/PMC13337579/, friendlyName=Open Full Text</x:v>
      </x:c>
      <x:c r="Z235" s="31" t="e">
        <x:f>IF(L235="not reported","not reported",HYPERLINK("https://doi.org/"&amp;L235,"Open Publisher"))</x:f>
        <x:v>HYPERLINK is not implemented. linkLocation=https://doi.org/10.1007/s00787-026-02987-8, friendlyName=Open Publisher</x:v>
      </x:c>
      <x:c r="AA235" s="28" t="str">
        <x:v>PMCID PMC13337579 present in the PubMed/MEDLINE record.</x:v>
      </x:c>
      <x:c r="AB235" s="28" t="str">
        <x:v>Open the PMC full-text page and use its PDF button/download option.</x:v>
      </x:c>
      <x:c r="AC235" s="26" t="str">
        <x:v>2026-09-20</x:v>
      </x:c>
    </x:row>
    <x:row r="236">
      <x:c r="A236" s="26" t="str">
        <x:v>PUBMED-41620184</x:v>
      </x:c>
      <x:c r="B236" s="28" t="str">
        <x:v>Development and multi-center validation of a school-home integrated machine learning model for early screening of attention-deficit/hyperactivity disorder in school-aged children.</x:v>
      </x:c>
      <x:c r="C236" s="28" t="str">
        <x:v>Wang, Chunbo; Li, Zhijuan; Su, Jiangling; Wang, Mo; Zhang, Gaofu</x:v>
      </x:c>
      <x:c r="D236" s="28" t="n">
        <x:v>2026</x:v>
      </x:c>
      <x:c r="E236" s="28" t="str">
        <x:v>Journal of affective disorders</x:v>
      </x:c>
      <x:c r="F236" s="28" t="str">
        <x:v>Primary study - cohort</x:v>
      </x:c>
      <x:c r="G236" s="28" t="str">
        <x:v>Development &amp; presentation; Recognition &amp; diagnosis; Family &amp; education; Social &amp; structural; Environmental &amp; lifestyle; Historical &amp; contemporary context</x:v>
      </x:c>
      <x:c r="H236" s="28" t="str">
        <x:v>Childhood; Adolescence; aged 6 to 18 years</x:v>
      </x:c>
      <x:c r="I236" s="28" t="str">
        <x:v>Geography (MeSH): China; Setting (MeSH): Schools</x:v>
      </x:c>
      <x:c r="J236" s="28" t="str">
        <x:v>not reported</x:v>
      </x:c>
      <x:c r="K236" s="28" t="str">
        <x:v>This study aimed to develop and validate a multidimensional Early Screening Prediction Model (ESPM-ADHD) for children aged 6 to 18 years, integrating school-home collaborative data.</x:v>
      </x:c>
      <x:c r="L236" s="28" t="str">
        <x:v>10.1016/j.jad.2026.121247</x:v>
      </x:c>
      <x:c r="M236" s="28" t="str">
        <x:v>41620184</x:v>
      </x:c>
      <x:c r="N236" s="31" t="e">
        <x:f>HYPERLINK("https://pubmed.ncbi.nlm.nih.gov/"&amp;M236&amp;"/","Open PubMed")</x:f>
        <x:v>HYPERLINK is not implemented. linkLocation=https://pubmed.ncbi.nlm.nih.gov/41620184/, friendlyName=Open PubMed</x:v>
      </x:c>
      <x:c r="O236" s="31" t="str">
        <x:v>not reported</x:v>
      </x:c>
      <x:c r="P236" s="28" t="str">
        <x:v>abstract only</x:v>
      </x:c>
      <x:c r="Q236" s="28" t="str">
        <x:v>PubMed/MEDLINE export supplied by user | query: not verified from export; see Protocol sheet for reproducible recommended query</x:v>
      </x:c>
      <x:c r="R236" s="28" t="str">
        <x:v>Batch 1 core</x:v>
      </x:c>
      <x:c r="S236" s="28" t="str">
        <x:v>Direct ADHD primary study on diagnosis, family/education, structural conditions, lived experience/outcomes, or environment/lifestyle.</x:v>
      </x:c>
      <x:c r="T236" s="28" t="str">
        <x:v>not apparent from accessed abstract/metadata</x:v>
      </x:c>
      <x:c r="U236" s="28" t="str">
        <x:v>none identified in MEDLINE record</x:v>
      </x:c>
      <x:c r="V236" s="26" t="str">
        <x:v>not reported</x:v>
      </x:c>
      <x:c r="W236" s="28" t="str">
        <x:v>No PMC copy identified; publisher PDF/access must be checked</x:v>
      </x:c>
      <x:c r="X236" s="28" t="str">
        <x:v>Not verified</x:v>
      </x:c>
      <x:c r="Y236" s="31" t="str">
        <x:f>IF(V236="not reported","not reported",HYPERLINK("https://pmc.ncbi.nlm.nih.gov/articles/"&amp;V236&amp;"/","Open Full Text"))</x:f>
        <x:v>not reported</x:v>
      </x:c>
      <x:c r="Z236" s="31" t="e">
        <x:f>IF(L236="not reported","not reported",HYPERLINK("https://doi.org/"&amp;L236,"Open Publisher"))</x:f>
        <x:v>HYPERLINK is not implemented. linkLocation=https://doi.org/10.1016/j.jad.2026.121247, friendlyName=Open Publisher</x:v>
      </x:c>
      <x:c r="AA236" s="28" t="str">
        <x:v>DOI present in PubMed/MEDLINE; no PMCID present.</x:v>
      </x:c>
      <x:c r="AB236" s="28" t="str">
        <x:v>Open the DOI/publisher page. If PDF is paywalled, try Stony Brook Library access, Article Galaxy, or interlibrary loan.</x:v>
      </x:c>
      <x:c r="AC236" s="26" t="str">
        <x:v>2026-09-20</x:v>
      </x:c>
    </x:row>
    <x:row r="237">
      <x:c r="A237" s="26" t="str">
        <x:v>PUBMED-41604884</x:v>
      </x:c>
      <x:c r="B237" s="28" t="str">
        <x:v>Independent and joint associations of physical activity and sleep with ADHD in a population-based sample of children: A cross-sectional study.</x:v>
      </x:c>
      <x:c r="C237" s="28" t="str">
        <x:v>Shi, Beibei; Mou, Hong; Chen, Zhiduo; He, Changshuang; Zhang, Meng; Zhang, Zimeng; Zheng, Huakun; Wang, Jing; Quan, Minghui</x:v>
      </x:c>
      <x:c r="D237" s="28" t="n">
        <x:v>2026</x:v>
      </x:c>
      <x:c r="E237" s="28" t="str">
        <x:v>General hospital psychiatry</x:v>
      </x:c>
      <x:c r="F237" s="28" t="str">
        <x:v>Primary study - cross-sectional</x:v>
      </x:c>
      <x:c r="G237" s="28" t="str">
        <x:v>Development &amp; presentation; Family &amp; education; Social &amp; structural; Environmental &amp; lifestyle</x:v>
      </x:c>
      <x:c r="H237" s="28" t="str">
        <x:v>Childhood; Adolescence</x:v>
      </x:c>
      <x:c r="I237" s="28" t="str">
        <x:v>not reported/not verified</x:v>
      </x:c>
      <x:c r="J237" s="28" t="str">
        <x:v>2016-2023</x:v>
      </x:c>
      <x:c r="K237" s="28" t="str">
        <x:v>BACKGROUND: This study examines the independent and joint associations of physical activity (PA) and sleep with ADHD prevalence and severity.</x:v>
      </x:c>
      <x:c r="L237" s="28" t="str">
        <x:v>10.1016/j.genhosppsych.2026.01.016</x:v>
      </x:c>
      <x:c r="M237" s="28" t="str">
        <x:v>41604884</x:v>
      </x:c>
      <x:c r="N237" s="31" t="e">
        <x:f>HYPERLINK("https://pubmed.ncbi.nlm.nih.gov/"&amp;M237&amp;"/","Open PubMed")</x:f>
        <x:v>HYPERLINK is not implemented. linkLocation=https://pubmed.ncbi.nlm.nih.gov/41604884/, friendlyName=Open PubMed</x:v>
      </x:c>
      <x:c r="O237" s="31" t="str">
        <x:v>not reported</x:v>
      </x:c>
      <x:c r="P237" s="28" t="str">
        <x:v>abstract only</x:v>
      </x:c>
      <x:c r="Q237" s="28" t="str">
        <x:v>PubMed/MEDLINE export supplied by user | query: not verified from export; see Protocol sheet for reproducible recommended query</x:v>
      </x:c>
      <x:c r="R237" s="28" t="str">
        <x:v>Batch 1 core</x:v>
      </x:c>
      <x:c r="S237" s="28" t="str">
        <x:v>Direct ADHD primary study on diagnosis, family/education, structural conditions, lived experience/outcomes, or environment/lifestyle.</x:v>
      </x:c>
      <x:c r="T237" s="28" t="str">
        <x:v>not apparent from accessed abstract/metadata</x:v>
      </x:c>
      <x:c r="U237" s="28" t="str">
        <x:v>none identified in MEDLINE record</x:v>
      </x:c>
      <x:c r="V237" s="26" t="str">
        <x:v>not reported</x:v>
      </x:c>
      <x:c r="W237" s="28" t="str">
        <x:v>No PMC copy identified; publisher PDF/access must be checked</x:v>
      </x:c>
      <x:c r="X237" s="28" t="str">
        <x:v>Not verified</x:v>
      </x:c>
      <x:c r="Y237" s="31" t="str">
        <x:f>IF(V237="not reported","not reported",HYPERLINK("https://pmc.ncbi.nlm.nih.gov/articles/"&amp;V237&amp;"/","Open Full Text"))</x:f>
        <x:v>not reported</x:v>
      </x:c>
      <x:c r="Z237" s="31" t="e">
        <x:f>IF(L237="not reported","not reported",HYPERLINK("https://doi.org/"&amp;L237,"Open Publisher"))</x:f>
        <x:v>HYPERLINK is not implemented. linkLocation=https://doi.org/10.1016/j.genhosppsych.2026.01.016, friendlyName=Open Publisher</x:v>
      </x:c>
      <x:c r="AA237" s="28" t="str">
        <x:v>DOI present in PubMed/MEDLINE; no PMCID present.</x:v>
      </x:c>
      <x:c r="AB237" s="28" t="str">
        <x:v>Open the DOI/publisher page. If PDF is paywalled, try Stony Brook Library access, Article Galaxy, or interlibrary loan.</x:v>
      </x:c>
      <x:c r="AC237" s="26" t="str">
        <x:v>2026-09-20</x:v>
      </x:c>
    </x:row>
    <x:row r="238">
      <x:c r="A238" s="26" t="str">
        <x:v>PUBMED-41568706</x:v>
      </x:c>
      <x:c r="B238" s="28" t="str">
        <x:v>Parent Perspectives on Barriers to Behavioral Health Services for Children With ADHD.</x:v>
      </x:c>
      <x:c r="C238" s="28" t="str">
        <x:v>Taylor, Brittany J; DiGirolamo, Ann; Snyder, Angela; Smith, Colleen; Claussen, Angelika H; Hutchins, Helena J; Phillips Martinez, Amanda</x:v>
      </x:c>
      <x:c r="D238" s="28" t="n">
        <x:v>2026</x:v>
      </x:c>
      <x:c r="E238" s="28" t="str">
        <x:v>Journal of attention disorders</x:v>
      </x:c>
      <x:c r="F238" s="28" t="str">
        <x:v>Primary study - qualitative</x:v>
      </x:c>
      <x:c r="G238" s="28" t="str">
        <x:v>Development &amp; presentation; Recognition &amp; diagnosis; Family &amp; education; Social &amp; structural; Treatment &amp; support</x:v>
      </x:c>
      <x:c r="H238" s="28" t="str">
        <x:v>Childhood; Adulthood</x:v>
      </x:c>
      <x:c r="I238" s="28" t="str">
        <x:v>not reported/not verified</x:v>
      </x:c>
      <x:c r="J238" s="28" t="str">
        <x:v>not reported</x:v>
      </x:c>
      <x:c r="K238" s="28" t="str">
        <x:v>OBJECTIVE: The American Academy of Pediatrics (AAP) recommends behavioral therapy as first-line evidence-based treatment for young children with ADHD, and in combination with medications for children ages 6 years and older.</x:v>
      </x:c>
      <x:c r="L238" s="28" t="str">
        <x:v>10.1177/10870547251412660</x:v>
      </x:c>
      <x:c r="M238" s="28" t="str">
        <x:v>41568706</x:v>
      </x:c>
      <x:c r="N238" s="31" t="e">
        <x:f>HYPERLINK("https://pubmed.ncbi.nlm.nih.gov/"&amp;M238&amp;"/","Open PubMed")</x:f>
        <x:v>HYPERLINK is not implemented. linkLocation=https://pubmed.ncbi.nlm.nih.gov/41568706/, friendlyName=Open PubMed</x:v>
      </x:c>
      <x:c r="O238" s="31" t="e">
        <x:f>HYPERLINK("https://pmc.ncbi.nlm.nih.gov/articles/PMC13312204/","Open Full Text")</x:f>
        <x:v>HYPERLINK is not implemented. linkLocation=https://pmc.ncbi.nlm.nih.gov/articles/PMC13312204/, friendlyName=Open Full Text</x:v>
      </x:c>
      <x:c r="P238" s="28" t="str">
        <x:v>abstract only</x:v>
      </x:c>
      <x:c r="Q238" s="28" t="str">
        <x:v>PubMed/MEDLINE export supplied by user | query: not verified from export; see Protocol sheet for reproducible recommended query</x:v>
      </x:c>
      <x:c r="R238" s="28" t="str">
        <x:v>Batch 1 core</x:v>
      </x:c>
      <x:c r="S238" s="28" t="str">
        <x:v>Direct ADHD primary study on diagnosis, family/education, structural conditions, lived experience/outcomes, or environment/lifestyle.</x:v>
      </x:c>
      <x:c r="T238" s="28" t="str">
        <x:v>not apparent from accessed abstract/metadata</x:v>
      </x:c>
      <x:c r="U238" s="28" t="str">
        <x:v>none identified in MEDLINE record</x:v>
      </x:c>
      <x:c r="V238" s="26" t="str">
        <x:v>PMC13312204</x:v>
      </x:c>
      <x:c r="W238" s="28" t="str">
        <x:v>PDF available via PMC (verified free full text)</x:v>
      </x:c>
      <x:c r="X238" s="28" t="str">
        <x:v>Yes — PMC</x:v>
      </x:c>
      <x:c r="Y238" s="31" t="e">
        <x:f>IF(V238="not reported","not reported",HYPERLINK("https://pmc.ncbi.nlm.nih.gov/articles/"&amp;V238&amp;"/","Open Full Text"))</x:f>
        <x:v>HYPERLINK is not implemented. linkLocation=https://pmc.ncbi.nlm.nih.gov/articles/PMC13312204/, friendlyName=Open Full Text</x:v>
      </x:c>
      <x:c r="Z238" s="31" t="e">
        <x:f>IF(L238="not reported","not reported",HYPERLINK("https://doi.org/"&amp;L238,"Open Publisher"))</x:f>
        <x:v>HYPERLINK is not implemented. linkLocation=https://doi.org/10.1177/10870547251412660, friendlyName=Open Publisher</x:v>
      </x:c>
      <x:c r="AA238" s="28" t="str">
        <x:v>PMCID PMC13312204 present in the PubMed/MEDLINE record.</x:v>
      </x:c>
      <x:c r="AB238" s="28" t="str">
        <x:v>Open the PMC full-text page and use its PDF button/download option.</x:v>
      </x:c>
      <x:c r="AC238" s="26" t="str">
        <x:v>2026-09-20</x:v>
      </x:c>
    </x:row>
    <x:row r="239">
      <x:c r="A239" s="26" t="str">
        <x:v>PUBMED-41561819</x:v>
      </x:c>
      <x:c r="B239" s="28" t="str">
        <x:v>The relationship between mode of delivery and Attention Deficit Hyperactivity Disorder: a meta-analysis and systematic review.</x:v>
      </x:c>
      <x:c r="C239" s="28" t="str">
        <x:v>Wei, Jiali; Zheng, Zehao; Zheng, Yao; Hou, Kaishan; Pan, Xue; Li, Xinyu; Qiu, Yue; Han, Mei</x:v>
      </x:c>
      <x:c r="D239" s="28" t="n">
        <x:v>2026</x:v>
      </x:c>
      <x:c r="E239" s="28" t="str">
        <x:v>PeerJ</x:v>
      </x:c>
      <x:c r="F239" s="28" t="str">
        <x:v>Evidence synthesis - meta-analysis</x:v>
      </x:c>
      <x:c r="G239" s="28" t="str">
        <x:v>Development &amp; presentation; Recognition &amp; diagnosis; Social &amp; structural; Treatment &amp; support; Life outcomes &amp; lived experience</x:v>
      </x:c>
      <x:c r="H239" s="28" t="str">
        <x:v>Childhood</x:v>
      </x:c>
      <x:c r="I239" s="28" t="str">
        <x:v>not reported/not verified</x:v>
      </x:c>
      <x:c r="J239" s="28" t="str">
        <x:v>not reported</x:v>
      </x:c>
      <x:c r="K239" s="28" t="str">
        <x:v>This study aims to examine whether children born via C-section are at increased risk of developing ADHD using both cohort and case-control data.</x:v>
      </x:c>
      <x:c r="L239" s="28" t="str">
        <x:v>10.7717/peerj.20603</x:v>
      </x:c>
      <x:c r="M239" s="28" t="str">
        <x:v>41561819</x:v>
      </x:c>
      <x:c r="N239" s="31" t="e">
        <x:f>HYPERLINK("https://pubmed.ncbi.nlm.nih.gov/"&amp;M239&amp;"/","Open PubMed")</x:f>
        <x:v>HYPERLINK is not implemented. linkLocation=https://pubmed.ncbi.nlm.nih.gov/41561819/, friendlyName=Open PubMed</x:v>
      </x:c>
      <x:c r="O239" s="31" t="e">
        <x:f>HYPERLINK("https://pmc.ncbi.nlm.nih.gov/articles/PMC12814906/","Open Full Text")</x:f>
        <x:v>HYPERLINK is not implemented. linkLocation=https://pmc.ncbi.nlm.nih.gov/articles/PMC12814906/, friendlyName=Open Full Text</x:v>
      </x:c>
      <x:c r="P239" s="28" t="str">
        <x:v>abstract only</x:v>
      </x:c>
      <x:c r="Q239" s="28" t="str">
        <x:v>PubMed/MEDLINE export supplied by user | query: not verified from export; see Protocol sheet for reproducible recommended query</x:v>
      </x:c>
      <x:c r="R239" s="28" t="str">
        <x:v>Batch 1 core</x:v>
      </x:c>
      <x:c r="S239" s="28" t="str">
        <x:v>Direct ADHD evidence synthesis/guideline with broad multi-topic relevance.</x:v>
      </x:c>
      <x:c r="T239" s="28" t="str">
        <x:v>not apparent from accessed abstract/metadata</x:v>
      </x:c>
      <x:c r="U239" s="28" t="str">
        <x:v>none identified in MEDLINE record</x:v>
      </x:c>
      <x:c r="V239" s="26" t="str">
        <x:v>PMC12814906</x:v>
      </x:c>
      <x:c r="W239" s="28" t="str">
        <x:v>PDF available via PMC (verified free full text)</x:v>
      </x:c>
      <x:c r="X239" s="28" t="str">
        <x:v>Yes — PMC</x:v>
      </x:c>
      <x:c r="Y239" s="31" t="e">
        <x:f>IF(V239="not reported","not reported",HYPERLINK("https://pmc.ncbi.nlm.nih.gov/articles/"&amp;V239&amp;"/","Open Full Text"))</x:f>
        <x:v>HYPERLINK is not implemented. linkLocation=https://pmc.ncbi.nlm.nih.gov/articles/PMC12814906/, friendlyName=Open Full Text</x:v>
      </x:c>
      <x:c r="Z239" s="31" t="e">
        <x:f>IF(L239="not reported","not reported",HYPERLINK("https://doi.org/"&amp;L239,"Open Publisher"))</x:f>
        <x:v>HYPERLINK is not implemented. linkLocation=https://doi.org/10.7717/peerj.20603, friendlyName=Open Publisher</x:v>
      </x:c>
      <x:c r="AA239" s="28" t="str">
        <x:v>PMCID PMC12814906 present in the PubMed/MEDLINE record.</x:v>
      </x:c>
      <x:c r="AB239" s="28" t="str">
        <x:v>Open the PMC full-text page and use its PDF button/download option.</x:v>
      </x:c>
      <x:c r="AC239" s="26" t="str">
        <x:v>2026-09-20</x:v>
      </x:c>
    </x:row>
    <x:row r="240">
      <x:c r="A240" s="26" t="str">
        <x:v>PUBMED-41507887</x:v>
      </x:c>
      <x:c r="B240" s="28" t="str">
        <x:v>The role of executive function for differentiating symptoms of ADHD in preschoolers.</x:v>
      </x:c>
      <x:c r="C240" s="28" t="str">
        <x:v>Gao, Yi; Chen, Guojuan; Wang, Jiangping; Yang, Cuiwei; Yang, Rongwang; Jiang, Kewen</x:v>
      </x:c>
      <x:c r="D240" s="28" t="n">
        <x:v>2026</x:v>
      </x:c>
      <x:c r="E240" s="28" t="str">
        <x:v>BMC pediatrics</x:v>
      </x:c>
      <x:c r="F240" s="28" t="str">
        <x:v>Primary study - cohort</x:v>
      </x:c>
      <x:c r="G240" s="28" t="str">
        <x:v>Development &amp; presentation; Recognition &amp; diagnosis; Family &amp; education; Social &amp; structural</x:v>
      </x:c>
      <x:c r="H240" s="28" t="str">
        <x:v>Childhood; aged 4–5 years</x:v>
      </x:c>
      <x:c r="I240" s="28" t="str">
        <x:v>not reported/not verified</x:v>
      </x:c>
      <x:c r="J240" s="28" t="str">
        <x:v>not reported</x:v>
      </x:c>
      <x:c r="K240" s="28" t="str">
        <x:v>This study investigates the discriminative role of EF in identifying ADHD symptoms amid challenges in early assessment.</x:v>
      </x:c>
      <x:c r="L240" s="28" t="str">
        <x:v>10.1186/s12887-025-06465-z</x:v>
      </x:c>
      <x:c r="M240" s="28" t="str">
        <x:v>41507887</x:v>
      </x:c>
      <x:c r="N240" s="31" t="e">
        <x:f>HYPERLINK("https://pubmed.ncbi.nlm.nih.gov/"&amp;M240&amp;"/","Open PubMed")</x:f>
        <x:v>HYPERLINK is not implemented. linkLocation=https://pubmed.ncbi.nlm.nih.gov/41507887/, friendlyName=Open PubMed</x:v>
      </x:c>
      <x:c r="O240" s="31" t="e">
        <x:f>HYPERLINK("https://pmc.ncbi.nlm.nih.gov/articles/PMC12908381/","Open Full Text")</x:f>
        <x:v>HYPERLINK is not implemented. linkLocation=https://pmc.ncbi.nlm.nih.gov/articles/PMC12908381/, friendlyName=Open Full Text</x:v>
      </x:c>
      <x:c r="P240" s="28" t="str">
        <x:v>abstract only</x:v>
      </x:c>
      <x:c r="Q240" s="28" t="str">
        <x:v>PubMed/MEDLINE export supplied by user | query: not verified from export; see Protocol sheet for reproducible recommended query</x:v>
      </x:c>
      <x:c r="R240" s="28" t="str">
        <x:v>Batch 1 core</x:v>
      </x:c>
      <x:c r="S240" s="28" t="str">
        <x:v>Direct ADHD primary study on diagnosis, family/education, structural conditions, lived experience/outcomes, or environment/lifestyle.</x:v>
      </x:c>
      <x:c r="T240" s="28" t="str">
        <x:v>not apparent from accessed abstract/metadata</x:v>
      </x:c>
      <x:c r="U240" s="28" t="str">
        <x:v>none identified in MEDLINE record</x:v>
      </x:c>
      <x:c r="V240" s="26" t="str">
        <x:v>PMC12908381</x:v>
      </x:c>
      <x:c r="W240" s="28" t="str">
        <x:v>PDF available via PMC (verified free full text)</x:v>
      </x:c>
      <x:c r="X240" s="28" t="str">
        <x:v>Yes — PMC</x:v>
      </x:c>
      <x:c r="Y240" s="31" t="e">
        <x:f>IF(V240="not reported","not reported",HYPERLINK("https://pmc.ncbi.nlm.nih.gov/articles/"&amp;V240&amp;"/","Open Full Text"))</x:f>
        <x:v>HYPERLINK is not implemented. linkLocation=https://pmc.ncbi.nlm.nih.gov/articles/PMC12908381/, friendlyName=Open Full Text</x:v>
      </x:c>
      <x:c r="Z240" s="31" t="e">
        <x:f>IF(L240="not reported","not reported",HYPERLINK("https://doi.org/"&amp;L240,"Open Publisher"))</x:f>
        <x:v>HYPERLINK is not implemented. linkLocation=https://doi.org/10.1186/s12887-025-06465-z, friendlyName=Open Publisher</x:v>
      </x:c>
      <x:c r="AA240" s="28" t="str">
        <x:v>PMCID PMC12908381 present in the PubMed/MEDLINE record.</x:v>
      </x:c>
      <x:c r="AB240" s="28" t="str">
        <x:v>Open the PMC full-text page and use its PDF button/download option.</x:v>
      </x:c>
      <x:c r="AC240" s="26" t="str">
        <x:v>2026-09-20</x:v>
      </x:c>
    </x:row>
    <x:row r="241">
      <x:c r="A241" s="26" t="str">
        <x:v>PUBMED-41483880</x:v>
      </x:c>
      <x:c r="B241" s="28" t="str">
        <x:v>A meta-analysis of the intervention effect of cognitive behavioral therapy on adult ADHD.</x:v>
      </x:c>
      <x:c r="C241" s="28" t="str">
        <x:v>Liu, Yang; Zhu, Feilong; Yu, Yueyong; Song, Yiqi; Luo, Hao; Xu, Baohua; Lin, Shengqi; Ha, Zhitong; Kuang, Dongqing; Xie, Yongtao; Chen, Zhexue; Ren, Yuanchun</x:v>
      </x:c>
      <x:c r="D241" s="28" t="n">
        <x:v>2026</x:v>
      </x:c>
      <x:c r="E241" s="28" t="str">
        <x:v>Journal of affective disorders</x:v>
      </x:c>
      <x:c r="F241" s="28" t="str">
        <x:v>Evidence synthesis - meta-analysis</x:v>
      </x:c>
      <x:c r="G241" s="28" t="str">
        <x:v>Development &amp; presentation; Recognition &amp; diagnosis; Social &amp; structural; Environmental &amp; lifestyle; Treatment &amp; support; Life outcomes &amp; lived experience</x:v>
      </x:c>
      <x:c r="H241" s="28" t="str">
        <x:v>Adulthood</x:v>
      </x:c>
      <x:c r="I241" s="28" t="str">
        <x:v>not reported/not verified</x:v>
      </x:c>
      <x:c r="J241" s="28" t="str">
        <x:v>not reported</x:v>
      </x:c>
      <x:c r="K241" s="28" t="str">
        <x:v>OBJECTIVE: This meta-analysis systematically evaluated the efficacy of Cognitive Behavioral Therapy (CBT) for adult Attention-Deficit/Hyperactivity Disorder (ADHD).</x:v>
      </x:c>
      <x:c r="L241" s="28" t="str">
        <x:v>10.1016/j.jad.2025.121107</x:v>
      </x:c>
      <x:c r="M241" s="28" t="str">
        <x:v>41483880</x:v>
      </x:c>
      <x:c r="N241" s="31" t="e">
        <x:f>HYPERLINK("https://pubmed.ncbi.nlm.nih.gov/"&amp;M241&amp;"/","Open PubMed")</x:f>
        <x:v>HYPERLINK is not implemented. linkLocation=https://pubmed.ncbi.nlm.nih.gov/41483880/, friendlyName=Open PubMed</x:v>
      </x:c>
      <x:c r="O241" s="31" t="str">
        <x:v>not reported</x:v>
      </x:c>
      <x:c r="P241" s="28" t="str">
        <x:v>abstract only</x:v>
      </x:c>
      <x:c r="Q241" s="28" t="str">
        <x:v>PubMed/MEDLINE export supplied by user | query: not verified from export; see Protocol sheet for reproducible recommended query</x:v>
      </x:c>
      <x:c r="R241" s="28" t="str">
        <x:v>Batch 1 core</x:v>
      </x:c>
      <x:c r="S241" s="28" t="str">
        <x:v>Direct ADHD evidence synthesis/guideline with broad multi-topic relevance.</x:v>
      </x:c>
      <x:c r="T241" s="28" t="str">
        <x:v>not apparent from accessed abstract/metadata</x:v>
      </x:c>
      <x:c r="U241" s="28" t="str">
        <x:v>none identified in MEDLINE record</x:v>
      </x:c>
      <x:c r="V241" s="26" t="str">
        <x:v>not reported</x:v>
      </x:c>
      <x:c r="W241" s="28" t="str">
        <x:v>No PMC copy identified; publisher PDF/access must be checked</x:v>
      </x:c>
      <x:c r="X241" s="28" t="str">
        <x:v>Not verified</x:v>
      </x:c>
      <x:c r="Y241" s="31" t="str">
        <x:f>IF(V241="not reported","not reported",HYPERLINK("https://pmc.ncbi.nlm.nih.gov/articles/"&amp;V241&amp;"/","Open Full Text"))</x:f>
        <x:v>not reported</x:v>
      </x:c>
      <x:c r="Z241" s="31" t="e">
        <x:f>IF(L241="not reported","not reported",HYPERLINK("https://doi.org/"&amp;L241,"Open Publisher"))</x:f>
        <x:v>HYPERLINK is not implemented. linkLocation=https://doi.org/10.1016/j.jad.2025.121107, friendlyName=Open Publisher</x:v>
      </x:c>
      <x:c r="AA241" s="28" t="str">
        <x:v>DOI present in PubMed/MEDLINE; no PMCID present.</x:v>
      </x:c>
      <x:c r="AB241" s="28" t="str">
        <x:v>Open the DOI/publisher page. If PDF is paywalled, try Stony Brook Library access, Article Galaxy, or interlibrary loan.</x:v>
      </x:c>
      <x:c r="AC241" s="26" t="str">
        <x:v>2026-09-20</x:v>
      </x:c>
    </x:row>
    <x:row r="242">
      <x:c r="A242" s="26" t="str">
        <x:v>PUBMED-41482947</x:v>
      </x:c>
      <x:c r="B242" s="28" t="str">
        <x:v>Increased Serum Netrin-1 Levels Among Children Diagnosed With ADHD.</x:v>
      </x:c>
      <x:c r="C242" s="28" t="str">
        <x:v>Öztürk, Hümeyra Hilal; Sezen, Selen; Çağlar, Elçin; Elgün Ülkar, Serenay; Açıkel, Sadettin Burak</x:v>
      </x:c>
      <x:c r="D242" s="28" t="n">
        <x:v>2026</x:v>
      </x:c>
      <x:c r="E242" s="28" t="str">
        <x:v>Journal of attention disorders</x:v>
      </x:c>
      <x:c r="F242" s="28" t="str">
        <x:v>Primary study - case-control</x:v>
      </x:c>
      <x:c r="G242" s="28" t="str">
        <x:v>Development &amp; presentation; Recognition &amp; diagnosis; Family &amp; education; Social &amp; structural; Life outcomes &amp; lived experience</x:v>
      </x:c>
      <x:c r="H242" s="28" t="str">
        <x:v>Childhood</x:v>
      </x:c>
      <x:c r="I242" s="28" t="str">
        <x:v>not reported/not verified</x:v>
      </x:c>
      <x:c r="J242" s="28" t="str">
        <x:v>not reported</x:v>
      </x:c>
      <x:c r="K242" s="28" t="str">
        <x:v>OBJECTIVE: ADHD is a common neurodevelopmental disorder of childhood characterized by altered projections of dopaminergic neurons and connectivity issues in various brain regions.</x:v>
      </x:c>
      <x:c r="L242" s="28" t="str">
        <x:v>10.1177/10870547251408127</x:v>
      </x:c>
      <x:c r="M242" s="28" t="str">
        <x:v>41482947</x:v>
      </x:c>
      <x:c r="N242" s="31" t="e">
        <x:f>HYPERLINK("https://pubmed.ncbi.nlm.nih.gov/"&amp;M242&amp;"/","Open PubMed")</x:f>
        <x:v>HYPERLINK is not implemented. linkLocation=https://pubmed.ncbi.nlm.nih.gov/41482947/, friendlyName=Open PubMed</x:v>
      </x:c>
      <x:c r="O242" s="31" t="str">
        <x:v>not reported</x:v>
      </x:c>
      <x:c r="P242" s="28" t="str">
        <x:v>abstract only</x:v>
      </x:c>
      <x:c r="Q242" s="28" t="str">
        <x:v>PubMed/MEDLINE export supplied by user | query: not verified from export; see Protocol sheet for reproducible recommended query</x:v>
      </x:c>
      <x:c r="R242" s="28" t="str">
        <x:v>Batch 1 core</x:v>
      </x:c>
      <x:c r="S242" s="28" t="str">
        <x:v>Direct ADHD primary study on diagnosis, family/education, structural conditions, lived experience/outcomes, or environment/lifestyle.</x:v>
      </x:c>
      <x:c r="T242" s="28" t="str">
        <x:v>not apparent from accessed abstract/metadata</x:v>
      </x:c>
      <x:c r="U242" s="28" t="str">
        <x:v>none identified in MEDLINE record</x:v>
      </x:c>
      <x:c r="V242" s="26" t="str">
        <x:v>not reported</x:v>
      </x:c>
      <x:c r="W242" s="28" t="str">
        <x:v>No PMC copy identified; publisher PDF/access must be checked</x:v>
      </x:c>
      <x:c r="X242" s="28" t="str">
        <x:v>Not verified</x:v>
      </x:c>
      <x:c r="Y242" s="31" t="str">
        <x:f>IF(V242="not reported","not reported",HYPERLINK("https://pmc.ncbi.nlm.nih.gov/articles/"&amp;V242&amp;"/","Open Full Text"))</x:f>
        <x:v>not reported</x:v>
      </x:c>
      <x:c r="Z242" s="31" t="e">
        <x:f>IF(L242="not reported","not reported",HYPERLINK("https://doi.org/"&amp;L242,"Open Publisher"))</x:f>
        <x:v>HYPERLINK is not implemented. linkLocation=https://doi.org/10.1177/10870547251408127, friendlyName=Open Publisher</x:v>
      </x:c>
      <x:c r="AA242" s="28" t="str">
        <x:v>DOI present in PubMed/MEDLINE; no PMCID present.</x:v>
      </x:c>
      <x:c r="AB242" s="28" t="str">
        <x:v>Open the DOI/publisher page. If PDF is paywalled, try Stony Brook Library access, Article Galaxy, or interlibrary loan.</x:v>
      </x:c>
      <x:c r="AC242" s="26" t="str">
        <x:v>2026-09-20</x:v>
      </x:c>
    </x:row>
    <x:row r="243">
      <x:c r="A243" s="26" t="str">
        <x:v>PUBMED-41380135</x:v>
      </x:c>
      <x:c r="B243" s="28" t="str">
        <x:v>Exercise-Based Interventions for ADHD: A Review of Modalities, Mechanisms, and Practical Applications.</x:v>
      </x:c>
      <x:c r="C243" s="28" t="str">
        <x:v>Han, Joon Sang; Jang, Young Jin</x:v>
      </x:c>
      <x:c r="D243" s="28" t="n">
        <x:v>2026</x:v>
      </x:c>
      <x:c r="E243" s="28" t="str">
        <x:v>Research quarterly for exercise and sport</x:v>
      </x:c>
      <x:c r="F243" s="28" t="str">
        <x:v>Evidence synthesis - review</x:v>
      </x:c>
      <x:c r="G243" s="28" t="str">
        <x:v>Development &amp; presentation; Social &amp; structural; Environmental &amp; lifestyle; Treatment &amp; support; Life outcomes &amp; lived experience</x:v>
      </x:c>
      <x:c r="H243" s="28" t="str">
        <x:v>Childhood; Adolescence</x:v>
      </x:c>
      <x:c r="I243" s="28" t="str">
        <x:v>not reported/not verified</x:v>
      </x:c>
      <x:c r="J243" s="28" t="str">
        <x:v>between 2015 and 2025</x:v>
      </x:c>
      <x:c r="K243" s="28" t="str">
        <x:v>Attention-deficit/hyperactivity disorder (ADHD) is a common neurodevelopmental condition marked by inattention, hyperactivity, and impulsivity.</x:v>
      </x:c>
      <x:c r="L243" s="28" t="str">
        <x:v>10.1080/02701367.2025.2581676</x:v>
      </x:c>
      <x:c r="M243" s="28" t="str">
        <x:v>41380135</x:v>
      </x:c>
      <x:c r="N243" s="31" t="e">
        <x:f>HYPERLINK("https://pubmed.ncbi.nlm.nih.gov/"&amp;M243&amp;"/","Open PubMed")</x:f>
        <x:v>HYPERLINK is not implemented. linkLocation=https://pubmed.ncbi.nlm.nih.gov/41380135/, friendlyName=Open PubMed</x:v>
      </x:c>
      <x:c r="O243" s="31" t="str">
        <x:v>not reported</x:v>
      </x:c>
      <x:c r="P243" s="28" t="str">
        <x:v>abstract only</x:v>
      </x:c>
      <x:c r="Q243" s="28" t="str">
        <x:v>PubMed/MEDLINE export supplied by user | query: not verified from export; see Protocol sheet for reproducible recommended query</x:v>
      </x:c>
      <x:c r="R243" s="28" t="str">
        <x:v>Batch 1 core</x:v>
      </x:c>
      <x:c r="S243" s="28" t="str">
        <x:v>Direct ADHD evidence synthesis/guideline with broad multi-topic relevance.</x:v>
      </x:c>
      <x:c r="T243" s="28" t="str">
        <x:v>not apparent from accessed abstract/metadata</x:v>
      </x:c>
      <x:c r="U243" s="28" t="str">
        <x:v>none identified in MEDLINE record</x:v>
      </x:c>
      <x:c r="V243" s="26" t="str">
        <x:v>not reported</x:v>
      </x:c>
      <x:c r="W243" s="28" t="str">
        <x:v>No PMC copy identified; publisher PDF/access must be checked</x:v>
      </x:c>
      <x:c r="X243" s="28" t="str">
        <x:v>Not verified</x:v>
      </x:c>
      <x:c r="Y243" s="31" t="str">
        <x:f>IF(V243="not reported","not reported",HYPERLINK("https://pmc.ncbi.nlm.nih.gov/articles/"&amp;V243&amp;"/","Open Full Text"))</x:f>
        <x:v>not reported</x:v>
      </x:c>
      <x:c r="Z243" s="31" t="e">
        <x:f>IF(L243="not reported","not reported",HYPERLINK("https://doi.org/"&amp;L243,"Open Publisher"))</x:f>
        <x:v>HYPERLINK is not implemented. linkLocation=https://doi.org/10.1080/02701367.2025.2581676, friendlyName=Open Publisher</x:v>
      </x:c>
      <x:c r="AA243" s="28" t="str">
        <x:v>DOI present in PubMed/MEDLINE; no PMCID present.</x:v>
      </x:c>
      <x:c r="AB243" s="28" t="str">
        <x:v>Open the DOI/publisher page. If PDF is paywalled, try Stony Brook Library access, Article Galaxy, or interlibrary loan.</x:v>
      </x:c>
      <x:c r="AC243" s="26" t="str">
        <x:v>2026-09-20</x:v>
      </x:c>
    </x:row>
    <x:row r="244">
      <x:c r="A244" s="26" t="str">
        <x:v>PUBMED-41340547</x:v>
      </x:c>
      <x:c r="B244" s="28" t="str">
        <x:v>Barriers to and Enablers of the Transition From Child to Adult Mental Health Services for Autistic Young People and/or Those With Attention Deficit Hyperactivity Disorder: A Scoping Review.</x:v>
      </x:c>
      <x:c r="C244" s="28" t="str">
        <x:v>Tang, Kim; Thompson, Craig; Hill, Elizabeth; Pellicano, Elizabeth; Wan, Phoebe; Myers, Bronwyn</x:v>
      </x:c>
      <x:c r="D244" s="28" t="n">
        <x:v>2026</x:v>
      </x:c>
      <x:c r="E244" s="28" t="str">
        <x:v>Child: care, health and development</x:v>
      </x:c>
      <x:c r="F244" s="28" t="str">
        <x:v>Evidence synthesis - systematic review</x:v>
      </x:c>
      <x:c r="G244" s="28" t="str">
        <x:v>Development &amp; presentation; Recognition &amp; diagnosis; Social &amp; structural; Treatment &amp; support</x:v>
      </x:c>
      <x:c r="H244" s="28" t="str">
        <x:v>Childhood; Adolescence; Adulthood</x:v>
      </x:c>
      <x:c r="I244" s="28" t="str">
        <x:v>not reported/not verified</x:v>
      </x:c>
      <x:c r="J244" s="28" t="str">
        <x:v>not reported</x:v>
      </x:c>
      <x:c r="K244" s="28" t="str">
        <x:v>RESULTS: This review identified 1677 studies, of which 66 proceeded to full-text screening, and 10 were included.</x:v>
      </x:c>
      <x:c r="L244" s="28" t="str">
        <x:v>10.1111/cch.70201</x:v>
      </x:c>
      <x:c r="M244" s="28" t="str">
        <x:v>41340547</x:v>
      </x:c>
      <x:c r="N244" s="31" t="e">
        <x:f>HYPERLINK("https://pubmed.ncbi.nlm.nih.gov/"&amp;M244&amp;"/","Open PubMed")</x:f>
        <x:v>HYPERLINK is not implemented. linkLocation=https://pubmed.ncbi.nlm.nih.gov/41340547/, friendlyName=Open PubMed</x:v>
      </x:c>
      <x:c r="O244" s="31" t="str">
        <x:v>not reported</x:v>
      </x:c>
      <x:c r="P244" s="28" t="str">
        <x:v>abstract only</x:v>
      </x:c>
      <x:c r="Q244" s="28" t="str">
        <x:v>PubMed/MEDLINE export supplied by user | query: not verified from export; see Protocol sheet for reproducible recommended query</x:v>
      </x:c>
      <x:c r="R244" s="28" t="str">
        <x:v>Batch 1 core</x:v>
      </x:c>
      <x:c r="S244" s="28" t="str">
        <x:v>Direct ADHD evidence synthesis/guideline with broad multi-topic relevance.</x:v>
      </x:c>
      <x:c r="T244" s="28" t="str">
        <x:v>not apparent from accessed abstract/metadata</x:v>
      </x:c>
      <x:c r="U244" s="28" t="str">
        <x:v>none identified in MEDLINE record</x:v>
      </x:c>
      <x:c r="V244" s="26" t="str">
        <x:v>not reported</x:v>
      </x:c>
      <x:c r="W244" s="28" t="str">
        <x:v>No PMC copy identified; publisher PDF/access must be checked</x:v>
      </x:c>
      <x:c r="X244" s="28" t="str">
        <x:v>Not verified</x:v>
      </x:c>
      <x:c r="Y244" s="31" t="str">
        <x:f>IF(V244="not reported","not reported",HYPERLINK("https://pmc.ncbi.nlm.nih.gov/articles/"&amp;V244&amp;"/","Open Full Text"))</x:f>
        <x:v>not reported</x:v>
      </x:c>
      <x:c r="Z244" s="31" t="e">
        <x:f>IF(L244="not reported","not reported",HYPERLINK("https://doi.org/"&amp;L244,"Open Publisher"))</x:f>
        <x:v>HYPERLINK is not implemented. linkLocation=https://doi.org/10.1111/cch.70201, friendlyName=Open Publisher</x:v>
      </x:c>
      <x:c r="AA244" s="28" t="str">
        <x:v>DOI present in PubMed/MEDLINE; no PMCID present.</x:v>
      </x:c>
      <x:c r="AB244" s="28" t="str">
        <x:v>Open the DOI/publisher page. If PDF is paywalled, try Stony Brook Library access, Article Galaxy, or interlibrary loan.</x:v>
      </x:c>
      <x:c r="AC244" s="26" t="str">
        <x:v>2026-09-20</x:v>
      </x:c>
    </x:row>
    <x:row r="245">
      <x:c r="A245" s="26" t="str">
        <x:v>PUBMED-41315883</x:v>
      </x:c>
      <x:c r="B245" s="28" t="str">
        <x:v>"I Felt Like a Burden": An Exploration Into the Experience of Romantic Relationships for People With ADHD.</x:v>
      </x:c>
      <x:c r="C245" s="28" t="str">
        <x:v>O'Brien, Maidy; Kini-Seery, Christina; Kelly, Caitlin; Kilbride, Ken; Wrigley, Margo; Nearchou, Finiki; Bramham, Jessica</x:v>
      </x:c>
      <x:c r="D245" s="28" t="n">
        <x:v>2026</x:v>
      </x:c>
      <x:c r="E245" s="28" t="str">
        <x:v>Journal of marital and family therapy</x:v>
      </x:c>
      <x:c r="F245" s="28" t="str">
        <x:v>Primary study - qualitative</x:v>
      </x:c>
      <x:c r="G245" s="28" t="str">
        <x:v>Development &amp; presentation; Family &amp; education; Social &amp; structural; Life outcomes &amp; lived experience</x:v>
      </x:c>
      <x:c r="H245" s="28" t="str">
        <x:v>Adulthood</x:v>
      </x:c>
      <x:c r="I245" s="28" t="str">
        <x:v>not reported/not verified</x:v>
      </x:c>
      <x:c r="J245" s="28" t="str">
        <x:v>not reported</x:v>
      </x:c>
      <x:c r="K245" s="28" t="str">
        <x:v>Romantic relationships can have additional complexities for individuals with Attention-Deficit/Hyperactivity Disorder (ADHD).</x:v>
      </x:c>
      <x:c r="L245" s="28" t="str">
        <x:v>10.1111/jmft.70097</x:v>
      </x:c>
      <x:c r="M245" s="28" t="str">
        <x:v>41315883</x:v>
      </x:c>
      <x:c r="N245" s="31" t="e">
        <x:f>HYPERLINK("https://pubmed.ncbi.nlm.nih.gov/"&amp;M245&amp;"/","Open PubMed")</x:f>
        <x:v>HYPERLINK is not implemented. linkLocation=https://pubmed.ncbi.nlm.nih.gov/41315883/, friendlyName=Open PubMed</x:v>
      </x:c>
      <x:c r="O245" s="31" t="e">
        <x:f>HYPERLINK("https://pmc.ncbi.nlm.nih.gov/articles/PMC12662942/","Open Full Text")</x:f>
        <x:v>HYPERLINK is not implemented. linkLocation=https://pmc.ncbi.nlm.nih.gov/articles/PMC12662942/, friendlyName=Open Full Text</x:v>
      </x:c>
      <x:c r="P245" s="28" t="str">
        <x:v>abstract only</x:v>
      </x:c>
      <x:c r="Q245" s="28" t="str">
        <x:v>PubMed/MEDLINE export supplied by user | query: not verified from export; see Protocol sheet for reproducible recommended query</x:v>
      </x:c>
      <x:c r="R245" s="28" t="str">
        <x:v>Batch 1 core</x:v>
      </x:c>
      <x:c r="S245" s="28" t="str">
        <x:v>Direct ADHD primary study on diagnosis, family/education, structural conditions, lived experience/outcomes, or environment/lifestyle.</x:v>
      </x:c>
      <x:c r="T245" s="28" t="str">
        <x:v>not apparent from accessed abstract/metadata</x:v>
      </x:c>
      <x:c r="U245" s="28" t="str">
        <x:v>none identified in MEDLINE record</x:v>
      </x:c>
      <x:c r="V245" s="26" t="str">
        <x:v>PMC12662942</x:v>
      </x:c>
      <x:c r="W245" s="28" t="str">
        <x:v>PDF available via PMC (verified free full text)</x:v>
      </x:c>
      <x:c r="X245" s="28" t="str">
        <x:v>Yes — PMC</x:v>
      </x:c>
      <x:c r="Y245" s="31" t="e">
        <x:f>IF(V245="not reported","not reported",HYPERLINK("https://pmc.ncbi.nlm.nih.gov/articles/"&amp;V245&amp;"/","Open Full Text"))</x:f>
        <x:v>HYPERLINK is not implemented. linkLocation=https://pmc.ncbi.nlm.nih.gov/articles/PMC12662942/, friendlyName=Open Full Text</x:v>
      </x:c>
      <x:c r="Z245" s="31" t="e">
        <x:f>IF(L245="not reported","not reported",HYPERLINK("https://doi.org/"&amp;L245,"Open Publisher"))</x:f>
        <x:v>HYPERLINK is not implemented. linkLocation=https://doi.org/10.1111/jmft.70097, friendlyName=Open Publisher</x:v>
      </x:c>
      <x:c r="AA245" s="28" t="str">
        <x:v>PMCID PMC12662942 present in the PubMed/MEDLINE record.</x:v>
      </x:c>
      <x:c r="AB245" s="28" t="str">
        <x:v>Open the PMC full-text page and use its PDF button/download option.</x:v>
      </x:c>
      <x:c r="AC245" s="26" t="str">
        <x:v>2026-09-20</x:v>
      </x:c>
    </x:row>
    <x:row r="246">
      <x:c r="A246" s="26" t="str">
        <x:v>PUBMED-41307684</x:v>
      </x:c>
      <x:c r="B246" s="28" t="str">
        <x:v>The impact of targeted physical activity interventions on inhibition control in children and adolescents with ADHD: a meta-analysis.</x:v>
      </x:c>
      <x:c r="C246" s="28" t="str">
        <x:v>Min, Yiwei; Chen, Yuxin; Liu, Jiling</x:v>
      </x:c>
      <x:c r="D246" s="28" t="n">
        <x:v>2026</x:v>
      </x:c>
      <x:c r="E246" s="28" t="str">
        <x:v>European child &amp; adolescent psychiatry</x:v>
      </x:c>
      <x:c r="F246" s="28" t="str">
        <x:v>Evidence synthesis - meta-analysis</x:v>
      </x:c>
      <x:c r="G246" s="28" t="str">
        <x:v>Development &amp; presentation; Social &amp; structural; Environmental &amp; lifestyle; Treatment &amp; support; Life outcomes &amp; lived experience</x:v>
      </x:c>
      <x:c r="H246" s="28" t="str">
        <x:v>Childhood; Adolescence; aged 7-17 years</x:v>
      </x:c>
      <x:c r="I246" s="28" t="str">
        <x:v>not reported/not verified</x:v>
      </x:c>
      <x:c r="J246" s="28" t="str">
        <x:v>not reported</x:v>
      </x:c>
      <x:c r="K246" s="28" t="str">
        <x:v>In this meta-analysis we assessed the overall effect of PA interventions and then conducted subgroup meta-analyses and meta-regression to explore potential sources of heterogeneity.</x:v>
      </x:c>
      <x:c r="L246" s="28" t="str">
        <x:v>10.1007/s00787-025-02904-5</x:v>
      </x:c>
      <x:c r="M246" s="28" t="str">
        <x:v>41307684</x:v>
      </x:c>
      <x:c r="N246" s="31" t="e">
        <x:f>HYPERLINK("https://pubmed.ncbi.nlm.nih.gov/"&amp;M246&amp;"/","Open PubMed")</x:f>
        <x:v>HYPERLINK is not implemented. linkLocation=https://pubmed.ncbi.nlm.nih.gov/41307684/, friendlyName=Open PubMed</x:v>
      </x:c>
      <x:c r="O246" s="31" t="str">
        <x:v>not reported</x:v>
      </x:c>
      <x:c r="P246" s="28" t="str">
        <x:v>abstract only</x:v>
      </x:c>
      <x:c r="Q246" s="28" t="str">
        <x:v>PubMed/MEDLINE export supplied by user | query: not verified from export; see Protocol sheet for reproducible recommended query</x:v>
      </x:c>
      <x:c r="R246" s="28" t="str">
        <x:v>Batch 1 core</x:v>
      </x:c>
      <x:c r="S246" s="28" t="str">
        <x:v>Direct ADHD evidence synthesis/guideline with broad multi-topic relevance.</x:v>
      </x:c>
      <x:c r="T246" s="28" t="str">
        <x:v>not apparent from accessed abstract/metadata</x:v>
      </x:c>
      <x:c r="U246" s="28" t="str">
        <x:v>none identified in MEDLINE record</x:v>
      </x:c>
      <x:c r="V246" s="26" t="str">
        <x:v>not reported</x:v>
      </x:c>
      <x:c r="W246" s="28" t="str">
        <x:v>No PMC copy identified; publisher PDF/access must be checked</x:v>
      </x:c>
      <x:c r="X246" s="28" t="str">
        <x:v>Not verified</x:v>
      </x:c>
      <x:c r="Y246" s="31" t="str">
        <x:f>IF(V246="not reported","not reported",HYPERLINK("https://pmc.ncbi.nlm.nih.gov/articles/"&amp;V246&amp;"/","Open Full Text"))</x:f>
        <x:v>not reported</x:v>
      </x:c>
      <x:c r="Z246" s="31" t="e">
        <x:f>IF(L246="not reported","not reported",HYPERLINK("https://doi.org/"&amp;L246,"Open Publisher"))</x:f>
        <x:v>HYPERLINK is not implemented. linkLocation=https://doi.org/10.1007/s00787-025-02904-5, friendlyName=Open Publisher</x:v>
      </x:c>
      <x:c r="AA246" s="28" t="str">
        <x:v>DOI present in PubMed/MEDLINE; no PMCID present.</x:v>
      </x:c>
      <x:c r="AB246" s="28" t="str">
        <x:v>Open the DOI/publisher page. If PDF is paywalled, try Stony Brook Library access, Article Galaxy, or interlibrary loan.</x:v>
      </x:c>
      <x:c r="AC246" s="26" t="str">
        <x:v>2026-09-20</x:v>
      </x:c>
    </x:row>
    <x:row r="247">
      <x:c r="A247" s="26" t="str">
        <x:v>PUBMED-41260369</x:v>
      </x:c>
      <x:c r="B247" s="28" t="str">
        <x:v>The effects of computerized executive function training on the youth with ADHD: A systematic review and meta-analysis.</x:v>
      </x:c>
      <x:c r="C247" s="28" t="str">
        <x:v>Yan, Shibo; He, Xiaoxiang; Zhang, Yifan; Yang, Jing; Xu, Xiang; Liang, Xinyu; Xu, Ting; Dou, Wenjie; Li, Baoming; Li, Zhenghan</x:v>
      </x:c>
      <x:c r="D247" s="28" t="n">
        <x:v>2026</x:v>
      </x:c>
      <x:c r="E247" s="28" t="str">
        <x:v>Journal of affective disorders</x:v>
      </x:c>
      <x:c r="F247" s="28" t="str">
        <x:v>Evidence synthesis - meta-analysis</x:v>
      </x:c>
      <x:c r="G247" s="28" t="str">
        <x:v>Development &amp; presentation; Recognition &amp; diagnosis; Family &amp; education; Social &amp; structural; Environmental &amp; lifestyle; Treatment &amp; support; Life outcomes &amp; lived experience</x:v>
      </x:c>
      <x:c r="H247" s="28" t="str">
        <x:v>Childhood; Adolescence</x:v>
      </x:c>
      <x:c r="I247" s="28" t="str">
        <x:v>not reported/not verified</x:v>
      </x:c>
      <x:c r="J247" s="28" t="str">
        <x:v>not reported</x:v>
      </x:c>
      <x:c r="K247" s="28" t="str">
        <x:v>To evaluate the efficacy of CEFT for youth with ADHD, we examined its immediate, transfer (including near transfer to other cognitive functions and far transfer to ADHD symptoms, academic performance, and quality of life), and sustained effects.</x:v>
      </x:c>
      <x:c r="L247" s="28" t="str">
        <x:v>10.1016/j.jad.2025.120730</x:v>
      </x:c>
      <x:c r="M247" s="28" t="str">
        <x:v>41260369</x:v>
      </x:c>
      <x:c r="N247" s="31" t="e">
        <x:f>HYPERLINK("https://pubmed.ncbi.nlm.nih.gov/"&amp;M247&amp;"/","Open PubMed")</x:f>
        <x:v>HYPERLINK is not implemented. linkLocation=https://pubmed.ncbi.nlm.nih.gov/41260369/, friendlyName=Open PubMed</x:v>
      </x:c>
      <x:c r="O247" s="31" t="str">
        <x:v>not reported</x:v>
      </x:c>
      <x:c r="P247" s="28" t="str">
        <x:v>abstract only</x:v>
      </x:c>
      <x:c r="Q247" s="28" t="str">
        <x:v>PubMed/MEDLINE export supplied by user | query: not verified from export; see Protocol sheet for reproducible recommended query</x:v>
      </x:c>
      <x:c r="R247" s="28" t="str">
        <x:v>Batch 1 core</x:v>
      </x:c>
      <x:c r="S247" s="28" t="str">
        <x:v>Direct ADHD evidence synthesis/guideline with broad multi-topic relevance.</x:v>
      </x:c>
      <x:c r="T247" s="28" t="str">
        <x:v>not apparent from accessed abstract/metadata</x:v>
      </x:c>
      <x:c r="U247" s="28" t="str">
        <x:v>none identified in MEDLINE record</x:v>
      </x:c>
      <x:c r="V247" s="26" t="str">
        <x:v>not reported</x:v>
      </x:c>
      <x:c r="W247" s="28" t="str">
        <x:v>No PMC copy identified; publisher PDF/access must be checked</x:v>
      </x:c>
      <x:c r="X247" s="28" t="str">
        <x:v>Not verified</x:v>
      </x:c>
      <x:c r="Y247" s="31" t="str">
        <x:f>IF(V247="not reported","not reported",HYPERLINK("https://pmc.ncbi.nlm.nih.gov/articles/"&amp;V247&amp;"/","Open Full Text"))</x:f>
        <x:v>not reported</x:v>
      </x:c>
      <x:c r="Z247" s="31" t="e">
        <x:f>IF(L247="not reported","not reported",HYPERLINK("https://doi.org/"&amp;L247,"Open Publisher"))</x:f>
        <x:v>HYPERLINK is not implemented. linkLocation=https://doi.org/10.1016/j.jad.2025.120730, friendlyName=Open Publisher</x:v>
      </x:c>
      <x:c r="AA247" s="28" t="str">
        <x:v>DOI present in PubMed/MEDLINE; no PMCID present.</x:v>
      </x:c>
      <x:c r="AB247" s="28" t="str">
        <x:v>Open the DOI/publisher page. If PDF is paywalled, try Stony Brook Library access, Article Galaxy, or interlibrary loan.</x:v>
      </x:c>
      <x:c r="AC247" s="26" t="str">
        <x:v>2026-09-20</x:v>
      </x:c>
    </x:row>
    <x:row r="248">
      <x:c r="A248" s="26" t="str">
        <x:v>PUBMED-41250857</x:v>
      </x:c>
      <x:c r="B248" s="28" t="str">
        <x:v>Narrative and Non-Narrative Discourse Skills in ADHD Across the Lifespan: A Systematic Review of the Literature.</x:v>
      </x:c>
      <x:c r="C248" s="28" t="str">
        <x:v>Hill, Elizabeth; Wells, Robert; Chen, Wai</x:v>
      </x:c>
      <x:c r="D248" s="28" t="n">
        <x:v>2026</x:v>
      </x:c>
      <x:c r="E248" s="28" t="str">
        <x:v>Journal of attention disorders</x:v>
      </x:c>
      <x:c r="F248" s="28" t="str">
        <x:v>Evidence synthesis - systematic review</x:v>
      </x:c>
      <x:c r="G248" s="28" t="str">
        <x:v>Development &amp; presentation; Family &amp; education; Social &amp; structural; Environmental &amp; lifestyle</x:v>
      </x:c>
      <x:c r="H248" s="28" t="str">
        <x:v>Childhood; Adulthood</x:v>
      </x:c>
      <x:c r="I248" s="28" t="str">
        <x:v>not reported/not verified</x:v>
      </x:c>
      <x:c r="J248" s="28" t="str">
        <x:v>not reported</x:v>
      </x:c>
      <x:c r="K248" s="28" t="str">
        <x:v>OBJECTIVE: Discourse-level language abilities are critical for successful participation in social, academic, and vocational pursuits.</x:v>
      </x:c>
      <x:c r="L248" s="28" t="str">
        <x:v>10.1177/10870547251389329</x:v>
      </x:c>
      <x:c r="M248" s="28" t="str">
        <x:v>41250857</x:v>
      </x:c>
      <x:c r="N248" s="31" t="e">
        <x:f>HYPERLINK("https://pubmed.ncbi.nlm.nih.gov/"&amp;M248&amp;"/","Open PubMed")</x:f>
        <x:v>HYPERLINK is not implemented. linkLocation=https://pubmed.ncbi.nlm.nih.gov/41250857/, friendlyName=Open PubMed</x:v>
      </x:c>
      <x:c r="O248" s="31" t="e">
        <x:f>HYPERLINK("https://pmc.ncbi.nlm.nih.gov/articles/PMC13033048/","Open Full Text")</x:f>
        <x:v>HYPERLINK is not implemented. linkLocation=https://pmc.ncbi.nlm.nih.gov/articles/PMC13033048/, friendlyName=Open Full Text</x:v>
      </x:c>
      <x:c r="P248" s="28" t="str">
        <x:v>abstract only</x:v>
      </x:c>
      <x:c r="Q248" s="28" t="str">
        <x:v>PubMed/MEDLINE export supplied by user | query: not verified from export; see Protocol sheet for reproducible recommended query</x:v>
      </x:c>
      <x:c r="R248" s="28" t="str">
        <x:v>Batch 1 core</x:v>
      </x:c>
      <x:c r="S248" s="28" t="str">
        <x:v>Direct ADHD evidence synthesis/guideline with broad multi-topic relevance.</x:v>
      </x:c>
      <x:c r="T248" s="28" t="str">
        <x:v>not apparent from accessed abstract/metadata</x:v>
      </x:c>
      <x:c r="U248" s="28" t="str">
        <x:v>none identified in MEDLINE record</x:v>
      </x:c>
      <x:c r="V248" s="26" t="str">
        <x:v>PMC13033048</x:v>
      </x:c>
      <x:c r="W248" s="28" t="str">
        <x:v>PDF available via PMC (verified free full text)</x:v>
      </x:c>
      <x:c r="X248" s="28" t="str">
        <x:v>Yes — PMC</x:v>
      </x:c>
      <x:c r="Y248" s="31" t="e">
        <x:f>IF(V248="not reported","not reported",HYPERLINK("https://pmc.ncbi.nlm.nih.gov/articles/"&amp;V248&amp;"/","Open Full Text"))</x:f>
        <x:v>HYPERLINK is not implemented. linkLocation=https://pmc.ncbi.nlm.nih.gov/articles/PMC13033048/, friendlyName=Open Full Text</x:v>
      </x:c>
      <x:c r="Z248" s="31" t="e">
        <x:f>IF(L248="not reported","not reported",HYPERLINK("https://doi.org/"&amp;L248,"Open Publisher"))</x:f>
        <x:v>HYPERLINK is not implemented. linkLocation=https://doi.org/10.1177/10870547251389329, friendlyName=Open Publisher</x:v>
      </x:c>
      <x:c r="AA248" s="28" t="str">
        <x:v>PMCID PMC13033048 present in the PubMed/MEDLINE record.</x:v>
      </x:c>
      <x:c r="AB248" s="28" t="str">
        <x:v>Open the PMC full-text page and use its PDF button/download option.</x:v>
      </x:c>
      <x:c r="AC248" s="26" t="str">
        <x:v>2026-09-20</x:v>
      </x:c>
    </x:row>
    <x:row r="249">
      <x:c r="A249" s="26" t="str">
        <x:v>PUBMED-41183543</x:v>
      </x:c>
      <x:c r="B249" s="28" t="str">
        <x:v>Therapeutic Reference Ranges for ADHD Drugs in Blood of Children and Adolescents: A Systematic Review by the AGNP TDM-Task Force.</x:v>
      </x:c>
      <x:c r="C249" s="28" t="str">
        <x:v>Hagenkötter, Sarah S; Egberts, Karin; Fekete, Stefanie; Hiemke, Christoph; Rauh, Reinhold; Clement, Hans-Willi; Biscaldi, Monica; Fleischhaker, Christian; Gerlach, Manfred</x:v>
      </x:c>
      <x:c r="D249" s="28" t="n">
        <x:v>2026</x:v>
      </x:c>
      <x:c r="E249" s="28" t="str">
        <x:v>Pharmacopsychiatry</x:v>
      </x:c>
      <x:c r="F249" s="28" t="str">
        <x:v>Evidence synthesis - systematic review</x:v>
      </x:c>
      <x:c r="G249" s="28" t="str">
        <x:v>Development &amp; presentation; Social &amp; structural; Treatment &amp; support</x:v>
      </x:c>
      <x:c r="H249" s="28" t="str">
        <x:v>Childhood; Adolescence</x:v>
      </x:c>
      <x:c r="I249" s="28" t="str">
        <x:v>not reported/not verified</x:v>
      </x:c>
      <x:c r="J249" s="28" t="str">
        <x:v>not reported</x:v>
      </x:c>
      <x:c r="K249" s="28" t="str">
        <x:v>This study aimed to establish preliminary therapeutic reference ranges for methylphenidate (MPH), d-amphetamine (d-AMP), atomoxetine (ATX), and guanfacine (GFC), based on a systematic review of the existing relevant literature.Therapeutic reference ranges were calculated based on blood concentrations measured in responder children and adolescents with ADHD.</x:v>
      </x:c>
      <x:c r="L249" s="28" t="str">
        <x:v>10.1055/a-2689-4911</x:v>
      </x:c>
      <x:c r="M249" s="28" t="str">
        <x:v>41183543</x:v>
      </x:c>
      <x:c r="N249" s="31" t="e">
        <x:f>HYPERLINK("https://pubmed.ncbi.nlm.nih.gov/"&amp;M249&amp;"/","Open PubMed")</x:f>
        <x:v>HYPERLINK is not implemented. linkLocation=https://pubmed.ncbi.nlm.nih.gov/41183543/, friendlyName=Open PubMed</x:v>
      </x:c>
      <x:c r="O249" s="31" t="e">
        <x:f>HYPERLINK("https://pmc.ncbi.nlm.nih.gov/articles/PMC12795626/","Open Full Text")</x:f>
        <x:v>HYPERLINK is not implemented. linkLocation=https://pmc.ncbi.nlm.nih.gov/articles/PMC12795626/, friendlyName=Open Full Text</x:v>
      </x:c>
      <x:c r="P249" s="28" t="str">
        <x:v>abstract only</x:v>
      </x:c>
      <x:c r="Q249" s="28" t="str">
        <x:v>PubMed/MEDLINE export supplied by user | query: not verified from export; see Protocol sheet for reproducible recommended query</x:v>
      </x:c>
      <x:c r="R249" s="28" t="str">
        <x:v>Batch 1 core</x:v>
      </x:c>
      <x:c r="S249" s="28" t="str">
        <x:v>Direct ADHD evidence synthesis/guideline with broad multi-topic relevance.</x:v>
      </x:c>
      <x:c r="T249" s="28" t="str">
        <x:v>not apparent from accessed abstract/metadata</x:v>
      </x:c>
      <x:c r="U249" s="28" t="str">
        <x:v>none identified in MEDLINE record</x:v>
      </x:c>
      <x:c r="V249" s="26" t="str">
        <x:v>PMC12795626</x:v>
      </x:c>
      <x:c r="W249" s="28" t="str">
        <x:v>PDF available via PMC (verified free full text)</x:v>
      </x:c>
      <x:c r="X249" s="28" t="str">
        <x:v>Yes — PMC</x:v>
      </x:c>
      <x:c r="Y249" s="31" t="e">
        <x:f>IF(V249="not reported","not reported",HYPERLINK("https://pmc.ncbi.nlm.nih.gov/articles/"&amp;V249&amp;"/","Open Full Text"))</x:f>
        <x:v>HYPERLINK is not implemented. linkLocation=https://pmc.ncbi.nlm.nih.gov/articles/PMC12795626/, friendlyName=Open Full Text</x:v>
      </x:c>
      <x:c r="Z249" s="31" t="e">
        <x:f>IF(L249="not reported","not reported",HYPERLINK("https://doi.org/"&amp;L249,"Open Publisher"))</x:f>
        <x:v>HYPERLINK is not implemented. linkLocation=https://doi.org/10.1055/a-2689-4911, friendlyName=Open Publisher</x:v>
      </x:c>
      <x:c r="AA249" s="28" t="str">
        <x:v>PMCID PMC12795626 present in the PubMed/MEDLINE record.</x:v>
      </x:c>
      <x:c r="AB249" s="28" t="str">
        <x:v>Open the PMC full-text page and use its PDF button/download option.</x:v>
      </x:c>
      <x:c r="AC249" s="26" t="str">
        <x:v>2026-09-20</x:v>
      </x:c>
    </x:row>
    <x:row r="250">
      <x:c r="A250" s="26" t="str">
        <x:v>PUBMED-41165045</x:v>
      </x:c>
      <x:c r="B250" s="28" t="str">
        <x:v>Circadian rhythm patterns and screen time in relation to sleep quality in adults with attention-deficit/hyperactivity disorder.</x:v>
      </x:c>
      <x:c r="C250" s="28" t="str">
        <x:v>Canlı İşler, Ayla; Dalkıran, Mihriban</x:v>
      </x:c>
      <x:c r="D250" s="28" t="n">
        <x:v>2026</x:v>
      </x:c>
      <x:c r="E250" s="28" t="str">
        <x:v>Chronobiology international</x:v>
      </x:c>
      <x:c r="F250" s="28" t="str">
        <x:v>Primary study - case-control</x:v>
      </x:c>
      <x:c r="G250" s="28" t="str">
        <x:v>Development &amp; presentation; Recognition &amp; diagnosis; Social &amp; structural; Environmental &amp; lifestyle</x:v>
      </x:c>
      <x:c r="H250" s="28" t="str">
        <x:v>Adulthood</x:v>
      </x:c>
      <x:c r="I250" s="28" t="str">
        <x:v>not reported/not verified</x:v>
      </x:c>
      <x:c r="J250" s="28" t="str">
        <x:v>not reported</x:v>
      </x:c>
      <x:c r="K250" s="28" t="str">
        <x:v>This study compared screen time, circadian rhythm patterns, and sleep quality in adults diagnosed with attention-deficit/hyperactivity disorder (ADHD) and healthy controls, and examined the associations among these parameters.</x:v>
      </x:c>
      <x:c r="L250" s="28" t="str">
        <x:v>10.1080/07420528.2025.2579142</x:v>
      </x:c>
      <x:c r="M250" s="28" t="str">
        <x:v>41165045</x:v>
      </x:c>
      <x:c r="N250" s="31" t="e">
        <x:f>HYPERLINK("https://pubmed.ncbi.nlm.nih.gov/"&amp;M250&amp;"/","Open PubMed")</x:f>
        <x:v>HYPERLINK is not implemented. linkLocation=https://pubmed.ncbi.nlm.nih.gov/41165045/, friendlyName=Open PubMed</x:v>
      </x:c>
      <x:c r="O250" s="31" t="str">
        <x:v>not reported</x:v>
      </x:c>
      <x:c r="P250" s="28" t="str">
        <x:v>abstract only</x:v>
      </x:c>
      <x:c r="Q250" s="28" t="str">
        <x:v>PubMed/MEDLINE export supplied by user | query: not verified from export; see Protocol sheet for reproducible recommended query</x:v>
      </x:c>
      <x:c r="R250" s="28" t="str">
        <x:v>Batch 1 core</x:v>
      </x:c>
      <x:c r="S250" s="28" t="str">
        <x:v>Direct ADHD primary study on diagnosis, family/education, structural conditions, lived experience/outcomes, or environment/lifestyle.</x:v>
      </x:c>
      <x:c r="T250" s="28" t="str">
        <x:v>not apparent from accessed abstract/metadata</x:v>
      </x:c>
      <x:c r="U250" s="28" t="str">
        <x:v>none identified in MEDLINE record</x:v>
      </x:c>
      <x:c r="V250" s="26" t="str">
        <x:v>not reported</x:v>
      </x:c>
      <x:c r="W250" s="28" t="str">
        <x:v>No PMC copy identified; publisher PDF/access must be checked</x:v>
      </x:c>
      <x:c r="X250" s="28" t="str">
        <x:v>Not verified</x:v>
      </x:c>
      <x:c r="Y250" s="31" t="str">
        <x:f>IF(V250="not reported","not reported",HYPERLINK("https://pmc.ncbi.nlm.nih.gov/articles/"&amp;V250&amp;"/","Open Full Text"))</x:f>
        <x:v>not reported</x:v>
      </x:c>
      <x:c r="Z250" s="31" t="e">
        <x:f>IF(L250="not reported","not reported",HYPERLINK("https://doi.org/"&amp;L250,"Open Publisher"))</x:f>
        <x:v>HYPERLINK is not implemented. linkLocation=https://doi.org/10.1080/07420528.2025.2579142, friendlyName=Open Publisher</x:v>
      </x:c>
      <x:c r="AA250" s="28" t="str">
        <x:v>DOI present in PubMed/MEDLINE; no PMCID present.</x:v>
      </x:c>
      <x:c r="AB250" s="28" t="str">
        <x:v>Open the DOI/publisher page. If PDF is paywalled, try Stony Brook Library access, Article Galaxy, or interlibrary loan.</x:v>
      </x:c>
      <x:c r="AC250" s="26" t="str">
        <x:v>2026-09-20</x:v>
      </x:c>
    </x:row>
    <x:row r="251">
      <x:c r="A251" s="26" t="str">
        <x:v>PUBMED-41121671</x:v>
      </x:c>
      <x:c r="B251" s="28" t="str">
        <x:v>Feasibility of the Psychoeducational Programme SKILLS for the Child's Social Network for Patients Newly Diagnosed With ADHD: A Mixed-Method Design Study.</x:v>
      </x:c>
      <x:c r="C251" s="28" t="str">
        <x:v>Isaksson, Martina; Ekenberg, Daniel; Martinsen, Elin Håkonsen; Lööf, Måns; Isaksson, Johan</x:v>
      </x:c>
      <x:c r="D251" s="28" t="n">
        <x:v>2026</x:v>
      </x:c>
      <x:c r="E251" s="28" t="str">
        <x:v>Scandinavian journal of psychology</x:v>
      </x:c>
      <x:c r="F251" s="28" t="str">
        <x:v>Primary study - qualitative</x:v>
      </x:c>
      <x:c r="G251" s="28" t="str">
        <x:v>Development &amp; presentation; Recognition &amp; diagnosis; Family &amp; education; Social &amp; structural; Environmental &amp; lifestyle; Treatment &amp; support; Life outcomes &amp; lived experience; Historical &amp; contemporary context</x:v>
      </x:c>
      <x:c r="H251" s="28" t="str">
        <x:v>Childhood; Adolescence; Adulthood</x:v>
      </x:c>
      <x:c r="I251" s="28" t="str">
        <x:v>not reported/not verified</x:v>
      </x:c>
      <x:c r="J251" s="28" t="str">
        <x:v>not reported</x:v>
      </x:c>
      <x:c r="K251" s="28" t="str">
        <x:v>This study evaluated the feasibility of the psychoeducational programme SKILLS for the child's Social Network (SKILLS-SN), focusing on implementation, acceptability, and preliminary outcomes.</x:v>
      </x:c>
      <x:c r="L251" s="28" t="str">
        <x:v>10.1111/sjop.70034</x:v>
      </x:c>
      <x:c r="M251" s="28" t="str">
        <x:v>41121671</x:v>
      </x:c>
      <x:c r="N251" s="31" t="e">
        <x:f>HYPERLINK("https://pubmed.ncbi.nlm.nih.gov/"&amp;M251&amp;"/","Open PubMed")</x:f>
        <x:v>HYPERLINK is not implemented. linkLocation=https://pubmed.ncbi.nlm.nih.gov/41121671/, friendlyName=Open PubMed</x:v>
      </x:c>
      <x:c r="O251" s="31" t="e">
        <x:f>HYPERLINK("https://pmc.ncbi.nlm.nih.gov/articles/PMC12984001/","Open Full Text")</x:f>
        <x:v>HYPERLINK is not implemented. linkLocation=https://pmc.ncbi.nlm.nih.gov/articles/PMC12984001/, friendlyName=Open Full Text</x:v>
      </x:c>
      <x:c r="P251" s="28" t="str">
        <x:v>abstract only</x:v>
      </x:c>
      <x:c r="Q251" s="28" t="str">
        <x:v>PubMed/MEDLINE export supplied by user | query: not verified from export; see Protocol sheet for reproducible recommended query</x:v>
      </x:c>
      <x:c r="R251" s="28" t="str">
        <x:v>Batch 1 core</x:v>
      </x:c>
      <x:c r="S251" s="28" t="str">
        <x:v>Direct ADHD primary study on diagnosis, family/education, structural conditions, lived experience/outcomes, or environment/lifestyle.</x:v>
      </x:c>
      <x:c r="T251" s="28" t="str">
        <x:v>not apparent from accessed abstract/metadata</x:v>
      </x:c>
      <x:c r="U251" s="28" t="str">
        <x:v>none identified in MEDLINE record</x:v>
      </x:c>
      <x:c r="V251" s="26" t="str">
        <x:v>PMC12984001</x:v>
      </x:c>
      <x:c r="W251" s="28" t="str">
        <x:v>PDF available via PMC (verified free full text)</x:v>
      </x:c>
      <x:c r="X251" s="28" t="str">
        <x:v>Yes — PMC</x:v>
      </x:c>
      <x:c r="Y251" s="31" t="e">
        <x:f>IF(V251="not reported","not reported",HYPERLINK("https://pmc.ncbi.nlm.nih.gov/articles/"&amp;V251&amp;"/","Open Full Text"))</x:f>
        <x:v>HYPERLINK is not implemented. linkLocation=https://pmc.ncbi.nlm.nih.gov/articles/PMC12984001/, friendlyName=Open Full Text</x:v>
      </x:c>
      <x:c r="Z251" s="31" t="e">
        <x:f>IF(L251="not reported","not reported",HYPERLINK("https://doi.org/"&amp;L251,"Open Publisher"))</x:f>
        <x:v>HYPERLINK is not implemented. linkLocation=https://doi.org/10.1111/sjop.70034, friendlyName=Open Publisher</x:v>
      </x:c>
      <x:c r="AA251" s="28" t="str">
        <x:v>PMCID PMC12984001 present in the PubMed/MEDLINE record.</x:v>
      </x:c>
      <x:c r="AB251" s="28" t="str">
        <x:v>Open the PMC full-text page and use its PDF button/download option.</x:v>
      </x:c>
      <x:c r="AC251" s="26" t="str">
        <x:v>2026-09-20</x:v>
      </x:c>
    </x:row>
    <x:row r="252">
      <x:c r="A252" s="26" t="str">
        <x:v>PUBMED-41108181</x:v>
      </x:c>
      <x:c r="B252" s="28" t="str">
        <x:v>Maternal Attention Deficit Hyperactivity Disorder and Perinatal Depression: A Systematic Review.</x:v>
      </x:c>
      <x:c r="C252" s="28" t="str">
        <x:v>Pierotti, Natalie; Jayakody, Kaushadh</x:v>
      </x:c>
      <x:c r="D252" s="28" t="n">
        <x:v>2026</x:v>
      </x:c>
      <x:c r="E252" s="28" t="str">
        <x:v>Journal of attention disorders</x:v>
      </x:c>
      <x:c r="F252" s="28" t="str">
        <x:v>Evidence synthesis - systematic review</x:v>
      </x:c>
      <x:c r="G252" s="28" t="str">
        <x:v>Development &amp; presentation; Recognition &amp; diagnosis; Social &amp; structural; Environmental &amp; lifestyle</x:v>
      </x:c>
      <x:c r="H252" s="28" t="str">
        <x:v>Adulthood</x:v>
      </x:c>
      <x:c r="I252" s="28" t="str">
        <x:v>not reported/not verified</x:v>
      </x:c>
      <x:c r="J252" s="28" t="str">
        <x:v>not reported</x:v>
      </x:c>
      <x:c r="K252" s="28" t="str">
        <x:v>OBJECTIVE: To critically appraise the available literature and examine the association between maternal ADHD and depression in the perinatal period.</x:v>
      </x:c>
      <x:c r="L252" s="28" t="str">
        <x:v>10.1177/10870547251383430</x:v>
      </x:c>
      <x:c r="M252" s="28" t="str">
        <x:v>41108181</x:v>
      </x:c>
      <x:c r="N252" s="31" t="e">
        <x:f>HYPERLINK("https://pubmed.ncbi.nlm.nih.gov/"&amp;M252&amp;"/","Open PubMed")</x:f>
        <x:v>HYPERLINK is not implemented. linkLocation=https://pubmed.ncbi.nlm.nih.gov/41108181/, friendlyName=Open PubMed</x:v>
      </x:c>
      <x:c r="O252" s="31" t="str">
        <x:v>not reported</x:v>
      </x:c>
      <x:c r="P252" s="28" t="str">
        <x:v>abstract only</x:v>
      </x:c>
      <x:c r="Q252" s="28" t="str">
        <x:v>PubMed/MEDLINE export supplied by user | query: not verified from export; see Protocol sheet for reproducible recommended query</x:v>
      </x:c>
      <x:c r="R252" s="28" t="str">
        <x:v>Batch 1 core</x:v>
      </x:c>
      <x:c r="S252" s="28" t="str">
        <x:v>Direct ADHD evidence synthesis/guideline with broad multi-topic relevance.</x:v>
      </x:c>
      <x:c r="T252" s="28" t="str">
        <x:v>not apparent from accessed abstract/metadata</x:v>
      </x:c>
      <x:c r="U252" s="28" t="str">
        <x:v>none identified in MEDLINE record</x:v>
      </x:c>
      <x:c r="V252" s="26" t="str">
        <x:v>not reported</x:v>
      </x:c>
      <x:c r="W252" s="28" t="str">
        <x:v>No PMC copy identified; publisher PDF/access must be checked</x:v>
      </x:c>
      <x:c r="X252" s="28" t="str">
        <x:v>Not verified</x:v>
      </x:c>
      <x:c r="Y252" s="31" t="str">
        <x:f>IF(V252="not reported","not reported",HYPERLINK("https://pmc.ncbi.nlm.nih.gov/articles/"&amp;V252&amp;"/","Open Full Text"))</x:f>
        <x:v>not reported</x:v>
      </x:c>
      <x:c r="Z252" s="31" t="e">
        <x:f>IF(L252="not reported","not reported",HYPERLINK("https://doi.org/"&amp;L252,"Open Publisher"))</x:f>
        <x:v>HYPERLINK is not implemented. linkLocation=https://doi.org/10.1177/10870547251383430, friendlyName=Open Publisher</x:v>
      </x:c>
      <x:c r="AA252" s="28" t="str">
        <x:v>DOI present in PubMed/MEDLINE; no PMCID present.</x:v>
      </x:c>
      <x:c r="AB252" s="28" t="str">
        <x:v>Open the DOI/publisher page. If PDF is paywalled, try Stony Brook Library access, Article Galaxy, or interlibrary loan.</x:v>
      </x:c>
      <x:c r="AC252" s="26" t="str">
        <x:v>2026-09-20</x:v>
      </x:c>
    </x:row>
    <x:row r="253">
      <x:c r="A253" s="26" t="str">
        <x:v>PUBMED-41023579</x:v>
      </x:c>
      <x:c r="B253" s="28" t="str">
        <x:v>The clinical utility of the BRIEF2 ERI in detecting comorbid conditions associated with ADHD: a retrospective cohort analysis of clinically referred school-aged children.</x:v>
      </x:c>
      <x:c r="C253" s="28" t="str">
        <x:v>Piña-Anastasiadis, William A; O'Laughlin, Liz</x:v>
      </x:c>
      <x:c r="D253" s="28" t="n">
        <x:v>2026</x:v>
      </x:c>
      <x:c r="E253" s="28" t="str">
        <x:v>Child neuropsychology : a journal on normal and abnormal development in childhood and adolescence</x:v>
      </x:c>
      <x:c r="F253" s="28" t="str">
        <x:v>Primary study - cohort</x:v>
      </x:c>
      <x:c r="G253" s="28" t="str">
        <x:v>Development &amp; presentation; Recognition &amp; diagnosis; Family &amp; education; Social &amp; structural; Treatment &amp; support</x:v>
      </x:c>
      <x:c r="H253" s="28" t="str">
        <x:v>Childhood</x:v>
      </x:c>
      <x:c r="I253" s="28" t="str">
        <x:v>not reported/not verified</x:v>
      </x:c>
      <x:c r="J253" s="28" t="str">
        <x:v>not reported</x:v>
      </x:c>
      <x:c r="K253" s="28" t="str">
        <x:v>Thus, a primary goal of this study was to examine the clinical utility of the Behavior Rating Inventory of Executive Function, Second Edition (BRIEF2) Emotion Regulation Index (ERI) in detecting symptoms commonly comorbid with ADHD (i.e. disruptive and internalizing behaviors).</x:v>
      </x:c>
      <x:c r="L253" s="28" t="str">
        <x:v>10.1080/09297049.2025.2559896</x:v>
      </x:c>
      <x:c r="M253" s="28" t="str">
        <x:v>41023579</x:v>
      </x:c>
      <x:c r="N253" s="31" t="e">
        <x:f>HYPERLINK("https://pubmed.ncbi.nlm.nih.gov/"&amp;M253&amp;"/","Open PubMed")</x:f>
        <x:v>HYPERLINK is not implemented. linkLocation=https://pubmed.ncbi.nlm.nih.gov/41023579/, friendlyName=Open PubMed</x:v>
      </x:c>
      <x:c r="O253" s="31" t="str">
        <x:v>not reported</x:v>
      </x:c>
      <x:c r="P253" s="28" t="str">
        <x:v>abstract only</x:v>
      </x:c>
      <x:c r="Q253" s="28" t="str">
        <x:v>PubMed/MEDLINE export supplied by user | query: not verified from export; see Protocol sheet for reproducible recommended query</x:v>
      </x:c>
      <x:c r="R253" s="28" t="str">
        <x:v>Batch 1 core</x:v>
      </x:c>
      <x:c r="S253" s="28" t="str">
        <x:v>Direct ADHD primary study on diagnosis, family/education, structural conditions, lived experience/outcomes, or environment/lifestyle.</x:v>
      </x:c>
      <x:c r="T253" s="28" t="str">
        <x:v>not apparent from accessed abstract/metadata</x:v>
      </x:c>
      <x:c r="U253" s="28" t="str">
        <x:v>none identified in MEDLINE record</x:v>
      </x:c>
      <x:c r="V253" s="26" t="str">
        <x:v>not reported</x:v>
      </x:c>
      <x:c r="W253" s="28" t="str">
        <x:v>No PMC copy identified; publisher PDF/access must be checked</x:v>
      </x:c>
      <x:c r="X253" s="28" t="str">
        <x:v>Not verified</x:v>
      </x:c>
      <x:c r="Y253" s="31" t="str">
        <x:f>IF(V253="not reported","not reported",HYPERLINK("https://pmc.ncbi.nlm.nih.gov/articles/"&amp;V253&amp;"/","Open Full Text"))</x:f>
        <x:v>not reported</x:v>
      </x:c>
      <x:c r="Z253" s="31" t="e">
        <x:f>IF(L253="not reported","not reported",HYPERLINK("https://doi.org/"&amp;L253,"Open Publisher"))</x:f>
        <x:v>HYPERLINK is not implemented. linkLocation=https://doi.org/10.1080/09297049.2025.2559896, friendlyName=Open Publisher</x:v>
      </x:c>
      <x:c r="AA253" s="28" t="str">
        <x:v>DOI present in PubMed/MEDLINE; no PMCID present.</x:v>
      </x:c>
      <x:c r="AB253" s="28" t="str">
        <x:v>Open the DOI/publisher page. If PDF is paywalled, try Stony Brook Library access, Article Galaxy, or interlibrary loan.</x:v>
      </x:c>
      <x:c r="AC253" s="26" t="str">
        <x:v>2026-09-20</x:v>
      </x:c>
    </x:row>
    <x:row r="254">
      <x:c r="A254" s="26" t="str">
        <x:v>PUBMED-40905635</x:v>
      </x:c>
      <x:c r="B254" s="28" t="str">
        <x:v>School-Based Social Skills Interventions for Youth With ADHD: A Systematic Review and Meta-Analysis.</x:v>
      </x:c>
      <x:c r="C254" s="28" t="str">
        <x:v>Bussanich, Gabriella; Harrison, Judith R; Peltier, Corey; Patel, Aayushi; Mehta, Paulomi; Patel, Kashees</x:v>
      </x:c>
      <x:c r="D254" s="28" t="n">
        <x:v>2026</x:v>
      </x:c>
      <x:c r="E254" s="28" t="str">
        <x:v>Journal of attention disorders</x:v>
      </x:c>
      <x:c r="F254" s="28" t="str">
        <x:v>Evidence synthesis - meta-analysis</x:v>
      </x:c>
      <x:c r="G254" s="28" t="str">
        <x:v>Development &amp; presentation; Recognition &amp; diagnosis; Family &amp; education; Social &amp; structural; Treatment &amp; support; Life outcomes &amp; lived experience</x:v>
      </x:c>
      <x:c r="H254" s="28" t="str">
        <x:v>Childhood; Adolescence</x:v>
      </x:c>
      <x:c r="I254" s="28" t="str">
        <x:v>Setting (MeSH): Schools</x:v>
      </x:c>
      <x:c r="J254" s="28" t="str">
        <x:v>not reported</x:v>
      </x:c>
      <x:c r="K254" s="28" t="str">
        <x:v>As such, the purpose of the current study was to evaluate the empirical evidence pertaining to both stand-alone and multimodal school-based social skills programs for students with ADHD, and to assess the effects of potential moderating variables.</x:v>
      </x:c>
      <x:c r="L254" s="28" t="str">
        <x:v>10.1177/10870547251364578</x:v>
      </x:c>
      <x:c r="M254" s="28" t="str">
        <x:v>40905635</x:v>
      </x:c>
      <x:c r="N254" s="31" t="e">
        <x:f>HYPERLINK("https://pubmed.ncbi.nlm.nih.gov/"&amp;M254&amp;"/","Open PubMed")</x:f>
        <x:v>HYPERLINK is not implemented. linkLocation=https://pubmed.ncbi.nlm.nih.gov/40905635/, friendlyName=Open PubMed</x:v>
      </x:c>
      <x:c r="O254" s="31" t="str">
        <x:v>not reported</x:v>
      </x:c>
      <x:c r="P254" s="28" t="str">
        <x:v>abstract only</x:v>
      </x:c>
      <x:c r="Q254" s="28" t="str">
        <x:v>PubMed/MEDLINE export supplied by user | query: not verified from export; see Protocol sheet for reproducible recommended query</x:v>
      </x:c>
      <x:c r="R254" s="28" t="str">
        <x:v>Batch 1 core</x:v>
      </x:c>
      <x:c r="S254" s="28" t="str">
        <x:v>Direct ADHD evidence synthesis/guideline with broad multi-topic relevance.</x:v>
      </x:c>
      <x:c r="T254" s="28" t="str">
        <x:v>not apparent from accessed abstract/metadata</x:v>
      </x:c>
      <x:c r="U254" s="28" t="str">
        <x:v>none identified in MEDLINE record</x:v>
      </x:c>
      <x:c r="V254" s="26" t="str">
        <x:v>not reported</x:v>
      </x:c>
      <x:c r="W254" s="28" t="str">
        <x:v>No PMC copy identified; publisher PDF/access must be checked</x:v>
      </x:c>
      <x:c r="X254" s="28" t="str">
        <x:v>Not verified</x:v>
      </x:c>
      <x:c r="Y254" s="31" t="str">
        <x:f>IF(V254="not reported","not reported",HYPERLINK("https://pmc.ncbi.nlm.nih.gov/articles/"&amp;V254&amp;"/","Open Full Text"))</x:f>
        <x:v>not reported</x:v>
      </x:c>
      <x:c r="Z254" s="31" t="e">
        <x:f>IF(L254="not reported","not reported",HYPERLINK("https://doi.org/"&amp;L254,"Open Publisher"))</x:f>
        <x:v>HYPERLINK is not implemented. linkLocation=https://doi.org/10.1177/10870547251364578, friendlyName=Open Publisher</x:v>
      </x:c>
      <x:c r="AA254" s="28" t="str">
        <x:v>DOI present in PubMed/MEDLINE; no PMCID present.</x:v>
      </x:c>
      <x:c r="AB254" s="28" t="str">
        <x:v>Open the DOI/publisher page. If PDF is paywalled, try Stony Brook Library access, Article Galaxy, or interlibrary loan.</x:v>
      </x:c>
      <x:c r="AC254" s="26" t="str">
        <x:v>2026-09-20</x:v>
      </x:c>
    </x:row>
    <x:row r="255">
      <x:c r="A255" s="26" t="str">
        <x:v>PUBMED-40877470</x:v>
      </x:c>
      <x:c r="B255" s="28" t="str">
        <x:v>Prevalence of attention deficit hyperactivity disorder/hyperkinetic disorder of pediatric and adult populations in clinical settings: a systematic review, meta-analysis and meta-regression.</x:v>
      </x:c>
      <x:c r="C255" s="28" t="str">
        <x:v>Johnson, Simon; Lim, Eric; Jacoby, Peter; Faraone, Stephen V; Su, Benjamin Minche; Solmi, Marco; Forrest, Benjamin; Furfaro, Bethany; von Klier, Kiri; Downs, Jenny; Chen, Wai</x:v>
      </x:c>
      <x:c r="D255" s="28" t="n">
        <x:v>2026</x:v>
      </x:c>
      <x:c r="E255" s="28" t="str">
        <x:v>Molecular psychiatry</x:v>
      </x:c>
      <x:c r="F255" s="28" t="str">
        <x:v>Evidence synthesis - meta-analysis</x:v>
      </x:c>
      <x:c r="G255" s="28" t="str">
        <x:v>Development &amp; presentation; Recognition &amp; diagnosis; Social &amp; structural; Treatment &amp; support; Life outcomes &amp; lived experience</x:v>
      </x:c>
      <x:c r="H255" s="28" t="str">
        <x:v>Childhood; Adolescence; Adulthood</x:v>
      </x:c>
      <x:c r="I255" s="28" t="str">
        <x:v>not reported/not verified</x:v>
      </x:c>
      <x:c r="J255" s="28" t="str">
        <x:v>1981-2023</x:v>
      </x:c>
      <x:c r="K255" s="28" t="str">
        <x:v>RESULTS: From 30,740 citations, we reviewed 521 full-text articles, yielding 311 studies for inclusion (including 653,558 pediatric and 43,311 adult participants).</x:v>
      </x:c>
      <x:c r="L255" s="28" t="str">
        <x:v>10.1038/s41380-025-03178-8</x:v>
      </x:c>
      <x:c r="M255" s="28" t="str">
        <x:v>40877470</x:v>
      </x:c>
      <x:c r="N255" s="31" t="e">
        <x:f>HYPERLINK("https://pubmed.ncbi.nlm.nih.gov/"&amp;M255&amp;"/","Open PubMed")</x:f>
        <x:v>HYPERLINK is not implemented. linkLocation=https://pubmed.ncbi.nlm.nih.gov/40877470/, friendlyName=Open PubMed</x:v>
      </x:c>
      <x:c r="O255" s="31" t="e">
        <x:f>HYPERLINK("https://pmc.ncbi.nlm.nih.gov/articles/PMC12700782/","Open Full Text")</x:f>
        <x:v>HYPERLINK is not implemented. linkLocation=https://pmc.ncbi.nlm.nih.gov/articles/PMC12700782/, friendlyName=Open Full Text</x:v>
      </x:c>
      <x:c r="P255" s="28" t="str">
        <x:v>abstract only</x:v>
      </x:c>
      <x:c r="Q255" s="28" t="str">
        <x:v>PubMed/MEDLINE export supplied by user | query: not verified from export; see Protocol sheet for reproducible recommended query</x:v>
      </x:c>
      <x:c r="R255" s="28" t="str">
        <x:v>Batch 1 core</x:v>
      </x:c>
      <x:c r="S255" s="28" t="str">
        <x:v>Direct ADHD evidence synthesis/guideline with broad multi-topic relevance.</x:v>
      </x:c>
      <x:c r="T255" s="28" t="str">
        <x:v>not apparent from accessed abstract/metadata</x:v>
      </x:c>
      <x:c r="U255" s="28" t="str">
        <x:v>none identified in MEDLINE record</x:v>
      </x:c>
      <x:c r="V255" s="26" t="str">
        <x:v>PMC12700782</x:v>
      </x:c>
      <x:c r="W255" s="28" t="str">
        <x:v>PDF available via PMC (verified free full text)</x:v>
      </x:c>
      <x:c r="X255" s="28" t="str">
        <x:v>Yes — PMC</x:v>
      </x:c>
      <x:c r="Y255" s="31" t="e">
        <x:f>IF(V255="not reported","not reported",HYPERLINK("https://pmc.ncbi.nlm.nih.gov/articles/"&amp;V255&amp;"/","Open Full Text"))</x:f>
        <x:v>HYPERLINK is not implemented. linkLocation=https://pmc.ncbi.nlm.nih.gov/articles/PMC12700782/, friendlyName=Open Full Text</x:v>
      </x:c>
      <x:c r="Z255" s="31" t="e">
        <x:f>IF(L255="not reported","not reported",HYPERLINK("https://doi.org/"&amp;L255,"Open Publisher"))</x:f>
        <x:v>HYPERLINK is not implemented. linkLocation=https://doi.org/10.1038/s41380-025-03178-8, friendlyName=Open Publisher</x:v>
      </x:c>
      <x:c r="AA255" s="28" t="str">
        <x:v>PMCID PMC12700782 present in the PubMed/MEDLINE record.</x:v>
      </x:c>
      <x:c r="AB255" s="28" t="str">
        <x:v>Open the PMC full-text page and use its PDF button/download option.</x:v>
      </x:c>
      <x:c r="AC255" s="26" t="str">
        <x:v>2026-09-20</x:v>
      </x:c>
    </x:row>
    <x:row r="256">
      <x:c r="A256" s="26" t="str">
        <x:v>PUBMED-39708078</x:v>
      </x:c>
      <x:c r="B256" s="28" t="str">
        <x:v>Peer Problems and Prosocial Behavior Among Icelandic Children and Adolescents with ADHD and/or Autism: Gender and Age Differences.</x:v>
      </x:c>
      <x:c r="C256" s="28" t="str">
        <x:v>Gudjonsdottir, Freydis J; Halldorsson, Freyr; Ragnarsdottir, Betty; Njardvik, Urdur; Hannesdottir, Dagmar Kr</x:v>
      </x:c>
      <x:c r="D256" s="28" t="n">
        <x:v>2026</x:v>
      </x:c>
      <x:c r="E256" s="28" t="str">
        <x:v>Journal of autism and developmental disorders</x:v>
      </x:c>
      <x:c r="F256" s="28" t="str">
        <x:v>Primary study - cross-sectional</x:v>
      </x:c>
      <x:c r="G256" s="28" t="str">
        <x:v>Development &amp; presentation; Recognition &amp; diagnosis; Family &amp; education; Social &amp; structural; Life outcomes &amp; lived experience</x:v>
      </x:c>
      <x:c r="H256" s="28" t="str">
        <x:v>Childhood; Adolescence; aged 5-18 years</x:v>
      </x:c>
      <x:c r="I256" s="28" t="str">
        <x:v>Geography (MeSH): Iceland</x:v>
      </x:c>
      <x:c r="J256" s="28" t="str">
        <x:v>not reported</x:v>
      </x:c>
      <x:c r="K256" s="28" t="str">
        <x:v>The aim of the current study was to examine parent and teacher-reported effects of age and gender on social functioning in a large clinical sample of children and adolescents with ADHD, autism, or co-occurring ADHD and autism using a cross-sectional study design.</x:v>
      </x:c>
      <x:c r="L256" s="28" t="str">
        <x:v>10.1007/s10803-024-06682-y</x:v>
      </x:c>
      <x:c r="M256" s="28" t="str">
        <x:v>39708078</x:v>
      </x:c>
      <x:c r="N256" s="31" t="e">
        <x:f>HYPERLINK("https://pubmed.ncbi.nlm.nih.gov/"&amp;M256&amp;"/","Open PubMed")</x:f>
        <x:v>HYPERLINK is not implemented. linkLocation=https://pubmed.ncbi.nlm.nih.gov/39708078/, friendlyName=Open PubMed</x:v>
      </x:c>
      <x:c r="O256" s="31" t="str">
        <x:v>not reported</x:v>
      </x:c>
      <x:c r="P256" s="28" t="str">
        <x:v>abstract only</x:v>
      </x:c>
      <x:c r="Q256" s="28" t="str">
        <x:v>PubMed/MEDLINE export supplied by user | query: not verified from export; see Protocol sheet for reproducible recommended query</x:v>
      </x:c>
      <x:c r="R256" s="28" t="str">
        <x:v>Batch 1 core</x:v>
      </x:c>
      <x:c r="S256" s="28" t="str">
        <x:v>Direct ADHD primary study on diagnosis, family/education, structural conditions, lived experience/outcomes, or environment/lifestyle.</x:v>
      </x:c>
      <x:c r="T256" s="28" t="str">
        <x:v>not apparent from accessed abstract/metadata</x:v>
      </x:c>
      <x:c r="U256" s="28" t="str">
        <x:v>none identified in MEDLINE record</x:v>
      </x:c>
      <x:c r="V256" s="26" t="str">
        <x:v>not reported</x:v>
      </x:c>
      <x:c r="W256" s="28" t="str">
        <x:v>No PMC copy identified; publisher PDF/access must be checked</x:v>
      </x:c>
      <x:c r="X256" s="28" t="str">
        <x:v>Not verified</x:v>
      </x:c>
      <x:c r="Y256" s="31" t="str">
        <x:f>IF(V256="not reported","not reported",HYPERLINK("https://pmc.ncbi.nlm.nih.gov/articles/"&amp;V256&amp;"/","Open Full Text"))</x:f>
        <x:v>not reported</x:v>
      </x:c>
      <x:c r="Z256" s="31" t="e">
        <x:f>IF(L256="not reported","not reported",HYPERLINK("https://doi.org/"&amp;L256,"Open Publisher"))</x:f>
        <x:v>HYPERLINK is not implemented. linkLocation=https://doi.org/10.1007/s10803-024-06682-y, friendlyName=Open Publisher</x:v>
      </x:c>
      <x:c r="AA256" s="28" t="str">
        <x:v>DOI present in PubMed/MEDLINE; no PMCID present.</x:v>
      </x:c>
      <x:c r="AB256" s="28" t="str">
        <x:v>Open the DOI/publisher page. If PDF is paywalled, try Stony Brook Library access, Article Galaxy, or interlibrary loan.</x:v>
      </x:c>
      <x:c r="AC256" s="26" t="str">
        <x:v>2026-09-20</x:v>
      </x:c>
    </x:row>
    <x:row r="257">
      <x:c r="A257" s="26" t="str">
        <x:v>PUBMED-41062256</x:v>
      </x:c>
      <x:c r="B257" s="28" t="str">
        <x:v>School readiness as a signal of attention-deficit hyperactivity disorder: a population-based cohort study highlighting structural inequalities.</x:v>
      </x:c>
      <x:c r="C257" s="28" t="str">
        <x:v>Warburton, Matthew; French, Blandine; Shore, Evie; Wood, Megan Louise; Mon-Williams, Mark</x:v>
      </x:c>
      <x:c r="D257" s="28" t="n">
        <x:v>2026</x:v>
      </x:c>
      <x:c r="E257" s="28" t="str">
        <x:v>Archives of disease in childhood</x:v>
      </x:c>
      <x:c r="F257" s="28" t="str">
        <x:v>Primary study - cohort</x:v>
      </x:c>
      <x:c r="G257" s="28" t="str">
        <x:v>Development &amp; presentation; Recognition &amp; diagnosis; Family &amp; education; Social &amp; structural</x:v>
      </x:c>
      <x:c r="H257" s="28" t="str">
        <x:v>Childhood; age 4-5 years</x:v>
      </x:c>
      <x:c r="I257" s="28" t="str">
        <x:v>Geography (MeSH): England, United Kingdom; Setting (MeSH): Schools</x:v>
      </x:c>
      <x:c r="J257" s="28" t="str">
        <x:v>not reported</x:v>
      </x:c>
      <x:c r="K257" s="28" t="str">
        <x:v>OBJECTIVE: Assess sociodemographic disparities in attention-deficit hyperactivity disorder (ADHD) diagnoses and determine whether England's universal assessment of 'school readiness' could provide a signal for ADHD-related educational needs.</x:v>
      </x:c>
      <x:c r="L257" s="28" t="str">
        <x:v>10.1136/archdischild-2025-329285</x:v>
      </x:c>
      <x:c r="M257" s="28" t="str">
        <x:v>41062256</x:v>
      </x:c>
      <x:c r="N257" s="31" t="e">
        <x:f>HYPERLINK("https://pubmed.ncbi.nlm.nih.gov/"&amp;M257&amp;"/","Open PubMed")</x:f>
        <x:v>HYPERLINK is not implemented. linkLocation=https://pubmed.ncbi.nlm.nih.gov/41062256/, friendlyName=Open PubMed</x:v>
      </x:c>
      <x:c r="O257" s="31" t="e">
        <x:f>HYPERLINK("https://pmc.ncbi.nlm.nih.gov/articles/PMC7618364/","Open Full Text")</x:f>
        <x:v>HYPERLINK is not implemented. linkLocation=https://pmc.ncbi.nlm.nih.gov/articles/PMC7618364/, friendlyName=Open Full Text</x:v>
      </x:c>
      <x:c r="P257" s="28" t="str">
        <x:v>abstract only</x:v>
      </x:c>
      <x:c r="Q257" s="28" t="str">
        <x:v>PubMed/MEDLINE export supplied by user | query: not verified from export; see Protocol sheet for reproducible recommended query</x:v>
      </x:c>
      <x:c r="R257" s="28" t="str">
        <x:v>Batch 1 core</x:v>
      </x:c>
      <x:c r="S257" s="28" t="str">
        <x:v>Direct ADHD primary study on diagnosis, family/education, structural conditions, lived experience/outcomes, or environment/lifestyle.</x:v>
      </x:c>
      <x:c r="T257" s="28" t="str">
        <x:v>not apparent from accessed abstract/metadata</x:v>
      </x:c>
      <x:c r="U257" s="28" t="str">
        <x:v>none identified in MEDLINE record</x:v>
      </x:c>
      <x:c r="V257" s="26" t="str">
        <x:v>PMC7618364</x:v>
      </x:c>
      <x:c r="W257" s="28" t="str">
        <x:v>PDF available via PMC (verified free full text)</x:v>
      </x:c>
      <x:c r="X257" s="28" t="str">
        <x:v>Yes — PMC</x:v>
      </x:c>
      <x:c r="Y257" s="31" t="e">
        <x:f>IF(V257="not reported","not reported",HYPERLINK("https://pmc.ncbi.nlm.nih.gov/articles/"&amp;V257&amp;"/","Open Full Text"))</x:f>
        <x:v>HYPERLINK is not implemented. linkLocation=https://pmc.ncbi.nlm.nih.gov/articles/PMC7618364/, friendlyName=Open Full Text</x:v>
      </x:c>
      <x:c r="Z257" s="31" t="e">
        <x:f>IF(L257="not reported","not reported",HYPERLINK("https://doi.org/"&amp;L257,"Open Publisher"))</x:f>
        <x:v>HYPERLINK is not implemented. linkLocation=https://doi.org/10.1136/archdischild-2025-329285, friendlyName=Open Publisher</x:v>
      </x:c>
      <x:c r="AA257" s="28" t="str">
        <x:v>PMCID PMC7618364 present in the PubMed/MEDLINE record.</x:v>
      </x:c>
      <x:c r="AB257" s="28" t="str">
        <x:v>Open the PMC full-text page and use its PDF button/download option.</x:v>
      </x:c>
      <x:c r="AC257" s="26" t="str">
        <x:v>2026-09-20</x:v>
      </x:c>
    </x:row>
    <x:row r="258">
      <x:c r="A258" s="26" t="str">
        <x:v>PUBMED-42074098</x:v>
      </x:c>
      <x:c r="B258" s="28" t="str">
        <x:v>The Use of Psychedelics in the Treatment of Adult ADHD: A Systematic and Mechanistic Review.</x:v>
      </x:c>
      <x:c r="C258" s="28" t="str">
        <x:v>Chmiel, James; Malinowska, Agnieszka; Kurpas, Donata</x:v>
      </x:c>
      <x:c r="D258" s="28" t="n">
        <x:v>2026</x:v>
      </x:c>
      <x:c r="E258" s="28" t="str">
        <x:v>International journal of molecular sciences</x:v>
      </x:c>
      <x:c r="F258" s="28" t="str">
        <x:v>Evidence synthesis - systematic review</x:v>
      </x:c>
      <x:c r="G258" s="28" t="str">
        <x:v>Development &amp; presentation; Recognition &amp; diagnosis; Social &amp; structural; Environmental &amp; lifestyle; Treatment &amp; support; Life outcomes &amp; lived experience; Historical &amp; contemporary context</x:v>
      </x:c>
      <x:c r="H258" s="28" t="str">
        <x:v>Adulthood</x:v>
      </x:c>
      <x:c r="I258" s="28" t="str">
        <x:v>not reported/not verified</x:v>
      </x:c>
      <x:c r="J258" s="28" t="str">
        <x:v>not reported</x:v>
      </x:c>
      <x:c r="K258" s="28" t="str">
        <x:v>Interest in classical psychedelics as potential treatments for ADHD has grown alongside broader psychiatric psychedelic research, but ADHD-specific evidence remains limited.</x:v>
      </x:c>
      <x:c r="L258" s="28" t="str">
        <x:v>10.3390/ijms27083453</x:v>
      </x:c>
      <x:c r="M258" s="28" t="str">
        <x:v>42074098</x:v>
      </x:c>
      <x:c r="N258" s="31" t="e">
        <x:f>HYPERLINK("https://pubmed.ncbi.nlm.nih.gov/"&amp;M258&amp;"/","Open PubMed")</x:f>
        <x:v>HYPERLINK is not implemented. linkLocation=https://pubmed.ncbi.nlm.nih.gov/42074098/, friendlyName=Open PubMed</x:v>
      </x:c>
      <x:c r="O258" s="31" t="e">
        <x:f>HYPERLINK("https://pmc.ncbi.nlm.nih.gov/articles/PMC13115624/","Open Full Text")</x:f>
        <x:v>HYPERLINK is not implemented. linkLocation=https://pmc.ncbi.nlm.nih.gov/articles/PMC13115624/, friendlyName=Open Full Text</x:v>
      </x:c>
      <x:c r="P258" s="28" t="str">
        <x:v>abstract only</x:v>
      </x:c>
      <x:c r="Q258" s="28" t="str">
        <x:v>PubMed/MEDLINE export supplied by user | query: not verified from export; see Protocol sheet for reproducible recommended query</x:v>
      </x:c>
      <x:c r="R258" s="28" t="str">
        <x:v>Batch 1 core</x:v>
      </x:c>
      <x:c r="S258" s="28" t="str">
        <x:v>Direct ADHD evidence synthesis/guideline with broad multi-topic relevance.</x:v>
      </x:c>
      <x:c r="T258" s="28" t="str">
        <x:v>not apparent from accessed abstract/metadata</x:v>
      </x:c>
      <x:c r="U258" s="28" t="str">
        <x:v>none identified in MEDLINE record</x:v>
      </x:c>
      <x:c r="V258" s="26" t="str">
        <x:v>PMC13115624</x:v>
      </x:c>
      <x:c r="W258" s="28" t="str">
        <x:v>PDF available via PMC (verified free full text)</x:v>
      </x:c>
      <x:c r="X258" s="28" t="str">
        <x:v>Yes — PMC</x:v>
      </x:c>
      <x:c r="Y258" s="31" t="e">
        <x:f>IF(V258="not reported","not reported",HYPERLINK("https://pmc.ncbi.nlm.nih.gov/articles/"&amp;V258&amp;"/","Open Full Text"))</x:f>
        <x:v>HYPERLINK is not implemented. linkLocation=https://pmc.ncbi.nlm.nih.gov/articles/PMC13115624/, friendlyName=Open Full Text</x:v>
      </x:c>
      <x:c r="Z258" s="31" t="e">
        <x:f>IF(L258="not reported","not reported",HYPERLINK("https://doi.org/"&amp;L258,"Open Publisher"))</x:f>
        <x:v>HYPERLINK is not implemented. linkLocation=https://doi.org/10.3390/ijms27083453, friendlyName=Open Publisher</x:v>
      </x:c>
      <x:c r="AA258" s="28" t="str">
        <x:v>PMCID PMC13115624 present in the PubMed/MEDLINE record.</x:v>
      </x:c>
      <x:c r="AB258" s="28" t="str">
        <x:v>Open the PMC full-text page and use its PDF button/download option.</x:v>
      </x:c>
      <x:c r="AC258" s="26" t="str">
        <x:v>2026-09-20</x:v>
      </x:c>
    </x:row>
    <x:row r="259">
      <x:c r="A259" s="26" t="str">
        <x:v>PUBMED-42069429</x:v>
      </x:c>
      <x:c r="B259" s="28" t="str">
        <x:v>GENDER DIFFERENCES IN EMOTIONAL REGULATION AMONG ADOLESCENTS WITH ELEVATED ADHD SYMPTOMS: A SCHOOL-BASED STUDY.</x:v>
      </x:c>
      <x:c r="C259" s="28" t="str">
        <x:v>Isufi, L; Kelmendi, D; Pronaj, A</x:v>
      </x:c>
      <x:c r="D259" s="28" t="n">
        <x:v>2026</x:v>
      </x:c>
      <x:c r="E259" s="28" t="str">
        <x:v>Georgian medical news</x:v>
      </x:c>
      <x:c r="F259" s="28" t="str">
        <x:v>Primary study - cross-sectional</x:v>
      </x:c>
      <x:c r="G259" s="28" t="str">
        <x:v>Development &amp; presentation; Recognition &amp; diagnosis; Family &amp; education; Social &amp; structural; Treatment &amp; support; Life outcomes &amp; lived experience</x:v>
      </x:c>
      <x:c r="H259" s="28" t="str">
        <x:v>Childhood; Adolescence; aged 11-18 years</x:v>
      </x:c>
      <x:c r="I259" s="28" t="str">
        <x:v>Setting (MeSH): Schools</x:v>
      </x:c>
      <x:c r="J259" s="28" t="str">
        <x:v>not reported</x:v>
      </x:c>
      <x:c r="K259" s="28" t="str">
        <x:v>OBJECTIVE: This study examined gender differences across executive function domains in adolescents, with particular emphasis on emotional regulation among those with elevated ADHD symptoms.</x:v>
      </x:c>
      <x:c r="L259" s="28" t="str">
        <x:v>not reported</x:v>
      </x:c>
      <x:c r="M259" s="28" t="str">
        <x:v>42069429</x:v>
      </x:c>
      <x:c r="N259" s="31" t="e">
        <x:f>HYPERLINK("https://pubmed.ncbi.nlm.nih.gov/"&amp;M259&amp;"/","Open PubMed")</x:f>
        <x:v>HYPERLINK is not implemented. linkLocation=https://pubmed.ncbi.nlm.nih.gov/42069429/, friendlyName=Open PubMed</x:v>
      </x:c>
      <x:c r="O259" s="31" t="str">
        <x:v>not reported</x:v>
      </x:c>
      <x:c r="P259" s="28" t="str">
        <x:v>abstract only</x:v>
      </x:c>
      <x:c r="Q259" s="28" t="str">
        <x:v>PubMed/MEDLINE export supplied by user | query: not verified from export; see Protocol sheet for reproducible recommended query</x:v>
      </x:c>
      <x:c r="R259" s="28" t="str">
        <x:v>Batch 1 core</x:v>
      </x:c>
      <x:c r="S259" s="28" t="str">
        <x:v>Direct ADHD primary study on diagnosis, family/education, structural conditions, lived experience/outcomes, or environment/lifestyle.</x:v>
      </x:c>
      <x:c r="T259" s="28" t="str">
        <x:v>not apparent from accessed abstract/metadata</x:v>
      </x:c>
      <x:c r="U259" s="28" t="str">
        <x:v>none identified in MEDLINE record</x:v>
      </x:c>
      <x:c r="V259" s="26" t="str">
        <x:v>not reported</x:v>
      </x:c>
      <x:c r="W259" s="28" t="str">
        <x:v>No direct PDF/full-text identifier found in PubMed metadata</x:v>
      </x:c>
      <x:c r="X259" s="28" t="str">
        <x:v>Not verified</x:v>
      </x:c>
      <x:c r="Y259" s="31" t="str">
        <x:f>IF(V259="not reported","not reported",HYPERLINK("https://pmc.ncbi.nlm.nih.gov/articles/"&amp;V259&amp;"/","Open Full Text"))</x:f>
        <x:v>not reported</x:v>
      </x:c>
      <x:c r="Z259" s="31" t="str">
        <x:f>IF(L259="not reported","not reported",HYPERLINK("https://doi.org/"&amp;L259,"Open Publisher"))</x:f>
        <x:v>not reported</x:v>
      </x:c>
      <x:c r="AA259" s="28" t="str">
        <x:v>No PMCID or DOI present in the supplied PubMed/MEDLINE record.</x:v>
      </x:c>
      <x:c r="AB259" s="28" t="str">
        <x:v>Search the exact title/PMID in Stony Brook Library; if unavailable, request via interlibrary loan/document delivery.</x:v>
      </x:c>
      <x:c r="AC259" s="26" t="str">
        <x:v>2026-09-20</x:v>
      </x:c>
    </x:row>
    <x:row r="260">
      <x:c r="A260" s="26" t="str">
        <x:v>PUBMED-42063172</x:v>
      </x:c>
      <x:c r="B260" s="28" t="str">
        <x:v>Neurological and biological correlations of ODD with ADHD in children and adolescents: a systematic review.</x:v>
      </x:c>
      <x:c r="C260" s="28" t="str">
        <x:v>Shah, S Mudasser; Alhudaithi, Ghada Saleh; Alharbi, Fatimah Sayer</x:v>
      </x:c>
      <x:c r="D260" s="28" t="n">
        <x:v>2026</x:v>
      </x:c>
      <x:c r="E260" s="28" t="str">
        <x:v>BMC psychology</x:v>
      </x:c>
      <x:c r="F260" s="28" t="str">
        <x:v>Evidence synthesis - systematic review</x:v>
      </x:c>
      <x:c r="G260" s="28" t="str">
        <x:v>Development &amp; presentation; Recognition &amp; diagnosis; Social &amp; structural; Environmental &amp; lifestyle; Treatment &amp; support</x:v>
      </x:c>
      <x:c r="H260" s="28" t="str">
        <x:v>Childhood; Adolescence</x:v>
      </x:c>
      <x:c r="I260" s="28" t="str">
        <x:v>not reported/not verified</x:v>
      </x:c>
      <x:c r="J260" s="28" t="str">
        <x:v>not reported</x:v>
      </x:c>
      <x:c r="K260" s="28" t="str">
        <x:v>BACKGROUND: Attention Deficit Hyperactivity Disorder (ADHD) often coexists with Oppositional Defiant Disorder (ODD), exacerbating impairment.</x:v>
      </x:c>
      <x:c r="L260" s="28" t="str">
        <x:v>10.1186/s40359-026-04637-9</x:v>
      </x:c>
      <x:c r="M260" s="28" t="str">
        <x:v>42063172</x:v>
      </x:c>
      <x:c r="N260" s="31" t="e">
        <x:f>HYPERLINK("https://pubmed.ncbi.nlm.nih.gov/"&amp;M260&amp;"/","Open PubMed")</x:f>
        <x:v>HYPERLINK is not implemented. linkLocation=https://pubmed.ncbi.nlm.nih.gov/42063172/, friendlyName=Open PubMed</x:v>
      </x:c>
      <x:c r="O260" s="31" t="e">
        <x:f>HYPERLINK("https://pmc.ncbi.nlm.nih.gov/articles/PMC13273974/","Open Full Text")</x:f>
        <x:v>HYPERLINK is not implemented. linkLocation=https://pmc.ncbi.nlm.nih.gov/articles/PMC13273974/, friendlyName=Open Full Text</x:v>
      </x:c>
      <x:c r="P260" s="28" t="str">
        <x:v>abstract only</x:v>
      </x:c>
      <x:c r="Q260" s="28" t="str">
        <x:v>PubMed/MEDLINE export supplied by user | query: not verified from export; see Protocol sheet for reproducible recommended query</x:v>
      </x:c>
      <x:c r="R260" s="28" t="str">
        <x:v>Batch 1 core</x:v>
      </x:c>
      <x:c r="S260" s="28" t="str">
        <x:v>Direct ADHD evidence synthesis/guideline with broad multi-topic relevance.</x:v>
      </x:c>
      <x:c r="T260" s="28" t="str">
        <x:v>ABCD / Adolescent Brain Cognitive Development</x:v>
      </x:c>
      <x:c r="U260" s="28" t="str">
        <x:v>none identified in MEDLINE record</x:v>
      </x:c>
      <x:c r="V260" s="26" t="str">
        <x:v>PMC13273974</x:v>
      </x:c>
      <x:c r="W260" s="28" t="str">
        <x:v>PDF available via PMC (verified free full text)</x:v>
      </x:c>
      <x:c r="X260" s="28" t="str">
        <x:v>Yes — PMC</x:v>
      </x:c>
      <x:c r="Y260" s="31" t="e">
        <x:f>IF(V260="not reported","not reported",HYPERLINK("https://pmc.ncbi.nlm.nih.gov/articles/"&amp;V260&amp;"/","Open Full Text"))</x:f>
        <x:v>HYPERLINK is not implemented. linkLocation=https://pmc.ncbi.nlm.nih.gov/articles/PMC13273974/, friendlyName=Open Full Text</x:v>
      </x:c>
      <x:c r="Z260" s="31" t="e">
        <x:f>IF(L260="not reported","not reported",HYPERLINK("https://doi.org/"&amp;L260,"Open Publisher"))</x:f>
        <x:v>HYPERLINK is not implemented. linkLocation=https://doi.org/10.1186/s40359-026-04637-9, friendlyName=Open Publisher</x:v>
      </x:c>
      <x:c r="AA260" s="28" t="str">
        <x:v>PMCID PMC13273974 present in the PubMed/MEDLINE record.</x:v>
      </x:c>
      <x:c r="AB260" s="28" t="str">
        <x:v>Open the PMC full-text page and use its PDF button/download option.</x:v>
      </x:c>
      <x:c r="AC260" s="26" t="str">
        <x:v>2026-09-20</x:v>
      </x:c>
    </x:row>
    <x:row r="261">
      <x:c r="A261" s="26" t="str">
        <x:v>PUBMED-42061059</x:v>
      </x:c>
      <x:c r="B261" s="28" t="str">
        <x:v>Educational robotics and augmented reality for improving social skills of children with ADHD: A scoping review.</x:v>
      </x:c>
      <x:c r="C261" s="28" t="str">
        <x:v>Koukounara, Maria; Hatzinikolaou, Korina</x:v>
      </x:c>
      <x:c r="D261" s="28" t="n">
        <x:v>2026</x:v>
      </x:c>
      <x:c r="E261" s="28" t="str">
        <x:v>Acta psychologica</x:v>
      </x:c>
      <x:c r="F261" s="28" t="str">
        <x:v>Evidence synthesis - review</x:v>
      </x:c>
      <x:c r="G261" s="28" t="str">
        <x:v>Development &amp; presentation; Recognition &amp; diagnosis; Family &amp; education; Social &amp; structural; Life outcomes &amp; lived experience</x:v>
      </x:c>
      <x:c r="H261" s="28" t="str">
        <x:v>Childhood</x:v>
      </x:c>
      <x:c r="I261" s="28" t="str">
        <x:v>not reported/not verified</x:v>
      </x:c>
      <x:c r="J261" s="28" t="str">
        <x:v>not reported</x:v>
      </x:c>
      <x:c r="K261" s="28" t="str">
        <x:v>Attention Deficit Hyperactivity Disorder (ADHD) is the most common childhood neurodevelopment disorder that is characterized by symptoms of inattention, distractibility, impulsivity, and hyperactivity.</x:v>
      </x:c>
      <x:c r="L261" s="28" t="str">
        <x:v>10.1016/j.actpsy.2026.106882</x:v>
      </x:c>
      <x:c r="M261" s="28" t="str">
        <x:v>42061059</x:v>
      </x:c>
      <x:c r="N261" s="31" t="e">
        <x:f>HYPERLINK("https://pubmed.ncbi.nlm.nih.gov/"&amp;M261&amp;"/","Open PubMed")</x:f>
        <x:v>HYPERLINK is not implemented. linkLocation=https://pubmed.ncbi.nlm.nih.gov/42061059/, friendlyName=Open PubMed</x:v>
      </x:c>
      <x:c r="O261" s="31" t="str">
        <x:v>not reported</x:v>
      </x:c>
      <x:c r="P261" s="28" t="str">
        <x:v>abstract only</x:v>
      </x:c>
      <x:c r="Q261" s="28" t="str">
        <x:v>PubMed/MEDLINE export supplied by user | query: not verified from export; see Protocol sheet for reproducible recommended query</x:v>
      </x:c>
      <x:c r="R261" s="28" t="str">
        <x:v>Batch 1 core</x:v>
      </x:c>
      <x:c r="S261" s="28" t="str">
        <x:v>Direct ADHD evidence synthesis/guideline with broad multi-topic relevance.</x:v>
      </x:c>
      <x:c r="T261" s="28" t="str">
        <x:v>not apparent from accessed abstract/metadata</x:v>
      </x:c>
      <x:c r="U261" s="28" t="str">
        <x:v>none identified in MEDLINE record</x:v>
      </x:c>
      <x:c r="V261" s="26" t="str">
        <x:v>not reported</x:v>
      </x:c>
      <x:c r="W261" s="28" t="str">
        <x:v>No PMC copy identified; publisher PDF/access must be checked</x:v>
      </x:c>
      <x:c r="X261" s="28" t="str">
        <x:v>Not verified</x:v>
      </x:c>
      <x:c r="Y261" s="31" t="str">
        <x:f>IF(V261="not reported","not reported",HYPERLINK("https://pmc.ncbi.nlm.nih.gov/articles/"&amp;V261&amp;"/","Open Full Text"))</x:f>
        <x:v>not reported</x:v>
      </x:c>
      <x:c r="Z261" s="31" t="e">
        <x:f>IF(L261="not reported","not reported",HYPERLINK("https://doi.org/"&amp;L261,"Open Publisher"))</x:f>
        <x:v>HYPERLINK is not implemented. linkLocation=https://doi.org/10.1016/j.actpsy.2026.106882, friendlyName=Open Publisher</x:v>
      </x:c>
      <x:c r="AA261" s="28" t="str">
        <x:v>DOI present in PubMed/MEDLINE; no PMCID present.</x:v>
      </x:c>
      <x:c r="AB261" s="28" t="str">
        <x:v>Open the DOI/publisher page. If PDF is paywalled, try Stony Brook Library access, Article Galaxy, or interlibrary loan.</x:v>
      </x:c>
      <x:c r="AC261" s="26" t="str">
        <x:v>2026-09-20</x:v>
      </x:c>
    </x:row>
    <x:row r="262">
      <x:c r="A262" s="26" t="str">
        <x:v>PUBMED-41945993</x:v>
      </x:c>
      <x:c r="B262" s="28" t="str">
        <x:v>Parenting stressors, social support, and mental health of mothers of children with attention deficit hyperactivity disorder.</x:v>
      </x:c>
      <x:c r="C262" s="28" t="str">
        <x:v>Marumoto, Tatsuro; Monma, Takafumi; Sawae, Yukinori; Takeda, Fumi</x:v>
      </x:c>
      <x:c r="D262" s="28" t="n">
        <x:v>2026</x:v>
      </x:c>
      <x:c r="E262" s="28" t="str">
        <x:v>Journal of pediatric nursing</x:v>
      </x:c>
      <x:c r="F262" s="28" t="str">
        <x:v>Primary study - cross-sectional</x:v>
      </x:c>
      <x:c r="G262" s="28" t="str">
        <x:v>Development &amp; presentation; Recognition &amp; diagnosis; Family &amp; education; Social &amp; structural; Environmental &amp; lifestyle</x:v>
      </x:c>
      <x:c r="H262" s="28" t="str">
        <x:v>Childhood; Adolescence; Adulthood; mean age 43.1</x:v>
      </x:c>
      <x:c r="I262" s="28" t="str">
        <x:v>Geography (MeSH): Japan</x:v>
      </x:c>
      <x:c r="J262" s="28" t="str">
        <x:v>not reported</x:v>
      </x:c>
      <x:c r="K262" s="28" t="str">
        <x:v>This study aimed to identify specific parenting stressors impacting maternal mental health as well as the social support that buffers against those stressors in mothers of children with ADHD.</x:v>
      </x:c>
      <x:c r="L262" s="28" t="str">
        <x:v>10.1016/j.pedn.2026.03.039</x:v>
      </x:c>
      <x:c r="M262" s="28" t="str">
        <x:v>41945993</x:v>
      </x:c>
      <x:c r="N262" s="31" t="e">
        <x:f>HYPERLINK("https://pubmed.ncbi.nlm.nih.gov/"&amp;M262&amp;"/","Open PubMed")</x:f>
        <x:v>HYPERLINK is not implemented. linkLocation=https://pubmed.ncbi.nlm.nih.gov/41945993/, friendlyName=Open PubMed</x:v>
      </x:c>
      <x:c r="O262" s="31" t="str">
        <x:v>not reported</x:v>
      </x:c>
      <x:c r="P262" s="28" t="str">
        <x:v>abstract only</x:v>
      </x:c>
      <x:c r="Q262" s="28" t="str">
        <x:v>PubMed/MEDLINE export supplied by user | query: not verified from export; see Protocol sheet for reproducible recommended query</x:v>
      </x:c>
      <x:c r="R262" s="28" t="str">
        <x:v>Batch 1 core</x:v>
      </x:c>
      <x:c r="S262" s="28" t="str">
        <x:v>Direct ADHD primary study on diagnosis, family/education, structural conditions, lived experience/outcomes, or environment/lifestyle.</x:v>
      </x:c>
      <x:c r="T262" s="28" t="str">
        <x:v>not apparent from accessed abstract/metadata</x:v>
      </x:c>
      <x:c r="U262" s="28" t="str">
        <x:v>none identified in MEDLINE record</x:v>
      </x:c>
      <x:c r="V262" s="26" t="str">
        <x:v>not reported</x:v>
      </x:c>
      <x:c r="W262" s="28" t="str">
        <x:v>No PMC copy identified; publisher PDF/access must be checked</x:v>
      </x:c>
      <x:c r="X262" s="28" t="str">
        <x:v>Not verified</x:v>
      </x:c>
      <x:c r="Y262" s="31" t="str">
        <x:f>IF(V262="not reported","not reported",HYPERLINK("https://pmc.ncbi.nlm.nih.gov/articles/"&amp;V262&amp;"/","Open Full Text"))</x:f>
        <x:v>not reported</x:v>
      </x:c>
      <x:c r="Z262" s="31" t="e">
        <x:f>IF(L262="not reported","not reported",HYPERLINK("https://doi.org/"&amp;L262,"Open Publisher"))</x:f>
        <x:v>HYPERLINK is not implemented. linkLocation=https://doi.org/10.1016/j.pedn.2026.03.039, friendlyName=Open Publisher</x:v>
      </x:c>
      <x:c r="AA262" s="28" t="str">
        <x:v>DOI present in PubMed/MEDLINE; no PMCID present.</x:v>
      </x:c>
      <x:c r="AB262" s="28" t="str">
        <x:v>Open the DOI/publisher page. If PDF is paywalled, try Stony Brook Library access, Article Galaxy, or interlibrary loan.</x:v>
      </x:c>
      <x:c r="AC262" s="26" t="str">
        <x:v>2026-09-20</x:v>
      </x:c>
    </x:row>
    <x:row r="263">
      <x:c r="A263" s="26" t="str">
        <x:v>PUBMED-41928433</x:v>
      </x:c>
      <x:c r="B263" s="28" t="str">
        <x:v>The Effects of Physical Activity Timing and Adherence to Physical Activity Guidelines on Sleep in Children With ADHD.</x:v>
      </x:c>
      <x:c r="C263" s="28" t="str">
        <x:v>Liang, Xiao; Zhao, Mengping; Su, Li; Haegele, Justin A; Xu, Richard H; Li, Jingjing; Tse, Andy Choi-Yeung; Li, Shirley X</x:v>
      </x:c>
      <x:c r="D263" s="28" t="n">
        <x:v>2026</x:v>
      </x:c>
      <x:c r="E263" s="28" t="str">
        <x:v>Scandinavian journal of medicine &amp; science in sports</x:v>
      </x:c>
      <x:c r="F263" s="28" t="str">
        <x:v>Primary study - cross-sectional</x:v>
      </x:c>
      <x:c r="G263" s="28" t="str">
        <x:v>Development &amp; presentation; Social &amp; structural; Environmental &amp; lifestyle; Treatment &amp; support; Life outcomes &amp; lived experience</x:v>
      </x:c>
      <x:c r="H263" s="28" t="str">
        <x:v>Childhood</x:v>
      </x:c>
      <x:c r="I263" s="28" t="str">
        <x:v>not reported/not verified</x:v>
      </x:c>
      <x:c r="J263" s="28" t="str">
        <x:v>not reported</x:v>
      </x:c>
      <x:c r="K263" s="28" t="str">
        <x:v>This study examined whether timing of MVPA influenced objectively measured sleep, including sleep latency (SL), sleep efficiency (SE), total sleep time (TST), and wake after sleep onset (WASO), among children with ADHD.</x:v>
      </x:c>
      <x:c r="L263" s="28" t="str">
        <x:v>10.1111/sms.70277</x:v>
      </x:c>
      <x:c r="M263" s="28" t="str">
        <x:v>41928433</x:v>
      </x:c>
      <x:c r="N263" s="31" t="e">
        <x:f>HYPERLINK("https://pubmed.ncbi.nlm.nih.gov/"&amp;M263&amp;"/","Open PubMed")</x:f>
        <x:v>HYPERLINK is not implemented. linkLocation=https://pubmed.ncbi.nlm.nih.gov/41928433/, friendlyName=Open PubMed</x:v>
      </x:c>
      <x:c r="O263" s="31" t="e">
        <x:f>HYPERLINK("https://pmc.ncbi.nlm.nih.gov/articles/PMC13047249/","Open Full Text")</x:f>
        <x:v>HYPERLINK is not implemented. linkLocation=https://pmc.ncbi.nlm.nih.gov/articles/PMC13047249/, friendlyName=Open Full Text</x:v>
      </x:c>
      <x:c r="P263" s="28" t="str">
        <x:v>abstract only</x:v>
      </x:c>
      <x:c r="Q263" s="28" t="str">
        <x:v>PubMed/MEDLINE export supplied by user | query: not verified from export; see Protocol sheet for reproducible recommended query</x:v>
      </x:c>
      <x:c r="R263" s="28" t="str">
        <x:v>Batch 1 core</x:v>
      </x:c>
      <x:c r="S263" s="28" t="str">
        <x:v>Direct ADHD primary study on diagnosis, family/education, structural conditions, lived experience/outcomes, or environment/lifestyle.</x:v>
      </x:c>
      <x:c r="T263" s="28" t="str">
        <x:v>not apparent from accessed abstract/metadata</x:v>
      </x:c>
      <x:c r="U263" s="28" t="str">
        <x:v>none identified in MEDLINE record</x:v>
      </x:c>
      <x:c r="V263" s="26" t="str">
        <x:v>PMC13047249</x:v>
      </x:c>
      <x:c r="W263" s="28" t="str">
        <x:v>PDF available via PMC (verified free full text)</x:v>
      </x:c>
      <x:c r="X263" s="28" t="str">
        <x:v>Yes — PMC</x:v>
      </x:c>
      <x:c r="Y263" s="31" t="e">
        <x:f>IF(V263="not reported","not reported",HYPERLINK("https://pmc.ncbi.nlm.nih.gov/articles/"&amp;V263&amp;"/","Open Full Text"))</x:f>
        <x:v>HYPERLINK is not implemented. linkLocation=https://pmc.ncbi.nlm.nih.gov/articles/PMC13047249/, friendlyName=Open Full Text</x:v>
      </x:c>
      <x:c r="Z263" s="31" t="e">
        <x:f>IF(L263="not reported","not reported",HYPERLINK("https://doi.org/"&amp;L263,"Open Publisher"))</x:f>
        <x:v>HYPERLINK is not implemented. linkLocation=https://doi.org/10.1111/sms.70277, friendlyName=Open Publisher</x:v>
      </x:c>
      <x:c r="AA263" s="28" t="str">
        <x:v>PMCID PMC13047249 present in the PubMed/MEDLINE record.</x:v>
      </x:c>
      <x:c r="AB263" s="28" t="str">
        <x:v>Open the PMC full-text page and use its PDF button/download option.</x:v>
      </x:c>
      <x:c r="AC263" s="26" t="str">
        <x:v>2026-09-20</x:v>
      </x:c>
    </x:row>
    <x:row r="264">
      <x:c r="A264" s="26" t="str">
        <x:v>PUBMED-41844271</x:v>
      </x:c>
      <x:c r="B264" s="28" t="str">
        <x:v>Editorial: ADHD persistence - the interplay of genes, socioeconomic context, and symptom domains over development.</x:v>
      </x:c>
      <x:c r="C264" s="28" t="str">
        <x:v>Thomson, Phoebe; Rakesh, Divyangana</x:v>
      </x:c>
      <x:c r="D264" s="28" t="n">
        <x:v>2026</x:v>
      </x:c>
      <x:c r="E264" s="28" t="str">
        <x:v>Journal of child psychology and psychiatry, and allied disciplines</x:v>
      </x:c>
      <x:c r="F264" s="28" t="str">
        <x:v>Primary study - cross-sectional</x:v>
      </x:c>
      <x:c r="G264" s="28" t="str">
        <x:v>Development &amp; presentation; Social &amp; structural; Environmental &amp; lifestyle</x:v>
      </x:c>
      <x:c r="H264" s="28" t="str">
        <x:v>Childhood; Adolescence; Adulthood</x:v>
      </x:c>
      <x:c r="I264" s="28" t="str">
        <x:v>not reported/not verified</x:v>
      </x:c>
      <x:c r="J264" s="28" t="str">
        <x:v>not reported</x:v>
      </x:c>
      <x:c r="K264" s="28" t="str">
        <x:v>Persistence of childhood ADHD symptoms into adolescence and adulthood is common.</x:v>
      </x:c>
      <x:c r="L264" s="28" t="str">
        <x:v>10.1111/jcpp.70150</x:v>
      </x:c>
      <x:c r="M264" s="28" t="str">
        <x:v>41844271</x:v>
      </x:c>
      <x:c r="N264" s="31" t="e">
        <x:f>HYPERLINK("https://pubmed.ncbi.nlm.nih.gov/"&amp;M264&amp;"/","Open PubMed")</x:f>
        <x:v>HYPERLINK is not implemented. linkLocation=https://pubmed.ncbi.nlm.nih.gov/41844271/, friendlyName=Open PubMed</x:v>
      </x:c>
      <x:c r="O264" s="31" t="str">
        <x:v>not reported</x:v>
      </x:c>
      <x:c r="P264" s="28" t="str">
        <x:v>abstract only</x:v>
      </x:c>
      <x:c r="Q264" s="28" t="str">
        <x:v>PubMed/MEDLINE export supplied by user | query: not verified from export; see Protocol sheet for reproducible recommended query</x:v>
      </x:c>
      <x:c r="R264" s="28" t="str">
        <x:v>Batch 1 core</x:v>
      </x:c>
      <x:c r="S264" s="28" t="str">
        <x:v>Direct ADHD primary study on diagnosis, family/education, structural conditions, lived experience/outcomes, or environment/lifestyle.</x:v>
      </x:c>
      <x:c r="T264" s="28" t="str">
        <x:v>not apparent from accessed abstract/metadata</x:v>
      </x:c>
      <x:c r="U264" s="28" t="str">
        <x:v>none identified in MEDLINE record</x:v>
      </x:c>
      <x:c r="V264" s="26" t="str">
        <x:v>not reported</x:v>
      </x:c>
      <x:c r="W264" s="28" t="str">
        <x:v>No PMC copy identified; publisher PDF/access must be checked</x:v>
      </x:c>
      <x:c r="X264" s="28" t="str">
        <x:v>Not verified</x:v>
      </x:c>
      <x:c r="Y264" s="31" t="str">
        <x:f>IF(V264="not reported","not reported",HYPERLINK("https://pmc.ncbi.nlm.nih.gov/articles/"&amp;V264&amp;"/","Open Full Text"))</x:f>
        <x:v>not reported</x:v>
      </x:c>
      <x:c r="Z264" s="31" t="e">
        <x:f>IF(L264="not reported","not reported",HYPERLINK("https://doi.org/"&amp;L264,"Open Publisher"))</x:f>
        <x:v>HYPERLINK is not implemented. linkLocation=https://doi.org/10.1111/jcpp.70150, friendlyName=Open Publisher</x:v>
      </x:c>
      <x:c r="AA264" s="28" t="str">
        <x:v>DOI present in PubMed/MEDLINE; no PMCID present.</x:v>
      </x:c>
      <x:c r="AB264" s="28" t="str">
        <x:v>Open the DOI/publisher page. If PDF is paywalled, try Stony Brook Library access, Article Galaxy, or interlibrary loan.</x:v>
      </x:c>
      <x:c r="AC264" s="26" t="str">
        <x:v>2026-09-20</x:v>
      </x:c>
    </x:row>
    <x:row r="265">
      <x:c r="A265" s="26" t="str">
        <x:v>PUBMED-41823121</x:v>
      </x:c>
      <x:c r="B265" s="28" t="str">
        <x:v>Screen time, social jetlag, future hope, and ADHD symptoms in university students.</x:v>
      </x:c>
      <x:c r="C265" s="28" t="str">
        <x:v>Erdoğan Kurtaran, Nurcan; Uysal, Büşra; Öztürk, Levent</x:v>
      </x:c>
      <x:c r="D265" s="28" t="n">
        <x:v>2026</x:v>
      </x:c>
      <x:c r="E265" s="28" t="str">
        <x:v>Chronobiology international</x:v>
      </x:c>
      <x:c r="F265" s="28" t="str">
        <x:v>Primary study - cross-sectional</x:v>
      </x:c>
      <x:c r="G265" s="28" t="str">
        <x:v>Development &amp; presentation; Recognition &amp; diagnosis; Family &amp; education; Social &amp; structural; Environmental &amp; lifestyle; Treatment &amp; support</x:v>
      </x:c>
      <x:c r="H265" s="28" t="str">
        <x:v>Adolescence; Adulthood; mean age = 20.9 years</x:v>
      </x:c>
      <x:c r="I265" s="28" t="str">
        <x:v>Setting (MeSH): Universities</x:v>
      </x:c>
      <x:c r="J265" s="28" t="str">
        <x:v>not reported</x:v>
      </x:c>
      <x:c r="K265" s="28" t="str">
        <x:v>This cross-sectional study examined associations between social jetlag (SJL), screen exposure, and attention-deficit/hyperactivity disorder (ADHD) symptoms in university students.</x:v>
      </x:c>
      <x:c r="L265" s="28" t="str">
        <x:v>10.1080/07420528.2026.2642792</x:v>
      </x:c>
      <x:c r="M265" s="28" t="str">
        <x:v>41823121</x:v>
      </x:c>
      <x:c r="N265" s="31" t="e">
        <x:f>HYPERLINK("https://pubmed.ncbi.nlm.nih.gov/"&amp;M265&amp;"/","Open PubMed")</x:f>
        <x:v>HYPERLINK is not implemented. linkLocation=https://pubmed.ncbi.nlm.nih.gov/41823121/, friendlyName=Open PubMed</x:v>
      </x:c>
      <x:c r="O265" s="31" t="str">
        <x:v>not reported</x:v>
      </x:c>
      <x:c r="P265" s="28" t="str">
        <x:v>abstract only</x:v>
      </x:c>
      <x:c r="Q265" s="28" t="str">
        <x:v>PubMed/MEDLINE export supplied by user | query: not verified from export; see Protocol sheet for reproducible recommended query</x:v>
      </x:c>
      <x:c r="R265" s="28" t="str">
        <x:v>Batch 1 core</x:v>
      </x:c>
      <x:c r="S265" s="28" t="str">
        <x:v>Direct ADHD primary study on diagnosis, family/education, structural conditions, lived experience/outcomes, or environment/lifestyle.</x:v>
      </x:c>
      <x:c r="T265" s="28" t="str">
        <x:v>not apparent from accessed abstract/metadata</x:v>
      </x:c>
      <x:c r="U265" s="28" t="str">
        <x:v>none identified in MEDLINE record</x:v>
      </x:c>
      <x:c r="V265" s="26" t="str">
        <x:v>not reported</x:v>
      </x:c>
      <x:c r="W265" s="28" t="str">
        <x:v>No PMC copy identified; publisher PDF/access must be checked</x:v>
      </x:c>
      <x:c r="X265" s="28" t="str">
        <x:v>Not verified</x:v>
      </x:c>
      <x:c r="Y265" s="31" t="str">
        <x:f>IF(V265="not reported","not reported",HYPERLINK("https://pmc.ncbi.nlm.nih.gov/articles/"&amp;V265&amp;"/","Open Full Text"))</x:f>
        <x:v>not reported</x:v>
      </x:c>
      <x:c r="Z265" s="31" t="e">
        <x:f>IF(L265="not reported","not reported",HYPERLINK("https://doi.org/"&amp;L265,"Open Publisher"))</x:f>
        <x:v>HYPERLINK is not implemented. linkLocation=https://doi.org/10.1080/07420528.2026.2642792, friendlyName=Open Publisher</x:v>
      </x:c>
      <x:c r="AA265" s="28" t="str">
        <x:v>DOI present in PubMed/MEDLINE; no PMCID present.</x:v>
      </x:c>
      <x:c r="AB265" s="28" t="str">
        <x:v>Open the DOI/publisher page. If PDF is paywalled, try Stony Brook Library access, Article Galaxy, or interlibrary loan.</x:v>
      </x:c>
      <x:c r="AC265" s="26" t="str">
        <x:v>2026-09-20</x:v>
      </x:c>
    </x:row>
    <x:row r="266">
      <x:c r="A266" s="26" t="str">
        <x:v>PUBMED-41814597</x:v>
      </x:c>
      <x:c r="B266" s="28" t="str">
        <x:v>Mind the Gap! Sleep Problems in Children With ADHD-A Qualitative Analysis of Clinician Training Needs.</x:v>
      </x:c>
      <x:c r="C266" s="28" t="str">
        <x:v>Smith, Lucy; Daley, David; Cortese, Samuele; Hill, Catherine M</x:v>
      </x:c>
      <x:c r="D266" s="28" t="n">
        <x:v>2026</x:v>
      </x:c>
      <x:c r="E266" s="28" t="str">
        <x:v>Child: care, health and development</x:v>
      </x:c>
      <x:c r="F266" s="28" t="str">
        <x:v>Primary study - qualitative</x:v>
      </x:c>
      <x:c r="G266" s="28" t="str">
        <x:v>Development &amp; presentation; Family &amp; education; Social &amp; structural; Environmental &amp; lifestyle; Treatment &amp; support; Life outcomes &amp; lived experience; Historical &amp; contemporary context</x:v>
      </x:c>
      <x:c r="H266" s="28" t="str">
        <x:v>Childhood</x:v>
      </x:c>
      <x:c r="I266" s="28" t="str">
        <x:v>Geography (MeSH): United Kingdom</x:v>
      </x:c>
      <x:c r="J266" s="28" t="str">
        <x:v>not reported</x:v>
      </x:c>
      <x:c r="K266" s="28" t="str">
        <x:v>BACKGROUND: This study aims to explore for the first time the knowledge, understanding and management of sleep problems in children with ADHD among clinicians who specialise in sleep and ADHD.</x:v>
      </x:c>
      <x:c r="L266" s="28" t="str">
        <x:v>10.1111/cch.70254</x:v>
      </x:c>
      <x:c r="M266" s="28" t="str">
        <x:v>41814597</x:v>
      </x:c>
      <x:c r="N266" s="31" t="e">
        <x:f>HYPERLINK("https://pubmed.ncbi.nlm.nih.gov/"&amp;M266&amp;"/","Open PubMed")</x:f>
        <x:v>HYPERLINK is not implemented. linkLocation=https://pubmed.ncbi.nlm.nih.gov/41814597/, friendlyName=Open PubMed</x:v>
      </x:c>
      <x:c r="O266" s="31" t="e">
        <x:f>HYPERLINK("https://pmc.ncbi.nlm.nih.gov/articles/PMC12979961/","Open Full Text")</x:f>
        <x:v>HYPERLINK is not implemented. linkLocation=https://pmc.ncbi.nlm.nih.gov/articles/PMC12979961/, friendlyName=Open Full Text</x:v>
      </x:c>
      <x:c r="P266" s="28" t="str">
        <x:v>abstract only</x:v>
      </x:c>
      <x:c r="Q266" s="28" t="str">
        <x:v>PubMed/MEDLINE export supplied by user | query: not verified from export; see Protocol sheet for reproducible recommended query</x:v>
      </x:c>
      <x:c r="R266" s="28" t="str">
        <x:v>Batch 1 core</x:v>
      </x:c>
      <x:c r="S266" s="28" t="str">
        <x:v>Direct ADHD primary study on diagnosis, family/education, structural conditions, lived experience/outcomes, or environment/lifestyle.</x:v>
      </x:c>
      <x:c r="T266" s="28" t="str">
        <x:v>not apparent from accessed abstract/metadata</x:v>
      </x:c>
      <x:c r="U266" s="28" t="str">
        <x:v>none identified in MEDLINE record</x:v>
      </x:c>
      <x:c r="V266" s="26" t="str">
        <x:v>PMC12979961</x:v>
      </x:c>
      <x:c r="W266" s="28" t="str">
        <x:v>PDF available via PMC (verified free full text)</x:v>
      </x:c>
      <x:c r="X266" s="28" t="str">
        <x:v>Yes — PMC</x:v>
      </x:c>
      <x:c r="Y266" s="31" t="e">
        <x:f>IF(V266="not reported","not reported",HYPERLINK("https://pmc.ncbi.nlm.nih.gov/articles/"&amp;V266&amp;"/","Open Full Text"))</x:f>
        <x:v>HYPERLINK is not implemented. linkLocation=https://pmc.ncbi.nlm.nih.gov/articles/PMC12979961/, friendlyName=Open Full Text</x:v>
      </x:c>
      <x:c r="Z266" s="31" t="e">
        <x:f>IF(L266="not reported","not reported",HYPERLINK("https://doi.org/"&amp;L266,"Open Publisher"))</x:f>
        <x:v>HYPERLINK is not implemented. linkLocation=https://doi.org/10.1111/cch.70254, friendlyName=Open Publisher</x:v>
      </x:c>
      <x:c r="AA266" s="28" t="str">
        <x:v>PMCID PMC12979961 present in the PubMed/MEDLINE record.</x:v>
      </x:c>
      <x:c r="AB266" s="28" t="str">
        <x:v>Open the PMC full-text page and use its PDF button/download option.</x:v>
      </x:c>
      <x:c r="AC266" s="26" t="str">
        <x:v>2026-09-20</x:v>
      </x:c>
    </x:row>
    <x:row r="267">
      <x:c r="A267" s="26" t="str">
        <x:v>PUBMED-41803832</x:v>
      </x:c>
      <x:c r="B267" s="28" t="str">
        <x:v>Adiposity and attention deficit hyperactivity disorder comorbidity in Chinese children and adolescents: the role of adiposity duration and screen time.</x:v>
      </x:c>
      <x:c r="C267" s="28" t="str">
        <x:v>Bai, Dandan; Gu, Qi; Shen, Feifei; Suo, Guihai; Zheng, Yuqin; Li, Haiying; Wang, Hong; Cai, Jin; Wu, Youjia</x:v>
      </x:c>
      <x:c r="D267" s="28" t="n">
        <x:v>2026</x:v>
      </x:c>
      <x:c r="E267" s="28" t="str">
        <x:v>BMC pediatrics</x:v>
      </x:c>
      <x:c r="F267" s="28" t="str">
        <x:v>Primary study - case-control</x:v>
      </x:c>
      <x:c r="G267" s="28" t="str">
        <x:v>Development &amp; presentation; Recognition &amp; diagnosis; Social &amp; structural; Environmental &amp; lifestyle; Treatment &amp; support</x:v>
      </x:c>
      <x:c r="H267" s="28" t="str">
        <x:v>Childhood; Adolescence</x:v>
      </x:c>
      <x:c r="I267" s="28" t="str">
        <x:v>Geography (MeSH): China</x:v>
      </x:c>
      <x:c r="J267" s="28" t="str">
        <x:v>not reported</x:v>
      </x:c>
      <x:c r="K267" s="28" t="str">
        <x:v>BACKGROUND: This study aimed to investigate the environmental factors associated with attention deficit hyperactivity disorder (ADHD) in Chinese children and adolescents with adiposity (obesity or overweight).</x:v>
      </x:c>
      <x:c r="L267" s="28" t="str">
        <x:v>10.1186/s12887-026-06646-4</x:v>
      </x:c>
      <x:c r="M267" s="28" t="str">
        <x:v>41803832</x:v>
      </x:c>
      <x:c r="N267" s="31" t="e">
        <x:f>HYPERLINK("https://pubmed.ncbi.nlm.nih.gov/"&amp;M267&amp;"/","Open PubMed")</x:f>
        <x:v>HYPERLINK is not implemented. linkLocation=https://pubmed.ncbi.nlm.nih.gov/41803832/, friendlyName=Open PubMed</x:v>
      </x:c>
      <x:c r="O267" s="31" t="e">
        <x:f>HYPERLINK("https://pmc.ncbi.nlm.nih.gov/articles/PMC13085280/","Open Full Text")</x:f>
        <x:v>HYPERLINK is not implemented. linkLocation=https://pmc.ncbi.nlm.nih.gov/articles/PMC13085280/, friendlyName=Open Full Text</x:v>
      </x:c>
      <x:c r="P267" s="28" t="str">
        <x:v>abstract only</x:v>
      </x:c>
      <x:c r="Q267" s="28" t="str">
        <x:v>PubMed/MEDLINE export supplied by user | query: not verified from export; see Protocol sheet for reproducible recommended query</x:v>
      </x:c>
      <x:c r="R267" s="28" t="str">
        <x:v>Batch 1 core</x:v>
      </x:c>
      <x:c r="S267" s="28" t="str">
        <x:v>Direct ADHD primary study on diagnosis, family/education, structural conditions, lived experience/outcomes, or environment/lifestyle.</x:v>
      </x:c>
      <x:c r="T267" s="28" t="str">
        <x:v>not apparent from accessed abstract/metadata</x:v>
      </x:c>
      <x:c r="U267" s="28" t="str">
        <x:v>none identified in MEDLINE record</x:v>
      </x:c>
      <x:c r="V267" s="26" t="str">
        <x:v>PMC13085280</x:v>
      </x:c>
      <x:c r="W267" s="28" t="str">
        <x:v>PDF available via PMC (verified free full text)</x:v>
      </x:c>
      <x:c r="X267" s="28" t="str">
        <x:v>Yes — PMC</x:v>
      </x:c>
      <x:c r="Y267" s="31" t="e">
        <x:f>IF(V267="not reported","not reported",HYPERLINK("https://pmc.ncbi.nlm.nih.gov/articles/"&amp;V267&amp;"/","Open Full Text"))</x:f>
        <x:v>HYPERLINK is not implemented. linkLocation=https://pmc.ncbi.nlm.nih.gov/articles/PMC13085280/, friendlyName=Open Full Text</x:v>
      </x:c>
      <x:c r="Z267" s="31" t="e">
        <x:f>IF(L267="not reported","not reported",HYPERLINK("https://doi.org/"&amp;L267,"Open Publisher"))</x:f>
        <x:v>HYPERLINK is not implemented. linkLocation=https://doi.org/10.1186/s12887-026-06646-4, friendlyName=Open Publisher</x:v>
      </x:c>
      <x:c r="AA267" s="28" t="str">
        <x:v>PMCID PMC13085280 present in the PubMed/MEDLINE record.</x:v>
      </x:c>
      <x:c r="AB267" s="28" t="str">
        <x:v>Open the PMC full-text page and use its PDF button/download option.</x:v>
      </x:c>
      <x:c r="AC267" s="26" t="str">
        <x:v>2026-09-20</x:v>
      </x:c>
    </x:row>
    <x:row r="268">
      <x:c r="A268" s="26" t="str">
        <x:v>PUBMED-41638541</x:v>
      </x:c>
      <x:c r="B268" s="28" t="str">
        <x:v>The effects of acute and chronic exercise on executive functions and core symptoms in adults with ADHD: A systematic review and meta-analysis.</x:v>
      </x:c>
      <x:c r="C268" s="28" t="str">
        <x:v>Xu, Shanshan; Zhao, Caifeng; Hu, Liang</x:v>
      </x:c>
      <x:c r="D268" s="28" t="n">
        <x:v>2026</x:v>
      </x:c>
      <x:c r="E268" s="28" t="str">
        <x:v>Psychology of sport and exercise</x:v>
      </x:c>
      <x:c r="F268" s="28" t="str">
        <x:v>Evidence synthesis - meta-analysis</x:v>
      </x:c>
      <x:c r="G268" s="28" t="str">
        <x:v>Development &amp; presentation; Recognition &amp; diagnosis; Social &amp; structural; Environmental &amp; lifestyle; Treatment &amp; support; Life outcomes &amp; lived experience</x:v>
      </x:c>
      <x:c r="H268" s="28" t="str">
        <x:v>Adulthood</x:v>
      </x:c>
      <x:c r="I268" s="28" t="str">
        <x:v>not reported/not verified</x:v>
      </x:c>
      <x:c r="J268" s="28" t="str">
        <x:v>not reported</x:v>
      </x:c>
      <x:c r="K268" s="28" t="str">
        <x:v>This study aimed to synthesize existing evidence on the effects of both acute and chronic exercise on these outcomes.</x:v>
      </x:c>
      <x:c r="L268" s="28" t="str">
        <x:v>10.1016/j.psychsport.2026.103088</x:v>
      </x:c>
      <x:c r="M268" s="28" t="str">
        <x:v>41638541</x:v>
      </x:c>
      <x:c r="N268" s="31" t="e">
        <x:f>HYPERLINK("https://pubmed.ncbi.nlm.nih.gov/"&amp;M268&amp;"/","Open PubMed")</x:f>
        <x:v>HYPERLINK is not implemented. linkLocation=https://pubmed.ncbi.nlm.nih.gov/41638541/, friendlyName=Open PubMed</x:v>
      </x:c>
      <x:c r="O268" s="31" t="str">
        <x:v>not reported</x:v>
      </x:c>
      <x:c r="P268" s="28" t="str">
        <x:v>abstract only</x:v>
      </x:c>
      <x:c r="Q268" s="28" t="str">
        <x:v>PubMed/MEDLINE export supplied by user | query: not verified from export; see Protocol sheet for reproducible recommended query</x:v>
      </x:c>
      <x:c r="R268" s="28" t="str">
        <x:v>Batch 1 core</x:v>
      </x:c>
      <x:c r="S268" s="28" t="str">
        <x:v>Direct ADHD evidence synthesis/guideline with broad multi-topic relevance.</x:v>
      </x:c>
      <x:c r="T268" s="28" t="str">
        <x:v>not apparent from accessed abstract/metadata</x:v>
      </x:c>
      <x:c r="U268" s="28" t="str">
        <x:v>none identified in MEDLINE record</x:v>
      </x:c>
      <x:c r="V268" s="26" t="str">
        <x:v>not reported</x:v>
      </x:c>
      <x:c r="W268" s="28" t="str">
        <x:v>No PMC copy identified; publisher PDF/access must be checked</x:v>
      </x:c>
      <x:c r="X268" s="28" t="str">
        <x:v>Not verified</x:v>
      </x:c>
      <x:c r="Y268" s="31" t="str">
        <x:f>IF(V268="not reported","not reported",HYPERLINK("https://pmc.ncbi.nlm.nih.gov/articles/"&amp;V268&amp;"/","Open Full Text"))</x:f>
        <x:v>not reported</x:v>
      </x:c>
      <x:c r="Z268" s="31" t="e">
        <x:f>IF(L268="not reported","not reported",HYPERLINK("https://doi.org/"&amp;L268,"Open Publisher"))</x:f>
        <x:v>HYPERLINK is not implemented. linkLocation=https://doi.org/10.1016/j.psychsport.2026.103088, friendlyName=Open Publisher</x:v>
      </x:c>
      <x:c r="AA268" s="28" t="str">
        <x:v>DOI present in PubMed/MEDLINE; no PMCID present.</x:v>
      </x:c>
      <x:c r="AB268" s="28" t="str">
        <x:v>Open the DOI/publisher page. If PDF is paywalled, try Stony Brook Library access, Article Galaxy, or interlibrary loan.</x:v>
      </x:c>
      <x:c r="AC268" s="26" t="str">
        <x:v>2026-09-20</x:v>
      </x:c>
    </x:row>
    <x:row r="269">
      <x:c r="A269" s="26" t="str">
        <x:v>PUBMED-41405384</x:v>
      </x:c>
      <x:c r="B269" s="28" t="str">
        <x:v>Parenting Practices in Families of Children With Comorbid ADHD and Anxiety Disorders: A Systematic Review and Meta-Analysis.</x:v>
      </x:c>
      <x:c r="C269" s="28" t="str">
        <x:v>Denis, Isabelle; Côté, Laurie; Turcotte, Stéphane; Foldes-Busque, Guillaume</x:v>
      </x:c>
      <x:c r="D269" s="28" t="n">
        <x:v>2026</x:v>
      </x:c>
      <x:c r="E269" s="28" t="str">
        <x:v>Child: care, health and development</x:v>
      </x:c>
      <x:c r="F269" s="28" t="str">
        <x:v>Evidence synthesis - meta-analysis</x:v>
      </x:c>
      <x:c r="G269" s="28" t="str">
        <x:v>Development &amp; presentation; Recognition &amp; diagnosis; Family &amp; education; Social &amp; structural</x:v>
      </x:c>
      <x:c r="H269" s="28" t="str">
        <x:v>Childhood; aged 5-12 years</x:v>
      </x:c>
      <x:c r="I269" s="28" t="str">
        <x:v>not reported/not verified</x:v>
      </x:c>
      <x:c r="J269" s="28" t="str">
        <x:v>not reported</x:v>
      </x:c>
      <x:c r="K269" s="28" t="str">
        <x:v>BACKGROUND: Comorbid anxiety disorders affect up to 28% of children with attention-deficit/hyperactivity disorder (ADHD).</x:v>
      </x:c>
      <x:c r="L269" s="28" t="str">
        <x:v>10.1111/cch.70219</x:v>
      </x:c>
      <x:c r="M269" s="28" t="str">
        <x:v>41405384</x:v>
      </x:c>
      <x:c r="N269" s="31" t="e">
        <x:f>HYPERLINK("https://pubmed.ncbi.nlm.nih.gov/"&amp;M269&amp;"/","Open PubMed")</x:f>
        <x:v>HYPERLINK is not implemented. linkLocation=https://pubmed.ncbi.nlm.nih.gov/41405384/, friendlyName=Open PubMed</x:v>
      </x:c>
      <x:c r="O269" s="31" t="e">
        <x:f>HYPERLINK("https://pmc.ncbi.nlm.nih.gov/articles/PMC12710563/","Open Full Text")</x:f>
        <x:v>HYPERLINK is not implemented. linkLocation=https://pmc.ncbi.nlm.nih.gov/articles/PMC12710563/, friendlyName=Open Full Text</x:v>
      </x:c>
      <x:c r="P269" s="28" t="str">
        <x:v>abstract only</x:v>
      </x:c>
      <x:c r="Q269" s="28" t="str">
        <x:v>PubMed/MEDLINE export supplied by user | query: not verified from export; see Protocol sheet for reproducible recommended query</x:v>
      </x:c>
      <x:c r="R269" s="28" t="str">
        <x:v>Batch 1 core</x:v>
      </x:c>
      <x:c r="S269" s="28" t="str">
        <x:v>Direct ADHD evidence synthesis/guideline with broad multi-topic relevance.</x:v>
      </x:c>
      <x:c r="T269" s="28" t="str">
        <x:v>not apparent from accessed abstract/metadata</x:v>
      </x:c>
      <x:c r="U269" s="28" t="str">
        <x:v>none identified in MEDLINE record</x:v>
      </x:c>
      <x:c r="V269" s="26" t="str">
        <x:v>PMC12710563</x:v>
      </x:c>
      <x:c r="W269" s="28" t="str">
        <x:v>PDF available via PMC (verified free full text)</x:v>
      </x:c>
      <x:c r="X269" s="28" t="str">
        <x:v>Yes — PMC</x:v>
      </x:c>
      <x:c r="Y269" s="31" t="e">
        <x:f>IF(V269="not reported","not reported",HYPERLINK("https://pmc.ncbi.nlm.nih.gov/articles/"&amp;V269&amp;"/","Open Full Text"))</x:f>
        <x:v>HYPERLINK is not implemented. linkLocation=https://pmc.ncbi.nlm.nih.gov/articles/PMC12710563/, friendlyName=Open Full Text</x:v>
      </x:c>
      <x:c r="Z269" s="31" t="e">
        <x:f>IF(L269="not reported","not reported",HYPERLINK("https://doi.org/"&amp;L269,"Open Publisher"))</x:f>
        <x:v>HYPERLINK is not implemented. linkLocation=https://doi.org/10.1111/cch.70219, friendlyName=Open Publisher</x:v>
      </x:c>
      <x:c r="AA269" s="28" t="str">
        <x:v>PMCID PMC12710563 present in the PubMed/MEDLINE record.</x:v>
      </x:c>
      <x:c r="AB269" s="28" t="str">
        <x:v>Open the PMC full-text page and use its PDF button/download option.</x:v>
      </x:c>
      <x:c r="AC269" s="26" t="str">
        <x:v>2026-09-20</x:v>
      </x:c>
    </x:row>
    <x:row r="270">
      <x:c r="A270" s="26" t="str">
        <x:v>PUBMED-41283992</x:v>
      </x:c>
      <x:c r="B270" s="28" t="str">
        <x:v>Therapeutic effects of tDCS on behavioral and cognitive functions in adults diagnosed with attention-deficit/hyperactivity disorder: a systematic review and meta-analysis on randomized controlled trials.</x:v>
      </x:c>
      <x:c r="C270" s="28" t="str">
        <x:v>Wen, Yu-Ho; Pan, Wei-Fu; Sun, Cheuk-Kwan; Cheng, Yu-Shian; Hung, Kuo-Chuan</x:v>
      </x:c>
      <x:c r="D270" s="28" t="n">
        <x:v>2026</x:v>
      </x:c>
      <x:c r="E270" s="28" t="str">
        <x:v>European archives of psychiatry and clinical neuroscience</x:v>
      </x:c>
      <x:c r="F270" s="28" t="str">
        <x:v>Evidence synthesis - meta-analysis</x:v>
      </x:c>
      <x:c r="G270" s="28" t="str">
        <x:v>Development &amp; presentation; Recognition &amp; diagnosis; Social &amp; structural; Treatment &amp; support; Life outcomes &amp; lived experience</x:v>
      </x:c>
      <x:c r="H270" s="28" t="str">
        <x:v>Adulthood; mean age = 31.37</x:v>
      </x:c>
      <x:c r="I270" s="28" t="str">
        <x:v>not reported/not verified</x:v>
      </x:c>
      <x:c r="J270" s="28" t="str">
        <x:v>not reported</x:v>
      </x:c>
      <x:c r="K270" s="28" t="str">
        <x:v>The current study aimed to investigate the effectiveness of transcranial direct current stimulation (tDCS) in improving the clinical symptoms and cognitive functions in adults diagnosed with attention deficit/hyperactivity disorder (ADHD) as well as its treatment acceptability.</x:v>
      </x:c>
      <x:c r="L270" s="28" t="str">
        <x:v>10.1007/s00406-025-02162-1</x:v>
      </x:c>
      <x:c r="M270" s="28" t="str">
        <x:v>41283992</x:v>
      </x:c>
      <x:c r="N270" s="31" t="e">
        <x:f>HYPERLINK("https://pubmed.ncbi.nlm.nih.gov/"&amp;M270&amp;"/","Open PubMed")</x:f>
        <x:v>HYPERLINK is not implemented. linkLocation=https://pubmed.ncbi.nlm.nih.gov/41283992/, friendlyName=Open PubMed</x:v>
      </x:c>
      <x:c r="O270" s="31" t="str">
        <x:v>not reported</x:v>
      </x:c>
      <x:c r="P270" s="28" t="str">
        <x:v>abstract only</x:v>
      </x:c>
      <x:c r="Q270" s="28" t="str">
        <x:v>PubMed/MEDLINE export supplied by user | query: not verified from export; see Protocol sheet for reproducible recommended query</x:v>
      </x:c>
      <x:c r="R270" s="28" t="str">
        <x:v>Batch 1 core</x:v>
      </x:c>
      <x:c r="S270" s="28" t="str">
        <x:v>Direct ADHD evidence synthesis/guideline with broad multi-topic relevance.</x:v>
      </x:c>
      <x:c r="T270" s="28" t="str">
        <x:v>not apparent from accessed abstract/metadata</x:v>
      </x:c>
      <x:c r="U270" s="28" t="str">
        <x:v>none identified in MEDLINE record</x:v>
      </x:c>
      <x:c r="V270" s="26" t="str">
        <x:v>not reported</x:v>
      </x:c>
      <x:c r="W270" s="28" t="str">
        <x:v>No PMC copy identified; publisher PDF/access must be checked</x:v>
      </x:c>
      <x:c r="X270" s="28" t="str">
        <x:v>Not verified</x:v>
      </x:c>
      <x:c r="Y270" s="31" t="str">
        <x:f>IF(V270="not reported","not reported",HYPERLINK("https://pmc.ncbi.nlm.nih.gov/articles/"&amp;V270&amp;"/","Open Full Text"))</x:f>
        <x:v>not reported</x:v>
      </x:c>
      <x:c r="Z270" s="31" t="e">
        <x:f>IF(L270="not reported","not reported",HYPERLINK("https://doi.org/"&amp;L270,"Open Publisher"))</x:f>
        <x:v>HYPERLINK is not implemented. linkLocation=https://doi.org/10.1007/s00406-025-02162-1, friendlyName=Open Publisher</x:v>
      </x:c>
      <x:c r="AA270" s="28" t="str">
        <x:v>DOI present in PubMed/MEDLINE; no PMCID present.</x:v>
      </x:c>
      <x:c r="AB270" s="28" t="str">
        <x:v>Open the DOI/publisher page. If PDF is paywalled, try Stony Brook Library access, Article Galaxy, or interlibrary loan.</x:v>
      </x:c>
      <x:c r="AC270" s="26" t="str">
        <x:v>2026-09-20</x:v>
      </x:c>
    </x:row>
    <x:row r="271">
      <x:c r="A271" s="26" t="str">
        <x:v>PUBMED-41237171</x:v>
      </x:c>
      <x:c r="B271" s="28" t="str">
        <x:v>The Impact of Screen Time on ADHD Symptoms in Children and Adolescents: A Narrative Review of Treatment Approaches.</x:v>
      </x:c>
      <x:c r="C271" s="28" t="str">
        <x:v>Winter, Helen; O'Neill, John</x:v>
      </x:c>
      <x:c r="D271" s="28" t="n">
        <x:v>2026</x:v>
      </x:c>
      <x:c r="E271" s="28" t="str">
        <x:v>Clinical child psychology and psychiatry</x:v>
      </x:c>
      <x:c r="F271" s="28" t="str">
        <x:v>Evidence synthesis - review</x:v>
      </x:c>
      <x:c r="G271" s="28" t="str">
        <x:v>Development &amp; presentation; Recognition &amp; diagnosis; Social &amp; structural; Environmental &amp; lifestyle; Treatment &amp; support; Life outcomes &amp; lived experience</x:v>
      </x:c>
      <x:c r="H271" s="28" t="str">
        <x:v>Childhood; Adolescence</x:v>
      </x:c>
      <x:c r="I271" s="28" t="str">
        <x:v>not reported/not verified</x:v>
      </x:c>
      <x:c r="J271" s="28" t="str">
        <x:v>not reported</x:v>
      </x:c>
      <x:c r="K271" s="28" t="str">
        <x:v>This review suggests that the management of ADHD in the digital era requires a holistic approach that recognises both the risks and potential benefits of screen use.</x:v>
      </x:c>
      <x:c r="L271" s="28" t="str">
        <x:v>10.1177/13591045251399697</x:v>
      </x:c>
      <x:c r="M271" s="28" t="str">
        <x:v>41237171</x:v>
      </x:c>
      <x:c r="N271" s="31" t="e">
        <x:f>HYPERLINK("https://pubmed.ncbi.nlm.nih.gov/"&amp;M271&amp;"/","Open PubMed")</x:f>
        <x:v>HYPERLINK is not implemented. linkLocation=https://pubmed.ncbi.nlm.nih.gov/41237171/, friendlyName=Open PubMed</x:v>
      </x:c>
      <x:c r="O271" s="31" t="str">
        <x:v>not reported</x:v>
      </x:c>
      <x:c r="P271" s="28" t="str">
        <x:v>abstract only</x:v>
      </x:c>
      <x:c r="Q271" s="28" t="str">
        <x:v>PubMed/MEDLINE export supplied by user | query: not verified from export; see Protocol sheet for reproducible recommended query</x:v>
      </x:c>
      <x:c r="R271" s="28" t="str">
        <x:v>Batch 1 core</x:v>
      </x:c>
      <x:c r="S271" s="28" t="str">
        <x:v>Direct ADHD evidence synthesis/guideline with broad multi-topic relevance.</x:v>
      </x:c>
      <x:c r="T271" s="28" t="str">
        <x:v>not apparent from accessed abstract/metadata</x:v>
      </x:c>
      <x:c r="U271" s="28" t="str">
        <x:v>none identified in MEDLINE record</x:v>
      </x:c>
      <x:c r="V271" s="26" t="str">
        <x:v>not reported</x:v>
      </x:c>
      <x:c r="W271" s="28" t="str">
        <x:v>No PMC copy identified; publisher PDF/access must be checked</x:v>
      </x:c>
      <x:c r="X271" s="28" t="str">
        <x:v>Not verified</x:v>
      </x:c>
      <x:c r="Y271" s="31" t="str">
        <x:f>IF(V271="not reported","not reported",HYPERLINK("https://pmc.ncbi.nlm.nih.gov/articles/"&amp;V271&amp;"/","Open Full Text"))</x:f>
        <x:v>not reported</x:v>
      </x:c>
      <x:c r="Z271" s="31" t="e">
        <x:f>IF(L271="not reported","not reported",HYPERLINK("https://doi.org/"&amp;L271,"Open Publisher"))</x:f>
        <x:v>HYPERLINK is not implemented. linkLocation=https://doi.org/10.1177/13591045251399697, friendlyName=Open Publisher</x:v>
      </x:c>
      <x:c r="AA271" s="28" t="str">
        <x:v>DOI present in PubMed/MEDLINE; no PMCID present.</x:v>
      </x:c>
      <x:c r="AB271" s="28" t="str">
        <x:v>Open the DOI/publisher page. If PDF is paywalled, try Stony Brook Library access, Article Galaxy, or interlibrary loan.</x:v>
      </x:c>
      <x:c r="AC271" s="26" t="str">
        <x:v>2026-09-20</x:v>
      </x:c>
    </x:row>
    <x:row r="272">
      <x:c r="A272" s="26" t="str">
        <x:v>PUBMED-41146423</x:v>
      </x:c>
      <x:c r="B272" s="28" t="str">
        <x:v>Cognitive Profile of ADHD in Older Adults: A Systematic Review.</x:v>
      </x:c>
      <x:c r="C272" s="28" t="str">
        <x:v>Pardo-Palenzuela, Natividad; Onandia-Hinchado, Iban; Diaz-Orueta, Unai</x:v>
      </x:c>
      <x:c r="D272" s="28" t="n">
        <x:v>2026</x:v>
      </x:c>
      <x:c r="E272" s="28" t="str">
        <x:v>Journal of attention disorders</x:v>
      </x:c>
      <x:c r="F272" s="28" t="str">
        <x:v>Evidence synthesis - systematic review</x:v>
      </x:c>
      <x:c r="G272" s="28" t="str">
        <x:v>Development &amp; presentation; Recognition &amp; diagnosis; Social &amp; structural</x:v>
      </x:c>
      <x:c r="H272" s="28" t="str">
        <x:v>Adulthood</x:v>
      </x:c>
      <x:c r="I272" s="28" t="str">
        <x:v>not reported/not verified</x:v>
      </x:c>
      <x:c r="J272" s="28" t="str">
        <x:v>not reported</x:v>
      </x:c>
      <x:c r="K272" s="28" t="str">
        <x:v>OBJECTIVES: ADHD is now recognized as a common condition in adulthood, but the evidence supporting a separate characterization of a cognitive profile for ADHD in older adults is scarce.</x:v>
      </x:c>
      <x:c r="L272" s="28" t="str">
        <x:v>10.1177/10870547251385758</x:v>
      </x:c>
      <x:c r="M272" s="28" t="str">
        <x:v>41146423</x:v>
      </x:c>
      <x:c r="N272" s="31" t="e">
        <x:f>HYPERLINK("https://pubmed.ncbi.nlm.nih.gov/"&amp;M272&amp;"/","Open PubMed")</x:f>
        <x:v>HYPERLINK is not implemented. linkLocation=https://pubmed.ncbi.nlm.nih.gov/41146423/, friendlyName=Open PubMed</x:v>
      </x:c>
      <x:c r="O272" s="31" t="e">
        <x:f>HYPERLINK("https://pmc.ncbi.nlm.nih.gov/articles/PMC12686184/","Open Full Text")</x:f>
        <x:v>HYPERLINK is not implemented. linkLocation=https://pmc.ncbi.nlm.nih.gov/articles/PMC12686184/, friendlyName=Open Full Text</x:v>
      </x:c>
      <x:c r="P272" s="28" t="str">
        <x:v>abstract only</x:v>
      </x:c>
      <x:c r="Q272" s="28" t="str">
        <x:v>PubMed/MEDLINE export supplied by user | query: not verified from export; see Protocol sheet for reproducible recommended query</x:v>
      </x:c>
      <x:c r="R272" s="28" t="str">
        <x:v>Batch 1 core</x:v>
      </x:c>
      <x:c r="S272" s="28" t="str">
        <x:v>Direct ADHD evidence synthesis/guideline with broad multi-topic relevance.</x:v>
      </x:c>
      <x:c r="T272" s="28" t="str">
        <x:v>not apparent from accessed abstract/metadata</x:v>
      </x:c>
      <x:c r="U272" s="28" t="str">
        <x:v>none identified in MEDLINE record</x:v>
      </x:c>
      <x:c r="V272" s="26" t="str">
        <x:v>PMC12686184</x:v>
      </x:c>
      <x:c r="W272" s="28" t="str">
        <x:v>PDF available via PMC (verified free full text)</x:v>
      </x:c>
      <x:c r="X272" s="28" t="str">
        <x:v>Yes — PMC</x:v>
      </x:c>
      <x:c r="Y272" s="31" t="e">
        <x:f>IF(V272="not reported","not reported",HYPERLINK("https://pmc.ncbi.nlm.nih.gov/articles/"&amp;V272&amp;"/","Open Full Text"))</x:f>
        <x:v>HYPERLINK is not implemented. linkLocation=https://pmc.ncbi.nlm.nih.gov/articles/PMC12686184/, friendlyName=Open Full Text</x:v>
      </x:c>
      <x:c r="Z272" s="31" t="e">
        <x:f>IF(L272="not reported","not reported",HYPERLINK("https://doi.org/"&amp;L272,"Open Publisher"))</x:f>
        <x:v>HYPERLINK is not implemented. linkLocation=https://doi.org/10.1177/10870547251385758, friendlyName=Open Publisher</x:v>
      </x:c>
      <x:c r="AA272" s="28" t="str">
        <x:v>PMCID PMC12686184 present in the PubMed/MEDLINE record.</x:v>
      </x:c>
      <x:c r="AB272" s="28" t="str">
        <x:v>Open the PMC full-text page and use its PDF button/download option.</x:v>
      </x:c>
      <x:c r="AC272" s="26" t="str">
        <x:v>2026-09-20</x:v>
      </x:c>
    </x:row>
    <x:row r="273">
      <x:c r="A273" s="26" t="str">
        <x:v>PUBMED-40974183</x:v>
      </x:c>
      <x:c r="B273" s="28" t="str">
        <x:v>Mapping phenotypic and genetic relationships among irritability, depression and ADHD in adolescence using network analysis.</x:v>
      </x:c>
      <x:c r="C273" s="28" t="str">
        <x:v>Shakeshaft, Amy; Farhat, Luis C; Dennison, Charlotte A; Eyre, Olga; Oginni, Olakunle; O'Donovan, Michael C; Stringaris, Argyris; Leibenluft, Ellen; Polanczyk, Guilherme V; Riglin, Lucy; Thapar, Anita</x:v>
      </x:c>
      <x:c r="D273" s="28" t="n">
        <x:v>2026</x:v>
      </x:c>
      <x:c r="E273" s="28" t="str">
        <x:v>Journal of child psychology and psychiatry, and allied disciplines</x:v>
      </x:c>
      <x:c r="F273" s="28" t="str">
        <x:v>Primary study - cohort</x:v>
      </x:c>
      <x:c r="G273" s="28" t="str">
        <x:v>Development &amp; presentation; Recognition &amp; diagnosis; Family &amp; education; Social &amp; structural; Treatment &amp; support; Life outcomes &amp; lived experience</x:v>
      </x:c>
      <x:c r="H273" s="28" t="str">
        <x:v>Childhood; Adolescence</x:v>
      </x:c>
      <x:c r="I273" s="28" t="str">
        <x:v>not reported/not verified</x:v>
      </x:c>
      <x:c r="J273" s="28" t="str">
        <x:v>not reported</x:v>
      </x:c>
      <x:c r="K273" s="28" t="str">
        <x:v>Finally, we tested for network replicability using confirmatory network analysis in the Millennium Cohort Study (MCS).</x:v>
      </x:c>
      <x:c r="L273" s="28" t="str">
        <x:v>10.1111/jcpp.70040</x:v>
      </x:c>
      <x:c r="M273" s="28" t="str">
        <x:v>40974183</x:v>
      </x:c>
      <x:c r="N273" s="31" t="e">
        <x:f>HYPERLINK("https://pubmed.ncbi.nlm.nih.gov/"&amp;M273&amp;"/","Open PubMed")</x:f>
        <x:v>HYPERLINK is not implemented. linkLocation=https://pubmed.ncbi.nlm.nih.gov/40974183/, friendlyName=Open PubMed</x:v>
      </x:c>
      <x:c r="O273" s="31" t="e">
        <x:f>HYPERLINK("https://pmc.ncbi.nlm.nih.gov/articles/PMC12883585/","Open Full Text")</x:f>
        <x:v>HYPERLINK is not implemented. linkLocation=https://pmc.ncbi.nlm.nih.gov/articles/PMC12883585/, friendlyName=Open Full Text</x:v>
      </x:c>
      <x:c r="P273" s="28" t="str">
        <x:v>abstract only</x:v>
      </x:c>
      <x:c r="Q273" s="28" t="str">
        <x:v>PubMed/MEDLINE export supplied by user | query: not verified from export; see Protocol sheet for reproducible recommended query</x:v>
      </x:c>
      <x:c r="R273" s="28" t="str">
        <x:v>Batch 1 core</x:v>
      </x:c>
      <x:c r="S273" s="28" t="str">
        <x:v>Direct ADHD primary study on diagnosis, family/education, structural conditions, lived experience/outcomes, or environment/lifestyle.</x:v>
      </x:c>
      <x:c r="T273" s="28" t="str">
        <x:v>ALSPAC / Avon Longitudinal Study; Millennium Cohort Study</x:v>
      </x:c>
      <x:c r="U273" s="28" t="str">
        <x:v>none identified in MEDLINE record</x:v>
      </x:c>
      <x:c r="V273" s="26" t="str">
        <x:v>PMC12883585</x:v>
      </x:c>
      <x:c r="W273" s="28" t="str">
        <x:v>PDF available via PMC (verified free full text)</x:v>
      </x:c>
      <x:c r="X273" s="28" t="str">
        <x:v>Yes — PMC</x:v>
      </x:c>
      <x:c r="Y273" s="31" t="e">
        <x:f>IF(V273="not reported","not reported",HYPERLINK("https://pmc.ncbi.nlm.nih.gov/articles/"&amp;V273&amp;"/","Open Full Text"))</x:f>
        <x:v>HYPERLINK is not implemented. linkLocation=https://pmc.ncbi.nlm.nih.gov/articles/PMC12883585/, friendlyName=Open Full Text</x:v>
      </x:c>
      <x:c r="Z273" s="31" t="e">
        <x:f>IF(L273="not reported","not reported",HYPERLINK("https://doi.org/"&amp;L273,"Open Publisher"))</x:f>
        <x:v>HYPERLINK is not implemented. linkLocation=https://doi.org/10.1111/jcpp.70040, friendlyName=Open Publisher</x:v>
      </x:c>
      <x:c r="AA273" s="28" t="str">
        <x:v>PMCID PMC12883585 present in the PubMed/MEDLINE record.</x:v>
      </x:c>
      <x:c r="AB273" s="28" t="str">
        <x:v>Open the PMC full-text page and use its PDF button/download option.</x:v>
      </x:c>
      <x:c r="AC273" s="26" t="str">
        <x:v>2026-09-20</x:v>
      </x:c>
    </x:row>
    <x:row r="274">
      <x:c r="A274" s="26" t="str">
        <x:v>PUBMED-40968259</x:v>
      </x:c>
      <x:c r="B274" s="28" t="str">
        <x:v>A low frequency damaging SORCS2 variant identified in a family with ADHD compromises receptor stability and quenches activity.</x:v>
      </x:c>
      <x:c r="C274" s="28" t="str">
        <x:v>Kaas, Mathias; Dinesen, Sarah Broholt; Ahlgreen, Ole; Madsen, Peder; Mølgaard, Simon; Dalby, Anders; Gustafsen, Camilla; Olsen, Ditte; Duan, Jinjie; Vilstrup, Joachim; Lende, Jonas; Nordestgaard, Sanne; Zayats, Tetyana; Knappskog, Per Morten; Johansson, Stefan; Neckelmann, Gesche; Franke, Barbara; Thirup, Søren; Børglum, Anders; Reif, Andreas; Vægter, Christian; Demontis, Ditte; Haavik, Jan; Glerup, Simon; Skeldal, Sune</x:v>
      </x:c>
      <x:c r="D274" s="28" t="n">
        <x:v>2026</x:v>
      </x:c>
      <x:c r="E274" s="28" t="str">
        <x:v>Molecular psychiatry</x:v>
      </x:c>
      <x:c r="F274" s="28" t="str">
        <x:v>Primary study - cohort</x:v>
      </x:c>
      <x:c r="G274" s="28" t="str">
        <x:v>Development &amp; presentation; Family &amp; education; Social &amp; structural; Environmental &amp; lifestyle</x:v>
      </x:c>
      <x:c r="H274" s="28" t="str">
        <x:v>Childhood; Adulthood</x:v>
      </x:c>
      <x:c r="I274" s="28" t="str">
        <x:v>not reported/not verified</x:v>
      </x:c>
      <x:c r="J274" s="28" t="str">
        <x:v>not reported</x:v>
      </x:c>
      <x:c r="K274" s="28" t="str">
        <x:v>Attention-deficit/hyperactivity disorder (ADHD) is a common neurodevelopmental disorder affecting 5% of children and 2.5% of adults worldwide.</x:v>
      </x:c>
      <x:c r="L274" s="28" t="str">
        <x:v>10.1038/s41380-025-03242-3</x:v>
      </x:c>
      <x:c r="M274" s="28" t="str">
        <x:v>40968259</x:v>
      </x:c>
      <x:c r="N274" s="31" t="e">
        <x:f>HYPERLINK("https://pubmed.ncbi.nlm.nih.gov/"&amp;M274&amp;"/","Open PubMed")</x:f>
        <x:v>HYPERLINK is not implemented. linkLocation=https://pubmed.ncbi.nlm.nih.gov/40968259/, friendlyName=Open PubMed</x:v>
      </x:c>
      <x:c r="O274" s="31" t="e">
        <x:f>HYPERLINK("https://pmc.ncbi.nlm.nih.gov/articles/PMC12916480/","Open Full Text")</x:f>
        <x:v>HYPERLINK is not implemented. linkLocation=https://pmc.ncbi.nlm.nih.gov/articles/PMC12916480/, friendlyName=Open Full Text</x:v>
      </x:c>
      <x:c r="P274" s="28" t="str">
        <x:v>abstract only</x:v>
      </x:c>
      <x:c r="Q274" s="28" t="str">
        <x:v>PubMed/MEDLINE export supplied by user | query: not verified from export; see Protocol sheet for reproducible recommended query</x:v>
      </x:c>
      <x:c r="R274" s="28" t="str">
        <x:v>Batch 1 core</x:v>
      </x:c>
      <x:c r="S274" s="28" t="str">
        <x:v>Direct ADHD primary study on diagnosis, family/education, structural conditions, lived experience/outcomes, or environment/lifestyle.</x:v>
      </x:c>
      <x:c r="T274" s="28" t="str">
        <x:v>not apparent from accessed abstract/metadata</x:v>
      </x:c>
      <x:c r="U274" s="28" t="str">
        <x:v>none identified in MEDLINE record</x:v>
      </x:c>
      <x:c r="V274" s="26" t="str">
        <x:v>PMC12916480</x:v>
      </x:c>
      <x:c r="W274" s="28" t="str">
        <x:v>PDF available via PMC (verified free full text)</x:v>
      </x:c>
      <x:c r="X274" s="28" t="str">
        <x:v>Yes — PMC</x:v>
      </x:c>
      <x:c r="Y274" s="31" t="e">
        <x:f>IF(V274="not reported","not reported",HYPERLINK("https://pmc.ncbi.nlm.nih.gov/articles/"&amp;V274&amp;"/","Open Full Text"))</x:f>
        <x:v>HYPERLINK is not implemented. linkLocation=https://pmc.ncbi.nlm.nih.gov/articles/PMC12916480/, friendlyName=Open Full Text</x:v>
      </x:c>
      <x:c r="Z274" s="31" t="e">
        <x:f>IF(L274="not reported","not reported",HYPERLINK("https://doi.org/"&amp;L274,"Open Publisher"))</x:f>
        <x:v>HYPERLINK is not implemented. linkLocation=https://doi.org/10.1038/s41380-025-03242-3, friendlyName=Open Publisher</x:v>
      </x:c>
      <x:c r="AA274" s="28" t="str">
        <x:v>PMCID PMC12916480 present in the PubMed/MEDLINE record.</x:v>
      </x:c>
      <x:c r="AB274" s="28" t="str">
        <x:v>Open the PMC full-text page and use its PDF button/download option.</x:v>
      </x:c>
      <x:c r="AC274" s="26" t="str">
        <x:v>2026-09-20</x:v>
      </x:c>
    </x:row>
    <x:row r="275">
      <x:c r="A275" s="26" t="str">
        <x:v>PUBMED-40914530</x:v>
      </x:c>
      <x:c r="B275" s="28" t="str">
        <x:v>Meta-analysis of the association between prenatal antibiotic exposure and risk of childhood attention-deficit/hyperactivity disorder.</x:v>
      </x:c>
      <x:c r="C275" s="28" t="str">
        <x:v>Fan, Jiali; Wu, Shanshan; Huang, Chengshuang; Xiao, Dongqiong; Tang, Fajuan</x:v>
      </x:c>
      <x:c r="D275" s="28" t="n">
        <x:v>2026</x:v>
      </x:c>
      <x:c r="E275" s="28" t="str">
        <x:v>Journal of affective disorders</x:v>
      </x:c>
      <x:c r="F275" s="28" t="str">
        <x:v>Evidence synthesis - meta-analysis</x:v>
      </x:c>
      <x:c r="G275" s="28" t="str">
        <x:v>Development &amp; presentation; Environmental &amp; lifestyle; Treatment &amp; support; Life outcomes &amp; lived experience</x:v>
      </x:c>
      <x:c r="H275" s="28" t="str">
        <x:v>Childhood</x:v>
      </x:c>
      <x:c r="I275" s="28" t="str">
        <x:v>not reported/not verified</x:v>
      </x:c>
      <x:c r="J275" s="28" t="str">
        <x:v>not reported</x:v>
      </x:c>
      <x:c r="K275" s="28" t="str">
        <x:v>BACKGROUND: Studies examining the association between maternal antibiotic use during pregnancy and the risk of childhood attention-deficit/hyperactivity disorder (ADHD) have yielded inconsistent results.</x:v>
      </x:c>
      <x:c r="L275" s="28" t="str">
        <x:v>10.1016/j.jad.2025.120168</x:v>
      </x:c>
      <x:c r="M275" s="28" t="str">
        <x:v>40914530</x:v>
      </x:c>
      <x:c r="N275" s="31" t="e">
        <x:f>HYPERLINK("https://pubmed.ncbi.nlm.nih.gov/"&amp;M275&amp;"/","Open PubMed")</x:f>
        <x:v>HYPERLINK is not implemented. linkLocation=https://pubmed.ncbi.nlm.nih.gov/40914530/, friendlyName=Open PubMed</x:v>
      </x:c>
      <x:c r="O275" s="31" t="str">
        <x:v>not reported</x:v>
      </x:c>
      <x:c r="P275" s="28" t="str">
        <x:v>abstract only</x:v>
      </x:c>
      <x:c r="Q275" s="28" t="str">
        <x:v>PubMed/MEDLINE export supplied by user | query: not verified from export; see Protocol sheet for reproducible recommended query</x:v>
      </x:c>
      <x:c r="R275" s="28" t="str">
        <x:v>Batch 1 core</x:v>
      </x:c>
      <x:c r="S275" s="28" t="str">
        <x:v>Direct ADHD evidence synthesis/guideline with broad multi-topic relevance.</x:v>
      </x:c>
      <x:c r="T275" s="28" t="str">
        <x:v>not apparent from accessed abstract/metadata</x:v>
      </x:c>
      <x:c r="U275" s="28" t="str">
        <x:v>none identified in MEDLINE record</x:v>
      </x:c>
      <x:c r="V275" s="26" t="str">
        <x:v>not reported</x:v>
      </x:c>
      <x:c r="W275" s="28" t="str">
        <x:v>No PMC copy identified; publisher PDF/access must be checked</x:v>
      </x:c>
      <x:c r="X275" s="28" t="str">
        <x:v>Not verified</x:v>
      </x:c>
      <x:c r="Y275" s="31" t="str">
        <x:f>IF(V275="not reported","not reported",HYPERLINK("https://pmc.ncbi.nlm.nih.gov/articles/"&amp;V275&amp;"/","Open Full Text"))</x:f>
        <x:v>not reported</x:v>
      </x:c>
      <x:c r="Z275" s="31" t="e">
        <x:f>IF(L275="not reported","not reported",HYPERLINK("https://doi.org/"&amp;L275,"Open Publisher"))</x:f>
        <x:v>HYPERLINK is not implemented. linkLocation=https://doi.org/10.1016/j.jad.2025.120168, friendlyName=Open Publisher</x:v>
      </x:c>
      <x:c r="AA275" s="28" t="str">
        <x:v>DOI present in PubMed/MEDLINE; no PMCID present.</x:v>
      </x:c>
      <x:c r="AB275" s="28" t="str">
        <x:v>Open the DOI/publisher page. If PDF is paywalled, try Stony Brook Library access, Article Galaxy, or interlibrary loan.</x:v>
      </x:c>
      <x:c r="AC275" s="26" t="str">
        <x:v>2026-09-20</x:v>
      </x:c>
    </x:row>
    <x:row r="276">
      <x:c r="A276" s="26" t="str">
        <x:v>PUBMED-40846831</x:v>
      </x:c>
      <x:c r="B276" s="28" t="str">
        <x:v>Attention-deficit hyperactivity disorder and oral health in children and adolescents: a systematic review.</x:v>
      </x:c>
      <x:c r="C276" s="28" t="str">
        <x:v>Chatti, M; Chebbi, N; Baaziz, A</x:v>
      </x:c>
      <x:c r="D276" s="28" t="n">
        <x:v>2026</x:v>
      </x:c>
      <x:c r="E276" s="28" t="str">
        <x:v>European archives of paediatric dentistry : official journal of the European Academy of Paediatric Dentistry</x:v>
      </x:c>
      <x:c r="F276" s="28" t="str">
        <x:v>Evidence synthesis - systematic review</x:v>
      </x:c>
      <x:c r="G276" s="28" t="str">
        <x:v>Development &amp; presentation; Recognition &amp; diagnosis; Family &amp; education; Social &amp; structural; Life outcomes &amp; lived experience</x:v>
      </x:c>
      <x:c r="H276" s="28" t="str">
        <x:v>Childhood; Adolescence; aged 6-18 years</x:v>
      </x:c>
      <x:c r="I276" s="28" t="str">
        <x:v>not reported/not verified</x:v>
      </x:c>
      <x:c r="J276" s="28" t="str">
        <x:v>not reported</x:v>
      </x:c>
      <x:c r="K276" s="28" t="str">
        <x:v>PURPOSE: This systematic review investigates ADHD's impact on oral health, comprised of dental caries, periodontal status, oral health-related behaviors and traumatic dental injuries, in children and adolescents.</x:v>
      </x:c>
      <x:c r="L276" s="28" t="str">
        <x:v>10.1007/s40368-025-01096-5</x:v>
      </x:c>
      <x:c r="M276" s="28" t="str">
        <x:v>40846831</x:v>
      </x:c>
      <x:c r="N276" s="31" t="e">
        <x:f>HYPERLINK("https://pubmed.ncbi.nlm.nih.gov/"&amp;M276&amp;"/","Open PubMed")</x:f>
        <x:v>HYPERLINK is not implemented. linkLocation=https://pubmed.ncbi.nlm.nih.gov/40846831/, friendlyName=Open PubMed</x:v>
      </x:c>
      <x:c r="O276" s="31" t="str">
        <x:v>not reported</x:v>
      </x:c>
      <x:c r="P276" s="28" t="str">
        <x:v>abstract only</x:v>
      </x:c>
      <x:c r="Q276" s="28" t="str">
        <x:v>PubMed/MEDLINE export supplied by user | query: not verified from export; see Protocol sheet for reproducible recommended query</x:v>
      </x:c>
      <x:c r="R276" s="28" t="str">
        <x:v>Batch 1 core</x:v>
      </x:c>
      <x:c r="S276" s="28" t="str">
        <x:v>Direct ADHD evidence synthesis/guideline with broad multi-topic relevance.</x:v>
      </x:c>
      <x:c r="T276" s="28" t="str">
        <x:v>not apparent from accessed abstract/metadata</x:v>
      </x:c>
      <x:c r="U276" s="28" t="str">
        <x:v>none identified in MEDLINE record</x:v>
      </x:c>
      <x:c r="V276" s="26" t="str">
        <x:v>not reported</x:v>
      </x:c>
      <x:c r="W276" s="28" t="str">
        <x:v>No PMC copy identified; publisher PDF/access must be checked</x:v>
      </x:c>
      <x:c r="X276" s="28" t="str">
        <x:v>Not verified</x:v>
      </x:c>
      <x:c r="Y276" s="31" t="str">
        <x:f>IF(V276="not reported","not reported",HYPERLINK("https://pmc.ncbi.nlm.nih.gov/articles/"&amp;V276&amp;"/","Open Full Text"))</x:f>
        <x:v>not reported</x:v>
      </x:c>
      <x:c r="Z276" s="31" t="e">
        <x:f>IF(L276="not reported","not reported",HYPERLINK("https://doi.org/"&amp;L276,"Open Publisher"))</x:f>
        <x:v>HYPERLINK is not implemented. linkLocation=https://doi.org/10.1007/s40368-025-01096-5, friendlyName=Open Publisher</x:v>
      </x:c>
      <x:c r="AA276" s="28" t="str">
        <x:v>DOI present in PubMed/MEDLINE; no PMCID present.</x:v>
      </x:c>
      <x:c r="AB276" s="28" t="str">
        <x:v>Open the DOI/publisher page. If PDF is paywalled, try Stony Brook Library access, Article Galaxy, or interlibrary loan.</x:v>
      </x:c>
      <x:c r="AC276" s="26" t="str">
        <x:v>2026-09-20</x:v>
      </x:c>
    </x:row>
    <x:row r="277">
      <x:c r="A277" s="26" t="str">
        <x:v>PUBMED-38850546</x:v>
      </x:c>
      <x:c r="B277" s="28" t="str">
        <x:v>Do Wechsler intelligence scales predict academic achievement in children with ADHD or autism? A systematic review and meta-analysis.</x:v>
      </x:c>
      <x:c r="C277" s="28" t="str">
        <x:v>Marinopoulou, Maria; Åsberg Johnels, Jakob; Bornehag, Carl-Gustaf; Unenge Hallerbäck, Maria; Billstedt, Eva</x:v>
      </x:c>
      <x:c r="D277" s="28" t="n">
        <x:v>2026</x:v>
      </x:c>
      <x:c r="E277" s="28" t="str">
        <x:v>Applied neuropsychology. Child</x:v>
      </x:c>
      <x:c r="F277" s="28" t="str">
        <x:v>Evidence synthesis - meta-analysis</x:v>
      </x:c>
      <x:c r="G277" s="28" t="str">
        <x:v>Development &amp; presentation; Family &amp; education; Social &amp; structural</x:v>
      </x:c>
      <x:c r="H277" s="28" t="str">
        <x:v>Childhood; Adolescence; ages 6-16 years</x:v>
      </x:c>
      <x:c r="I277" s="28" t="str">
        <x:v>not reported/not verified</x:v>
      </x:c>
      <x:c r="J277" s="28" t="str">
        <x:v>between 2000 and 2023</x:v>
      </x:c>
      <x:c r="K277" s="28" t="str">
        <x:v>Intelligence tests predict academic achievement in typically developed children, however if this is the case also in children with attention-deficit/hyperactivity disorder (ADHD) and/or autism spectrum disorder (ASD) is not clear.</x:v>
      </x:c>
      <x:c r="L277" s="28" t="str">
        <x:v>10.1080/21622965.2024.2361022</x:v>
      </x:c>
      <x:c r="M277" s="28" t="str">
        <x:v>38850546</x:v>
      </x:c>
      <x:c r="N277" s="31" t="e">
        <x:f>HYPERLINK("https://pubmed.ncbi.nlm.nih.gov/"&amp;M277&amp;"/","Open PubMed")</x:f>
        <x:v>HYPERLINK is not implemented. linkLocation=https://pubmed.ncbi.nlm.nih.gov/38850546/, friendlyName=Open PubMed</x:v>
      </x:c>
      <x:c r="O277" s="31" t="str">
        <x:v>not reported</x:v>
      </x:c>
      <x:c r="P277" s="28" t="str">
        <x:v>abstract only</x:v>
      </x:c>
      <x:c r="Q277" s="28" t="str">
        <x:v>PubMed/MEDLINE export supplied by user | query: not verified from export; see Protocol sheet for reproducible recommended query</x:v>
      </x:c>
      <x:c r="R277" s="28" t="str">
        <x:v>Batch 1 core</x:v>
      </x:c>
      <x:c r="S277" s="28" t="str">
        <x:v>Direct ADHD evidence synthesis/guideline with broad multi-topic relevance.</x:v>
      </x:c>
      <x:c r="T277" s="28" t="str">
        <x:v>not apparent from accessed abstract/metadata</x:v>
      </x:c>
      <x:c r="U277" s="28" t="str">
        <x:v>none identified in MEDLINE record</x:v>
      </x:c>
      <x:c r="V277" s="26" t="str">
        <x:v>not reported</x:v>
      </x:c>
      <x:c r="W277" s="28" t="str">
        <x:v>No PMC copy identified; publisher PDF/access must be checked</x:v>
      </x:c>
      <x:c r="X277" s="28" t="str">
        <x:v>Not verified</x:v>
      </x:c>
      <x:c r="Y277" s="31" t="str">
        <x:f>IF(V277="not reported","not reported",HYPERLINK("https://pmc.ncbi.nlm.nih.gov/articles/"&amp;V277&amp;"/","Open Full Text"))</x:f>
        <x:v>not reported</x:v>
      </x:c>
      <x:c r="Z277" s="31" t="e">
        <x:f>IF(L277="not reported","not reported",HYPERLINK("https://doi.org/"&amp;L277,"Open Publisher"))</x:f>
        <x:v>HYPERLINK is not implemented. linkLocation=https://doi.org/10.1080/21622965.2024.2361022, friendlyName=Open Publisher</x:v>
      </x:c>
      <x:c r="AA277" s="28" t="str">
        <x:v>DOI present in PubMed/MEDLINE; no PMCID present.</x:v>
      </x:c>
      <x:c r="AB277" s="28" t="str">
        <x:v>Open the DOI/publisher page. If PDF is paywalled, try Stony Brook Library access, Article Galaxy, or interlibrary loan.</x:v>
      </x:c>
      <x:c r="AC277" s="26" t="str">
        <x:v>2026-09-20</x:v>
      </x:c>
    </x:row>
    <x:row r="278">
      <x:c r="A278" s="26" t="str">
        <x:v>PUBMED-42749630</x:v>
      </x:c>
      <x:c r="B278" s="28" t="str">
        <x:v>Workplace adjustments equivalent to reasonable accommodations and workplace maladjustment in a general working population, with a focus on high autism spectrum disorder (ASD) and attention deficit/hyperactivity disorder (ADHD) traits.</x:v>
      </x:c>
      <x:c r="C278" s="28" t="str">
        <x:v>Suzuki, Tomoko; Nakazato, Michiko; Ohtani, Toshiyuki; Ikeda, Shunya</x:v>
      </x:c>
      <x:c r="D278" s="28" t="n">
        <x:v>2026</x:v>
      </x:c>
      <x:c r="E278" s="28" t="str">
        <x:v>Environmental health and preventive medicine</x:v>
      </x:c>
      <x:c r="F278" s="28" t="str">
        <x:v>Primary study - cross-sectional</x:v>
      </x:c>
      <x:c r="G278" s="28" t="str">
        <x:v>Development &amp; presentation; Social &amp; structural; Environmental &amp; lifestyle; Treatment &amp; support; Life outcomes &amp; lived experience; Historical &amp; contemporary context</x:v>
      </x:c>
      <x:c r="H278" s="28" t="str">
        <x:v>Adulthood</x:v>
      </x:c>
      <x:c r="I278" s="28" t="str">
        <x:v>Geography (MeSH): Japan</x:v>
      </x:c>
      <x:c r="J278" s="28" t="str">
        <x:v>not reported</x:v>
      </x:c>
      <x:c r="K278" s="28" t="str">
        <x:v>This study aimed to quantitatively examine whether individuals with high or non-high levels of ASD or ADHD traits experience greater workplace maladjustment in environments without ASD- or ADHD-equivalent adjustments compared with those where such adjustments are provided.</x:v>
      </x:c>
      <x:c r="L278" s="28" t="str">
        <x:v>10.1265/ehpm.26-00080</x:v>
      </x:c>
      <x:c r="M278" s="28" t="str">
        <x:v>42749630</x:v>
      </x:c>
      <x:c r="N278" s="31" t="e">
        <x:f>HYPERLINK("https://pubmed.ncbi.nlm.nih.gov/"&amp;M278&amp;"/","Open PubMed")</x:f>
        <x:v>HYPERLINK is not implemented. linkLocation=https://pubmed.ncbi.nlm.nih.gov/42749630/, friendlyName=Open PubMed</x:v>
      </x:c>
      <x:c r="O278" s="31" t="str">
        <x:v>not reported</x:v>
      </x:c>
      <x:c r="P278" s="28" t="str">
        <x:v>abstract only</x:v>
      </x:c>
      <x:c r="Q278" s="28" t="str">
        <x:v>PubMed/MEDLINE export supplied by user | query: not verified from export; see Protocol sheet for reproducible recommended query</x:v>
      </x:c>
      <x:c r="R278" s="28" t="str">
        <x:v>Batch 1 core</x:v>
      </x:c>
      <x:c r="S278" s="28" t="str">
        <x:v>Direct ADHD primary study on diagnosis, family/education, structural conditions, lived experience/outcomes, or environment/lifestyle.</x:v>
      </x:c>
      <x:c r="T278" s="28" t="str">
        <x:v>not apparent from accessed abstract/metadata</x:v>
      </x:c>
      <x:c r="U278" s="28" t="str">
        <x:v>none identified in MEDLINE record</x:v>
      </x:c>
      <x:c r="V278" s="26" t="str">
        <x:v>not reported</x:v>
      </x:c>
      <x:c r="W278" s="28" t="str">
        <x:v>No PMC copy identified; publisher PDF/access must be checked</x:v>
      </x:c>
      <x:c r="X278" s="28" t="str">
        <x:v>Not verified</x:v>
      </x:c>
      <x:c r="Y278" s="31" t="str">
        <x:f>IF(V278="not reported","not reported",HYPERLINK("https://pmc.ncbi.nlm.nih.gov/articles/"&amp;V278&amp;"/","Open Full Text"))</x:f>
        <x:v>not reported</x:v>
      </x:c>
      <x:c r="Z278" s="31" t="e">
        <x:f>IF(L278="not reported","not reported",HYPERLINK("https://doi.org/"&amp;L278,"Open Publisher"))</x:f>
        <x:v>HYPERLINK is not implemented. linkLocation=https://doi.org/10.1265/ehpm.26-00080, friendlyName=Open Publisher</x:v>
      </x:c>
      <x:c r="AA278" s="28" t="str">
        <x:v>DOI present in PubMed/MEDLINE; no PMCID present.</x:v>
      </x:c>
      <x:c r="AB278" s="28" t="str">
        <x:v>Open the DOI/publisher page. If PDF is paywalled, try Stony Brook Library access, Article Galaxy, or interlibrary loan.</x:v>
      </x:c>
      <x:c r="AC278" s="26" t="str">
        <x:v>2026-09-20</x:v>
      </x:c>
    </x:row>
    <x:row r="279">
      <x:c r="A279" s="26" t="str">
        <x:v>PUBMED-42748938</x:v>
      </x:c>
      <x:c r="B279" s="28" t="str">
        <x:v>ADHD Across the Lifespan: Reconsidering Assumptions of Diagnostic Permanence.</x:v>
      </x:c>
      <x:c r="C279" s="28" t="str">
        <x:v>Ouliaris, Calina</x:v>
      </x:c>
      <x:c r="D279" s="28" t="n">
        <x:v>2026</x:v>
      </x:c>
      <x:c r="E279" s="28" t="str">
        <x:v>The Medical journal of Australia</x:v>
      </x:c>
      <x:c r="F279" s="28" t="str">
        <x:v>Evidence synthesis - review</x:v>
      </x:c>
      <x:c r="G279" s="28" t="str">
        <x:v>Development &amp; presentation; Recognition &amp; diagnosis; Social &amp; structural; Treatment &amp; support; Life outcomes &amp; lived experience</x:v>
      </x:c>
      <x:c r="H279" s="28" t="str">
        <x:v>Not specified</x:v>
      </x:c>
      <x:c r="I279" s="28" t="str">
        <x:v>not reported/not verified</x:v>
      </x:c>
      <x:c r="J279" s="28" t="str">
        <x:v>not reported</x:v>
      </x:c>
      <x:c r="K279" s="28" t="str">
        <x:v>Attention-deficit/hyperactivity disorder (ADHD) is increasingly diagnosed across the lifespan, yet there is a growing tendency to treat diagnoses as permanently fixed once assigned.</x:v>
      </x:c>
      <x:c r="L279" s="28" t="str">
        <x:v>10.5694/mja2.70298</x:v>
      </x:c>
      <x:c r="M279" s="28" t="str">
        <x:v>42748938</x:v>
      </x:c>
      <x:c r="N279" s="31" t="e">
        <x:f>HYPERLINK("https://pubmed.ncbi.nlm.nih.gov/"&amp;M279&amp;"/","Open PubMed")</x:f>
        <x:v>HYPERLINK is not implemented. linkLocation=https://pubmed.ncbi.nlm.nih.gov/42748938/, friendlyName=Open PubMed</x:v>
      </x:c>
      <x:c r="O279" s="31" t="e">
        <x:f>HYPERLINK("https://pmc.ncbi.nlm.nih.gov/articles/PMC13581401/","Open Full Text")</x:f>
        <x:v>HYPERLINK is not implemented. linkLocation=https://pmc.ncbi.nlm.nih.gov/articles/PMC13581401/, friendlyName=Open Full Text</x:v>
      </x:c>
      <x:c r="P279" s="28" t="str">
        <x:v>abstract only</x:v>
      </x:c>
      <x:c r="Q279" s="28" t="str">
        <x:v>PubMed/MEDLINE export supplied by user | query: not verified from export; see Protocol sheet for reproducible recommended query</x:v>
      </x:c>
      <x:c r="R279" s="28" t="str">
        <x:v>Batch 1 core</x:v>
      </x:c>
      <x:c r="S279" s="28" t="str">
        <x:v>Direct ADHD evidence synthesis/guideline with broad multi-topic relevance.</x:v>
      </x:c>
      <x:c r="T279" s="28" t="str">
        <x:v>not apparent from accessed abstract/metadata</x:v>
      </x:c>
      <x:c r="U279" s="28" t="str">
        <x:v>none identified in MEDLINE record</x:v>
      </x:c>
      <x:c r="V279" s="26" t="str">
        <x:v>PMC13581401</x:v>
      </x:c>
      <x:c r="W279" s="28" t="str">
        <x:v>PDF available via PMC (verified free full text)</x:v>
      </x:c>
      <x:c r="X279" s="28" t="str">
        <x:v>Yes — PMC</x:v>
      </x:c>
      <x:c r="Y279" s="31" t="e">
        <x:f>IF(V279="not reported","not reported",HYPERLINK("https://pmc.ncbi.nlm.nih.gov/articles/"&amp;V279&amp;"/","Open Full Text"))</x:f>
        <x:v>HYPERLINK is not implemented. linkLocation=https://pmc.ncbi.nlm.nih.gov/articles/PMC13581401/, friendlyName=Open Full Text</x:v>
      </x:c>
      <x:c r="Z279" s="31" t="e">
        <x:f>IF(L279="not reported","not reported",HYPERLINK("https://doi.org/"&amp;L279,"Open Publisher"))</x:f>
        <x:v>HYPERLINK is not implemented. linkLocation=https://doi.org/10.5694/mja2.70298, friendlyName=Open Publisher</x:v>
      </x:c>
      <x:c r="AA279" s="28" t="str">
        <x:v>PMCID PMC13581401 present in the PubMed/MEDLINE record.</x:v>
      </x:c>
      <x:c r="AB279" s="28" t="str">
        <x:v>Open the PMC full-text page and use its PDF button/download option.</x:v>
      </x:c>
      <x:c r="AC279" s="26" t="str">
        <x:v>2026-09-20</x:v>
      </x:c>
    </x:row>
    <x:row r="280">
      <x:c r="A280" s="26" t="str">
        <x:v>PUBMED-42747853</x:v>
      </x:c>
      <x:c r="B280" s="28" t="str">
        <x:v>Age at Diagnosis and Clinical and Genetic Profiles Among Adults With Attention-Deficit/Hyperactivity Disorder.</x:v>
      </x:c>
      <x:c r="C280" s="28" t="str">
        <x:v>Leffa, Douglas Teixeira; Bauer-Negrini, Guilherme; Bellaver, Bruna; Lussier, Firoza Z; Ferreira, Pamela C L; Povala, Guilherme; Cortese, Samuele; Rohde, Luis Augusto; Molina, Brooke S G; Pascoal, Tharick A</x:v>
      </x:c>
      <x:c r="D280" s="28" t="n">
        <x:v>2026</x:v>
      </x:c>
      <x:c r="E280" s="28" t="str">
        <x:v>JAMA network open</x:v>
      </x:c>
      <x:c r="F280" s="28" t="str">
        <x:v>Primary study - cohort</x:v>
      </x:c>
      <x:c r="G280" s="28" t="str">
        <x:v>Development &amp; presentation; Recognition &amp; diagnosis; Family &amp; education; Social &amp; structural; Environmental &amp; lifestyle; Life outcomes &amp; lived experience</x:v>
      </x:c>
      <x:c r="H280" s="28" t="str">
        <x:v>Childhood; Adolescence; Adulthood</x:v>
      </x:c>
      <x:c r="I280" s="28" t="str">
        <x:v>Geography (MeSH): United States</x:v>
      </x:c>
      <x:c r="J280" s="28" t="str">
        <x:v>not reported</x:v>
      </x:c>
      <x:c r="K280" s="28" t="str">
        <x:v>OBJECTIVES: To characterize differences in demographic, clinical, and genetic profiles between adults with ADHD diagnosed in childhood or adolescence (youth-diagnosed) vs adulthood (adult-diagnosed), and to compare the profile of each group with that from matched individuals without ADHD.</x:v>
      </x:c>
      <x:c r="L280" s="28" t="str">
        <x:v>10.1001/jamanetworkopen.2026.34125</x:v>
      </x:c>
      <x:c r="M280" s="28" t="str">
        <x:v>42747853</x:v>
      </x:c>
      <x:c r="N280" s="31" t="e">
        <x:f>HYPERLINK("https://pubmed.ncbi.nlm.nih.gov/"&amp;M280&amp;"/","Open PubMed")</x:f>
        <x:v>HYPERLINK is not implemented. linkLocation=https://pubmed.ncbi.nlm.nih.gov/42747853/, friendlyName=Open PubMed</x:v>
      </x:c>
      <x:c r="O280" s="31" t="e">
        <x:f>HYPERLINK("https://pmc.ncbi.nlm.nih.gov/articles/PMC13583653/","Open Full Text")</x:f>
        <x:v>HYPERLINK is not implemented. linkLocation=https://pmc.ncbi.nlm.nih.gov/articles/PMC13583653/, friendlyName=Open Full Text</x:v>
      </x:c>
      <x:c r="P280" s="28" t="str">
        <x:v>abstract only</x:v>
      </x:c>
      <x:c r="Q280" s="28" t="str">
        <x:v>PubMed/MEDLINE export supplied by user | query: not verified from export; see Protocol sheet for reproducible recommended query</x:v>
      </x:c>
      <x:c r="R280" s="28" t="str">
        <x:v>Batch 1 core</x:v>
      </x:c>
      <x:c r="S280" s="28" t="str">
        <x:v>Direct ADHD primary study on diagnosis, family/education, structural conditions, lived experience/outcomes, or environment/lifestyle.</x:v>
      </x:c>
      <x:c r="T280" s="28" t="str">
        <x:v>not apparent from accessed abstract/metadata</x:v>
      </x:c>
      <x:c r="U280" s="28" t="str">
        <x:v>none identified in MEDLINE record</x:v>
      </x:c>
      <x:c r="V280" s="26" t="str">
        <x:v>PMC13583653</x:v>
      </x:c>
      <x:c r="W280" s="28" t="str">
        <x:v>PDF available via PMC (verified free full text)</x:v>
      </x:c>
      <x:c r="X280" s="28" t="str">
        <x:v>Yes — PMC</x:v>
      </x:c>
      <x:c r="Y280" s="31" t="e">
        <x:f>IF(V280="not reported","not reported",HYPERLINK("https://pmc.ncbi.nlm.nih.gov/articles/"&amp;V280&amp;"/","Open Full Text"))</x:f>
        <x:v>HYPERLINK is not implemented. linkLocation=https://pmc.ncbi.nlm.nih.gov/articles/PMC13583653/, friendlyName=Open Full Text</x:v>
      </x:c>
      <x:c r="Z280" s="31" t="e">
        <x:f>IF(L280="not reported","not reported",HYPERLINK("https://doi.org/"&amp;L280,"Open Publisher"))</x:f>
        <x:v>HYPERLINK is not implemented. linkLocation=https://doi.org/10.1001/jamanetworkopen.2026.34125, friendlyName=Open Publisher</x:v>
      </x:c>
      <x:c r="AA280" s="28" t="str">
        <x:v>PMCID PMC13583653 present in the PubMed/MEDLINE record.</x:v>
      </x:c>
      <x:c r="AB280" s="28" t="str">
        <x:v>Open the PMC full-text page and use its PDF button/download option.</x:v>
      </x:c>
      <x:c r="AC280" s="26" t="str">
        <x:v>2026-09-20</x:v>
      </x:c>
    </x:row>
  </x:sheetData>
  <x:pageMargins left="0.7" right="0.7" top="0.75" bottom="0.75" header="0.3" footer="0.3"/>
  <x:tableParts count="1">
    <x:tablePart xmlns:r="http://schemas.openxmlformats.org/officeDocument/2006/relationships" r:id="Rbb584258a9ac404e"/>
  </x:tableParts>
</x:worksheet>
</file>

<file path=xl/worksheets/sheet5.xml><?xml version="1.0" encoding="utf-8"?>
<x:worksheet xmlns:x="http://schemas.openxmlformats.org/spreadsheetml/2006/main">
  <x:sheetFormatPr defaultRowHeight="15"/>
  <x:cols>
    <x:col min="1" max="1" width="18" hidden="0" customWidth="1"/>
    <x:col min="2" max="2" width="8" hidden="0" customWidth="1"/>
    <x:col min="3" max="3" width="12" hidden="0" customWidth="1"/>
    <x:col min="4" max="4" width="55" hidden="0" customWidth="1"/>
    <x:col min="5" max="5" width="34" hidden="0" customWidth="1"/>
    <x:col min="6" max="6" width="50" hidden="0" customWidth="1"/>
    <x:col min="7" max="7" width="24" hidden="0" customWidth="1"/>
    <x:col min="8" max="8" width="20" hidden="0" customWidth="1"/>
    <x:col min="9" max="9" width="60" hidden="0" customWidth="1"/>
    <x:col min="10" max="10" width="18" hidden="0" customWidth="1"/>
  </x:cols>
  <x:sheetData>
    <x:row r="1" ht="30" customHeight="1">
      <x:c r="A1" s="21" t="str">
        <x:v>Paper ID</x:v>
      </x:c>
      <x:c r="B1" s="21" t="str">
        <x:v>Year</x:v>
      </x:c>
      <x:c r="C1" s="21" t="str">
        <x:v>PMID</x:v>
      </x:c>
      <x:c r="D1" s="21" t="str">
        <x:v>Title</x:v>
      </x:c>
      <x:c r="E1" s="21" t="str">
        <x:v>Source type</x:v>
      </x:c>
      <x:c r="F1" s="21" t="str">
        <x:v>Topic tags</x:v>
      </x:c>
      <x:c r="G1" s="21" t="str">
        <x:v>Life stage</x:v>
      </x:c>
      <x:c r="H1" s="21" t="str">
        <x:v>Screening class</x:v>
      </x:c>
      <x:c r="I1" s="21" t="str">
        <x:v>Reason</x:v>
      </x:c>
      <x:c r="J1" s="37" t="str">
        <x:v>Paper Link (PubMed)</x:v>
      </x:c>
    </x:row>
    <x:row r="2">
      <x:c r="A2" s="26" t="str">
        <x:v>PUBMED-4911365</x:v>
      </x:c>
      <x:c r="B2" s="26" t="n">
        <x:v>1970</x:v>
      </x:c>
      <x:c r="C2" s="26" t="str">
        <x:v>4911365</x:v>
      </x:c>
      <x:c r="D2" s="28" t="str">
        <x:v>Diphenylhydantoin in children with severe temper tantrums.</x:v>
      </x:c>
      <x:c r="E2" s="28" t="str">
        <x:v>Primary study - randomized controlled trial</x:v>
      </x:c>
      <x:c r="F2" s="28" t="str">
        <x:v>Development &amp; presentation; Family &amp; education; Treatment &amp; support</x:v>
      </x:c>
      <x:c r="G2" s="28" t="str">
        <x:v>Childhood; Adolescence</x:v>
      </x:c>
      <x:c r="H2" s="28" t="str">
        <x:v>Exclude/incidental</x:v>
      </x:c>
      <x:c r="I2" s="28" t="str">
        <x:v>ADHD appears peripheral or insufficiently aligned with the requested corpus scope based on accessible metadata/abstract.</x:v>
      </x:c>
      <x:c r="J2" s="38" t="e">
        <x:f>HYPERLINK("https://pubmed.ncbi.nlm.nih.gov/"&amp;C2&amp;"/","Open PubMed")</x:f>
        <x:v>HYPERLINK is not implemented. linkLocation=https://pubmed.ncbi.nlm.nih.gov/4911365/, friendlyName=Open PubMed</x:v>
      </x:c>
    </x:row>
    <x:row r="3">
      <x:c r="A3" s="26" t="str">
        <x:v>PUBMED-5491539</x:v>
      </x:c>
      <x:c r="B3" s="26" t="n">
        <x:v>1970</x:v>
      </x:c>
      <x:c r="C3" s="26" t="str">
        <x:v>5491539</x:v>
      </x:c>
      <x:c r="D3" s="28" t="str">
        <x:v>Brain function in problem children and controls: psychometric, neurological, and electroencephalographic comparisons.</x:v>
      </x:c>
      <x:c r="E3" s="28" t="str">
        <x:v>Primary/contextual journal article</x:v>
      </x:c>
      <x:c r="F3" s="28" t="str">
        <x:v>Development &amp; presentation; Recognition &amp; diagnosis; Family &amp; education</x:v>
      </x:c>
      <x:c r="G3" s="28" t="str">
        <x:v>Childhood; Adolescence</x:v>
      </x:c>
      <x:c r="H3" s="28" t="str">
        <x:v>Exclude/incidental</x:v>
      </x:c>
      <x:c r="I3" s="28" t="str">
        <x:v>ADHD appears peripheral or insufficiently aligned with the requested corpus scope based on accessible metadata/abstract.</x:v>
      </x:c>
      <x:c r="J3" s="38" t="e">
        <x:f>HYPERLINK("https://pubmed.ncbi.nlm.nih.gov/"&amp;C3&amp;"/","Open PubMed")</x:f>
        <x:v>HYPERLINK is not implemented. linkLocation=https://pubmed.ncbi.nlm.nih.gov/5491539/, friendlyName=Open PubMed</x:v>
      </x:c>
    </x:row>
    <x:row r="4">
      <x:c r="A4" s="26" t="str">
        <x:v>PUBMED-4097226</x:v>
      </x:c>
      <x:c r="B4" s="26" t="n">
        <x:v>1970</x:v>
      </x:c>
      <x:c r="C4" s="26" t="str">
        <x:v>4097226</x:v>
      </x:c>
      <x:c r="D4" s="28" t="str">
        <x:v>Minimal brain dysfunction: clinical aspects.</x:v>
      </x:c>
      <x:c r="E4" s="28" t="str">
        <x:v>Primary/contextual journal article</x:v>
      </x:c>
      <x:c r="F4" s="28" t="str">
        <x:v>Development &amp; presentation; Recognition &amp; diagnosis</x:v>
      </x:c>
      <x:c r="G4" s="28" t="str">
        <x:v>Childhood</x:v>
      </x:c>
      <x:c r="H4" s="28" t="str">
        <x:v>Batch 1 core</x:v>
      </x:c>
      <x:c r="I4" s="28" t="str">
        <x:v>Direct historical-period ADHD/hyperkinesis/minimal-brain-dysfunction focus with human relevance.</x:v>
      </x:c>
      <x:c r="J4" s="38" t="e">
        <x:f>HYPERLINK("https://pubmed.ncbi.nlm.nih.gov/"&amp;C4&amp;"/","Open PubMed")</x:f>
        <x:v>HYPERLINK is not implemented. linkLocation=https://pubmed.ncbi.nlm.nih.gov/4097226/, friendlyName=Open PubMed</x:v>
      </x:c>
    </x:row>
    <x:row r="5">
      <x:c r="A5" s="26" t="str">
        <x:v>PUBMED-5528093</x:v>
      </x:c>
      <x:c r="B5" s="26" t="n">
        <x:v>1970</x:v>
      </x:c>
      <x:c r="C5" s="26" t="str">
        <x:v>5528093</x:v>
      </x:c>
      <x:c r="D5" s="28" t="str">
        <x:v>The slow learner in the classroom with emphasis on the child with minimum brain syndrome.</x:v>
      </x:c>
      <x:c r="E5" s="28" t="str">
        <x:v>Primary/contextual journal article</x:v>
      </x:c>
      <x:c r="F5" s="28" t="str">
        <x:v>Development &amp; presentation; Recognition &amp; diagnosis; Family &amp; education; Treatment &amp; support</x:v>
      </x:c>
      <x:c r="G5" s="28" t="str">
        <x:v>Childhood</x:v>
      </x:c>
      <x:c r="H5" s="28" t="str">
        <x:v>Batch 1 core</x:v>
      </x:c>
      <x:c r="I5" s="28" t="str">
        <x:v>Direct historical-period ADHD/hyperkinesis/minimal-brain-dysfunction focus with human relevance.</x:v>
      </x:c>
      <x:c r="J5" s="38" t="e">
        <x:f>HYPERLINK("https://pubmed.ncbi.nlm.nih.gov/"&amp;C5&amp;"/","Open PubMed")</x:f>
        <x:v>HYPERLINK is not implemented. linkLocation=https://pubmed.ncbi.nlm.nih.gov/5528093/, friendlyName=Open PubMed</x:v>
      </x:c>
    </x:row>
    <x:row r="6">
      <x:c r="A6" s="26" t="str">
        <x:v>PUBMED-5523436</x:v>
      </x:c>
      <x:c r="B6" s="26" t="n">
        <x:v>1970</x:v>
      </x:c>
      <x:c r="C6" s="26" t="str">
        <x:v>5523436</x:v>
      </x:c>
      <x:c r="D6" s="28" t="str">
        <x:v>Pilot study on the effectiveness of systematic desensitization with neurologically impaired children with phobic disorders.</x:v>
      </x:c>
      <x:c r="E6" s="28" t="str">
        <x:v>Primary/contextual journal article</x:v>
      </x:c>
      <x:c r="F6" s="28" t="str">
        <x:v>Development &amp; presentation; Treatment &amp; support</x:v>
      </x:c>
      <x:c r="G6" s="28" t="str">
        <x:v>Childhood</x:v>
      </x:c>
      <x:c r="H6" s="28" t="str">
        <x:v>Exclude/incidental</x:v>
      </x:c>
      <x:c r="I6" s="28" t="str">
        <x:v>ADHD appears peripheral or insufficiently aligned with the requested corpus scope based on accessible metadata/abstract.</x:v>
      </x:c>
      <x:c r="J6" s="38" t="e">
        <x:f>HYPERLINK("https://pubmed.ncbi.nlm.nih.gov/"&amp;C6&amp;"/","Open PubMed")</x:f>
        <x:v>HYPERLINK is not implemented. linkLocation=https://pubmed.ncbi.nlm.nih.gov/5523436/, friendlyName=Open PubMed</x:v>
      </x:c>
    </x:row>
    <x:row r="7">
      <x:c r="A7" s="26" t="str">
        <x:v>PUBMED-5538099</x:v>
      </x:c>
      <x:c r="B7" s="26" t="n">
        <x:v>1970</x:v>
      </x:c>
      <x:c r="C7" s="26" t="str">
        <x:v>5538099</x:v>
      </x:c>
      <x:c r="D7" s="28" t="str">
        <x:v>Neurological evaluation of children with learning disorders.</x:v>
      </x:c>
      <x:c r="E7" s="28" t="str">
        <x:v>Primary/contextual journal article</x:v>
      </x:c>
      <x:c r="F7" s="28" t="str">
        <x:v>Development &amp; presentation; Recognition &amp; diagnosis; Family &amp; education; Treatment &amp; support</x:v>
      </x:c>
      <x:c r="G7" s="28" t="str">
        <x:v>Childhood; Adolescence</x:v>
      </x:c>
      <x:c r="H7" s="28" t="str">
        <x:v>Exclude/incidental</x:v>
      </x:c>
      <x:c r="I7" s="28" t="str">
        <x:v>ADHD appears peripheral or insufficiently aligned with the requested corpus scope based on accessible metadata/abstract.</x:v>
      </x:c>
      <x:c r="J7" s="38" t="e">
        <x:f>HYPERLINK("https://pubmed.ncbi.nlm.nih.gov/"&amp;C7&amp;"/","Open PubMed")</x:f>
        <x:v>HYPERLINK is not implemented. linkLocation=https://pubmed.ncbi.nlm.nih.gov/5538099/, friendlyName=Open PubMed</x:v>
      </x:c>
    </x:row>
    <x:row r="8">
      <x:c r="A8" s="26" t="str">
        <x:v>PUBMED-5474700</x:v>
      </x:c>
      <x:c r="B8" s="26" t="n">
        <x:v>1970</x:v>
      </x:c>
      <x:c r="C8" s="26" t="str">
        <x:v>5474700</x:v>
      </x:c>
      <x:c r="D8" s="28" t="str">
        <x:v>Vascular abnormalities in congenital generalized elastolysis (cutis laxa): report of a case.</x:v>
      </x:c>
      <x:c r="E8" s="28" t="str">
        <x:v>Primary/contextual journal article</x:v>
      </x:c>
      <x:c r="F8" s="28" t="str">
        <x:v>Development &amp; presentation; Family &amp; education</x:v>
      </x:c>
      <x:c r="G8" s="28" t="str">
        <x:v>Childhood</x:v>
      </x:c>
      <x:c r="H8" s="28" t="str">
        <x:v>Exclude/incidental</x:v>
      </x:c>
      <x:c r="I8" s="28" t="str">
        <x:v>ADHD appears peripheral or insufficiently aligned with the requested corpus scope based on accessible metadata/abstract.</x:v>
      </x:c>
      <x:c r="J8" s="38" t="e">
        <x:f>HYPERLINK("https://pubmed.ncbi.nlm.nih.gov/"&amp;C8&amp;"/","Open PubMed")</x:f>
        <x:v>HYPERLINK is not implemented. linkLocation=https://pubmed.ncbi.nlm.nih.gov/5474700/, friendlyName=Open PubMed</x:v>
      </x:c>
    </x:row>
    <x:row r="9">
      <x:c r="A9" s="26" t="str">
        <x:v>PUBMED-5526422</x:v>
      </x:c>
      <x:c r="B9" s="26" t="n">
        <x:v>1970</x:v>
      </x:c>
      <x:c r="C9" s="26" t="str">
        <x:v>5526422</x:v>
      </x:c>
      <x:c r="D9" s="28" t="str">
        <x:v>The role of allergic factors in the child with minimal brain dysfunction.</x:v>
      </x:c>
      <x:c r="E9" s="28" t="str">
        <x:v>Primary/contextual journal article</x:v>
      </x:c>
      <x:c r="F9" s="28" t="str">
        <x:v>Development &amp; presentation; Recognition &amp; diagnosis; Family &amp; education; Environmental &amp; lifestyle; Treatment &amp; support</x:v>
      </x:c>
      <x:c r="G9" s="28" t="str">
        <x:v>Childhood</x:v>
      </x:c>
      <x:c r="H9" s="28" t="str">
        <x:v>Batch 1 core</x:v>
      </x:c>
      <x:c r="I9" s="28" t="str">
        <x:v>Direct historical-period ADHD/hyperkinesis/minimal-brain-dysfunction focus with human relevance.</x:v>
      </x:c>
      <x:c r="J9" s="38" t="e">
        <x:f>HYPERLINK("https://pubmed.ncbi.nlm.nih.gov/"&amp;C9&amp;"/","Open PubMed")</x:f>
        <x:v>HYPERLINK is not implemented. linkLocation=https://pubmed.ncbi.nlm.nih.gov/5526422/, friendlyName=Open PubMed</x:v>
      </x:c>
    </x:row>
    <x:row r="10">
      <x:c r="A10" s="26" t="str">
        <x:v>PUBMED-4950109</x:v>
      </x:c>
      <x:c r="B10" s="26" t="n">
        <x:v>1970</x:v>
      </x:c>
      <x:c r="C10" s="26" t="str">
        <x:v>4950109</x:v>
      </x:c>
      <x:c r="D10" s="28" t="str">
        <x:v>Simply produced closed-head, focal lesions for study of repair in immature rat cerebral cortex.</x:v>
      </x:c>
      <x:c r="E10" s="28" t="str">
        <x:v>Primary/contextual journal article</x:v>
      </x:c>
      <x:c r="F10" s="28" t="str">
        <x:v>Development &amp; presentation; Social &amp; structural</x:v>
      </x:c>
      <x:c r="G10" s="28" t="str">
        <x:v>Not specified</x:v>
      </x:c>
      <x:c r="H10" s="28" t="str">
        <x:v>Exclude/incidental</x:v>
      </x:c>
      <x:c r="I10" s="28" t="str">
        <x:v>ADHD appears peripheral or insufficiently aligned with the requested corpus scope based on accessible metadata/abstract.</x:v>
      </x:c>
      <x:c r="J10" s="38" t="e">
        <x:f>HYPERLINK("https://pubmed.ncbi.nlm.nih.gov/"&amp;C10&amp;"/","Open PubMed")</x:f>
        <x:v>HYPERLINK is not implemented. linkLocation=https://pubmed.ncbi.nlm.nih.gov/4950109/, friendlyName=Open PubMed</x:v>
      </x:c>
    </x:row>
    <x:row r="11">
      <x:c r="A11" s="26" t="str">
        <x:v>PUBMED-5527608</x:v>
      </x:c>
      <x:c r="B11" s="26" t="n">
        <x:v>1970</x:v>
      </x:c>
      <x:c r="C11" s="26" t="str">
        <x:v>5527608</x:v>
      </x:c>
      <x:c r="D11" s="28" t="str">
        <x:v>The syndrome of multiple minimal handicaps: active involvement of the child, family and school in the management.</x:v>
      </x:c>
      <x:c r="E11" s="28" t="str">
        <x:v>Primary/contextual journal article</x:v>
      </x:c>
      <x:c r="F11" s="28" t="str">
        <x:v>Development &amp; presentation; Recognition &amp; diagnosis; Family &amp; education; Social &amp; structural</x:v>
      </x:c>
      <x:c r="G11" s="28" t="str">
        <x:v>Childhood</x:v>
      </x:c>
      <x:c r="H11" s="28" t="str">
        <x:v>Exclude/incidental</x:v>
      </x:c>
      <x:c r="I11" s="28" t="str">
        <x:v>ADHD appears peripheral or insufficiently aligned with the requested corpus scope based on accessible metadata/abstract.</x:v>
      </x:c>
      <x:c r="J11" s="38" t="e">
        <x:f>HYPERLINK("https://pubmed.ncbi.nlm.nih.gov/"&amp;C11&amp;"/","Open PubMed")</x:f>
        <x:v>HYPERLINK is not implemented. linkLocation=https://pubmed.ncbi.nlm.nih.gov/5527608/, friendlyName=Open PubMed</x:v>
      </x:c>
    </x:row>
    <x:row r="12">
      <x:c r="A12" s="26" t="str">
        <x:v>PUBMED-5520419</x:v>
      </x:c>
      <x:c r="B12" s="26" t="n">
        <x:v>1970</x:v>
      </x:c>
      <x:c r="C12" s="26" t="str">
        <x:v>5520419</x:v>
      </x:c>
      <x:c r="D12" s="28" t="str">
        <x:v>The syndrome of multiple minimal handicaps: active involvement of the child, family and school in the management.</x:v>
      </x:c>
      <x:c r="E12" s="28" t="str">
        <x:v>Primary/contextual journal article</x:v>
      </x:c>
      <x:c r="F12" s="28" t="str">
        <x:v>Development &amp; presentation; Recognition &amp; diagnosis; Family &amp; education; Social &amp; structural</x:v>
      </x:c>
      <x:c r="G12" s="28" t="str">
        <x:v>Childhood</x:v>
      </x:c>
      <x:c r="H12" s="28" t="str">
        <x:v>Exclude/incidental</x:v>
      </x:c>
      <x:c r="I12" s="28" t="str">
        <x:v>ADHD appears peripheral or insufficiently aligned with the requested corpus scope based on accessible metadata/abstract.</x:v>
      </x:c>
      <x:c r="J12" s="38" t="e">
        <x:f>HYPERLINK("https://pubmed.ncbi.nlm.nih.gov/"&amp;C12&amp;"/","Open PubMed")</x:f>
        <x:v>HYPERLINK is not implemented. linkLocation=https://pubmed.ncbi.nlm.nih.gov/5520419/, friendlyName=Open PubMed</x:v>
      </x:c>
    </x:row>
    <x:row r="13">
      <x:c r="A13" s="26" t="str">
        <x:v>PUBMED-5538049</x:v>
      </x:c>
      <x:c r="B13" s="26" t="n">
        <x:v>1970</x:v>
      </x:c>
      <x:c r="C13" s="26" t="str">
        <x:v>5538049</x:v>
      </x:c>
      <x:c r="D13" s="28" t="str">
        <x:v>[Diagnosis of minimal cerebral dysfunction or lesion in school age children].</x:v>
      </x:c>
      <x:c r="E13" s="28" t="str">
        <x:v>Primary/contextual journal article</x:v>
      </x:c>
      <x:c r="F13" s="28" t="str">
        <x:v>Development &amp; presentation; Recognition &amp; diagnosis; Family &amp; education</x:v>
      </x:c>
      <x:c r="G13" s="28" t="str">
        <x:v>Childhood</x:v>
      </x:c>
      <x:c r="H13" s="28" t="str">
        <x:v>Batch 1 core</x:v>
      </x:c>
      <x:c r="I13" s="28" t="str">
        <x:v>Direct historical-period ADHD/hyperkinesis/minimal-brain-dysfunction focus with human relevance.</x:v>
      </x:c>
      <x:c r="J13" s="38" t="e">
        <x:f>HYPERLINK("https://pubmed.ncbi.nlm.nih.gov/"&amp;C13&amp;"/","Open PubMed")</x:f>
        <x:v>HYPERLINK is not implemented. linkLocation=https://pubmed.ncbi.nlm.nih.gov/5538049/, friendlyName=Open PubMed</x:v>
      </x:c>
    </x:row>
    <x:row r="14">
      <x:c r="A14" s="26" t="str">
        <x:v>PUBMED-4097225</x:v>
      </x:c>
      <x:c r="B14" s="26" t="n">
        <x:v>1970</x:v>
      </x:c>
      <x:c r="C14" s="26" t="str">
        <x:v>4097225</x:v>
      </x:c>
      <x:c r="D14" s="28" t="str">
        <x:v>The structural basis of the minimal cerebral dysfunction syndrome.</x:v>
      </x:c>
      <x:c r="E14" s="28" t="str">
        <x:v>Primary/contextual journal article</x:v>
      </x:c>
      <x:c r="F14" s="28" t="str">
        <x:v>Development &amp; presentation</x:v>
      </x:c>
      <x:c r="G14" s="28" t="str">
        <x:v>Not specified</x:v>
      </x:c>
      <x:c r="H14" s="28" t="str">
        <x:v>Batch 1 core</x:v>
      </x:c>
      <x:c r="I14" s="28" t="str">
        <x:v>Direct historical-period ADHD/hyperkinesis/minimal-brain-dysfunction focus with human relevance.</x:v>
      </x:c>
      <x:c r="J14" s="38" t="e">
        <x:f>HYPERLINK("https://pubmed.ncbi.nlm.nih.gov/"&amp;C14&amp;"/","Open PubMed")</x:f>
        <x:v>HYPERLINK is not implemented. linkLocation=https://pubmed.ncbi.nlm.nih.gov/4097225/, friendlyName=Open PubMed</x:v>
      </x:c>
    </x:row>
    <x:row r="15">
      <x:c r="A15" s="26" t="str">
        <x:v>PUBMED-1974836</x:v>
      </x:c>
      <x:c r="B15" s="26" t="n">
        <x:v>1990</x:v>
      </x:c>
      <x:c r="C15" s="26" t="str">
        <x:v>1974836</x:v>
      </x:c>
      <x:c r="D15" s="28" t="str">
        <x:v>Attention-deficit hyperactivity disorder.</x:v>
      </x:c>
      <x:c r="E15" s="28" t="str">
        <x:v>Evidence synthesis - review</x:v>
      </x:c>
      <x:c r="F15" s="28" t="str">
        <x:v>Development &amp; presentation; Recognition &amp; diagnosis; Family &amp; education; Social &amp; structural; Treatment &amp; support</x:v>
      </x:c>
      <x:c r="G15" s="28" t="str">
        <x:v>Childhood; Adulthood</x:v>
      </x:c>
      <x:c r="H15" s="28" t="str">
        <x:v>Batch 1 core</x:v>
      </x:c>
      <x:c r="I15" s="28" t="str">
        <x:v>Direct historical-period ADHD/hyperkinesis/minimal-brain-dysfunction focus with human relevance.</x:v>
      </x:c>
      <x:c r="J15" s="38" t="e">
        <x:f>HYPERLINK("https://pubmed.ncbi.nlm.nih.gov/"&amp;C15&amp;"/","Open PubMed")</x:f>
        <x:v>HYPERLINK is not implemented. linkLocation=https://pubmed.ncbi.nlm.nih.gov/1974836/, friendlyName=Open PubMed</x:v>
      </x:c>
    </x:row>
    <x:row r="16">
      <x:c r="A16" s="26" t="str">
        <x:v>PUBMED-2279479</x:v>
      </x:c>
      <x:c r="B16" s="26" t="n">
        <x:v>1990</x:v>
      </x:c>
      <x:c r="C16" s="26" t="str">
        <x:v>2279479</x:v>
      </x:c>
      <x:c r="D16" s="28" t="str">
        <x:v>Education and epilepsy: assessment and remediation.</x:v>
      </x:c>
      <x:c r="E16" s="28" t="str">
        <x:v>Evidence synthesis - review</x:v>
      </x:c>
      <x:c r="F16" s="28" t="str">
        <x:v>Development &amp; presentation; Recognition &amp; diagnosis; Family &amp; education; Social &amp; structural; Treatment &amp; support; Life outcomes &amp; lived experience</x:v>
      </x:c>
      <x:c r="G16" s="28" t="str">
        <x:v>Childhood</x:v>
      </x:c>
      <x:c r="H16" s="28" t="str">
        <x:v>Exclude/incidental</x:v>
      </x:c>
      <x:c r="I16" s="28" t="str">
        <x:v>ADHD appears peripheral or insufficiently aligned with the requested corpus scope based on accessible metadata/abstract.</x:v>
      </x:c>
      <x:c r="J16" s="38" t="e">
        <x:f>HYPERLINK("https://pubmed.ncbi.nlm.nih.gov/"&amp;C16&amp;"/","Open PubMed")</x:f>
        <x:v>HYPERLINK is not implemented. linkLocation=https://pubmed.ncbi.nlm.nih.gov/2279479/, friendlyName=Open PubMed</x:v>
      </x:c>
    </x:row>
    <x:row r="17">
      <x:c r="A17" s="26" t="str">
        <x:v>PUBMED-2124408</x:v>
      </x:c>
      <x:c r="B17" s="26" t="n">
        <x:v>1990</x:v>
      </x:c>
      <x:c r="C17" s="26" t="str">
        <x:v>2124408</x:v>
      </x:c>
      <x:c r="D17" s="28" t="str">
        <x:v>Benign posttraumatic encephalopathy.</x:v>
      </x:c>
      <x:c r="E17" s="28" t="str">
        <x:v>Primary study - qualitative</x:v>
      </x:c>
      <x:c r="F17" s="28" t="str">
        <x:v>Development &amp; presentation; Family &amp; education; Social &amp; structural; Environmental &amp; lifestyle; Life outcomes &amp; lived experience; Historical &amp; contemporary context</x:v>
      </x:c>
      <x:c r="G17" s="28" t="str">
        <x:v>Childhood</x:v>
      </x:c>
      <x:c r="H17" s="28" t="str">
        <x:v>Exclude/incidental</x:v>
      </x:c>
      <x:c r="I17" s="28" t="str">
        <x:v>ADHD appears peripheral or insufficiently aligned with the requested corpus scope based on accessible metadata/abstract.</x:v>
      </x:c>
      <x:c r="J17" s="38" t="e">
        <x:f>HYPERLINK("https://pubmed.ncbi.nlm.nih.gov/"&amp;C17&amp;"/","Open PubMed")</x:f>
        <x:v>HYPERLINK is not implemented. linkLocation=https://pubmed.ncbi.nlm.nih.gov/2124408/, friendlyName=Open PubMed</x:v>
      </x:c>
    </x:row>
    <x:row r="18">
      <x:c r="A18" s="26" t="str">
        <x:v>PUBMED-2233909</x:v>
      </x:c>
      <x:c r="B18" s="26" t="n">
        <x:v>1990</x:v>
      </x:c>
      <x:c r="C18" s="26" t="str">
        <x:v>2233909</x:v>
      </x:c>
      <x:c r="D18" s="28" t="str">
        <x:v>Hyperactivity in childhood.</x:v>
      </x:c>
      <x:c r="E18" s="28" t="str">
        <x:v>Contextual - editorial/comment</x:v>
      </x:c>
      <x:c r="F18" s="28" t="str">
        <x:v>Development &amp; presentation</x:v>
      </x:c>
      <x:c r="G18" s="28" t="str">
        <x:v>Childhood; Adulthood</x:v>
      </x:c>
      <x:c r="H18" s="28" t="str">
        <x:v>Later specialized</x:v>
      </x:c>
      <x:c r="I18" s="28" t="str">
        <x:v>Direct or strongly ADHD-related record retained for later screening; typically narrower treatment, biomarker, mechanistic, or single-comorbidity focus.</x:v>
      </x:c>
      <x:c r="J18" s="38" t="e">
        <x:f>HYPERLINK("https://pubmed.ncbi.nlm.nih.gov/"&amp;C18&amp;"/","Open PubMed")</x:f>
        <x:v>HYPERLINK is not implemented. linkLocation=https://pubmed.ncbi.nlm.nih.gov/2233909/, friendlyName=Open PubMed</x:v>
      </x:c>
    </x:row>
    <x:row r="19">
      <x:c r="A19" s="26" t="str">
        <x:v>PUBMED-2292627</x:v>
      </x:c>
      <x:c r="B19" s="26" t="n">
        <x:v>1990</x:v>
      </x:c>
      <x:c r="C19" s="26" t="str">
        <x:v>2292627</x:v>
      </x:c>
      <x:c r="D19" s="28" t="str">
        <x:v>Comprehensive evaluation of attention deficit disorder with and without hyperactivity as defined by research criteria.</x:v>
      </x:c>
      <x:c r="E19" s="28" t="str">
        <x:v>Primary/contextual journal article</x:v>
      </x:c>
      <x:c r="F19" s="28" t="str">
        <x:v>Development &amp; presentation; Recognition &amp; diagnosis; Family &amp; education; Social &amp; structural</x:v>
      </x:c>
      <x:c r="G19" s="28" t="str">
        <x:v>Childhood</x:v>
      </x:c>
      <x:c r="H19" s="28" t="str">
        <x:v>Later specialized</x:v>
      </x:c>
      <x:c r="I19" s="28" t="str">
        <x:v>Direct or strongly ADHD-related record retained for later screening; typically narrower treatment, biomarker, mechanistic, or single-comorbidity focus.</x:v>
      </x:c>
      <x:c r="J19" s="38" t="e">
        <x:f>HYPERLINK("https://pubmed.ncbi.nlm.nih.gov/"&amp;C19&amp;"/","Open PubMed")</x:f>
        <x:v>HYPERLINK is not implemented. linkLocation=https://pubmed.ncbi.nlm.nih.gov/2292627/, friendlyName=Open PubMed</x:v>
      </x:c>
    </x:row>
    <x:row r="20">
      <x:c r="A20" s="26" t="str">
        <x:v>PUBMED-2375699</x:v>
      </x:c>
      <x:c r="B20" s="26" t="n">
        <x:v>1990</x:v>
      </x:c>
      <x:c r="C20" s="26" t="str">
        <x:v>2375699</x:v>
      </x:c>
      <x:c r="D20" s="28" t="str">
        <x:v>Brain morphology in developmental dyslexia and attention deficit disorder/hyperactivity.</x:v>
      </x:c>
      <x:c r="E20" s="28" t="str">
        <x:v>Primary/contextual journal article</x:v>
      </x:c>
      <x:c r="F20" s="28" t="str">
        <x:v>Development &amp; presentation; Recognition &amp; diagnosis; Social &amp; structural; Life outcomes &amp; lived experience</x:v>
      </x:c>
      <x:c r="G20" s="28" t="str">
        <x:v>Childhood</x:v>
      </x:c>
      <x:c r="H20" s="28" t="str">
        <x:v>Later specialized</x:v>
      </x:c>
      <x:c r="I20" s="28" t="str">
        <x:v>Direct or strongly ADHD-related record retained for later screening; typically narrower treatment, biomarker, mechanistic, or single-comorbidity focus.</x:v>
      </x:c>
      <x:c r="J20" s="38" t="e">
        <x:f>HYPERLINK("https://pubmed.ncbi.nlm.nih.gov/"&amp;C20&amp;"/","Open PubMed")</x:f>
        <x:v>HYPERLINK is not implemented. linkLocation=https://pubmed.ncbi.nlm.nih.gov/2375699/, friendlyName=Open PubMed</x:v>
      </x:c>
    </x:row>
    <x:row r="21">
      <x:c r="A21" s="26" t="str">
        <x:v>PUBMED-2212280</x:v>
      </x:c>
      <x:c r="B21" s="26" t="n">
        <x:v>1990</x:v>
      </x:c>
      <x:c r="C21" s="26" t="str">
        <x:v>2212280</x:v>
      </x:c>
      <x:c r="D21" s="28" t="str">
        <x:v>Inherited predisposition to alcoholism: characteristics of sons of male alcoholics.</x:v>
      </x:c>
      <x:c r="E21" s="28" t="str">
        <x:v>Evidence synthesis - review</x:v>
      </x:c>
      <x:c r="F21" s="28" t="str">
        <x:v>Development &amp; presentation; Family &amp; education; Social &amp; structural; Environmental &amp; lifestyle; Treatment &amp; support</x:v>
      </x:c>
      <x:c r="G21" s="28" t="str">
        <x:v>Childhood; Adolescence; Adulthood</x:v>
      </x:c>
      <x:c r="H21" s="28" t="str">
        <x:v>Exclude/incidental</x:v>
      </x:c>
      <x:c r="I21" s="28" t="str">
        <x:v>ADHD appears peripheral or insufficiently aligned with the requested corpus scope based on accessible metadata/abstract.</x:v>
      </x:c>
      <x:c r="J21" s="38" t="e">
        <x:f>HYPERLINK("https://pubmed.ncbi.nlm.nih.gov/"&amp;C21&amp;"/","Open PubMed")</x:f>
        <x:v>HYPERLINK is not implemented. linkLocation=https://pubmed.ncbi.nlm.nih.gov/2212280/, friendlyName=Open PubMed</x:v>
      </x:c>
    </x:row>
    <x:row r="22">
      <x:c r="A22" s="26" t="str">
        <x:v>PUBMED-2136074</x:v>
      </x:c>
      <x:c r="B22" s="26" t="n">
        <x:v>1990</x:v>
      </x:c>
      <x:c r="C22" s="26" t="str">
        <x:v>2136074</x:v>
      </x:c>
      <x:c r="D22" s="28" t="str">
        <x:v>Subtyping aggression in children and adolescents.</x:v>
      </x:c>
      <x:c r="E22" s="28" t="str">
        <x:v>Primary/contextual journal article</x:v>
      </x:c>
      <x:c r="F22" s="28" t="str">
        <x:v>Development &amp; presentation; Recognition &amp; diagnosis; Social &amp; structural; Treatment &amp; support; Historical &amp; contemporary context</x:v>
      </x:c>
      <x:c r="G22" s="28" t="str">
        <x:v>Childhood; Adolescence</x:v>
      </x:c>
      <x:c r="H22" s="28" t="str">
        <x:v>Exclude/incidental</x:v>
      </x:c>
      <x:c r="I22" s="28" t="str">
        <x:v>ADHD appears peripheral or insufficiently aligned with the requested corpus scope based on accessible metadata/abstract.</x:v>
      </x:c>
      <x:c r="J22" s="38" t="e">
        <x:f>HYPERLINK("https://pubmed.ncbi.nlm.nih.gov/"&amp;C22&amp;"/","Open PubMed")</x:f>
        <x:v>HYPERLINK is not implemented. linkLocation=https://pubmed.ncbi.nlm.nih.gov/2136074/, friendlyName=Open PubMed</x:v>
      </x:c>
    </x:row>
    <x:row r="23">
      <x:c r="A23" s="26" t="str">
        <x:v>PUBMED-2303554</x:v>
      </x:c>
      <x:c r="B23" s="26" t="n">
        <x:v>1990</x:v>
      </x:c>
      <x:c r="C23" s="26" t="str">
        <x:v>2303554</x:v>
      </x:c>
      <x:c r="D23" s="28" t="str">
        <x:v>Attention deficit disorder and the mediating effect of age on academic and behavioral variables.</x:v>
      </x:c>
      <x:c r="E23" s="28" t="str">
        <x:v>Primary/contextual journal article</x:v>
      </x:c>
      <x:c r="F23" s="28" t="str">
        <x:v>Development &amp; presentation; Recognition &amp; diagnosis; Family &amp; education; Social &amp; structural; Treatment &amp; support</x:v>
      </x:c>
      <x:c r="G23" s="28" t="str">
        <x:v>Childhood</x:v>
      </x:c>
      <x:c r="H23" s="28" t="str">
        <x:v>Batch 1 core</x:v>
      </x:c>
      <x:c r="I23" s="28" t="str">
        <x:v>Direct historical-period ADHD/hyperkinesis/minimal-brain-dysfunction focus with human relevance.</x:v>
      </x:c>
      <x:c r="J23" s="38" t="e">
        <x:f>HYPERLINK("https://pubmed.ncbi.nlm.nih.gov/"&amp;C23&amp;"/","Open PubMed")</x:f>
        <x:v>HYPERLINK is not implemented. linkLocation=https://pubmed.ncbi.nlm.nih.gov/2303554/, friendlyName=Open PubMed</x:v>
      </x:c>
    </x:row>
    <x:row r="24">
      <x:c r="A24" s="26" t="str">
        <x:v>PUBMED-2074344</x:v>
      </x:c>
      <x:c r="B24" s="26" t="n">
        <x:v>1990</x:v>
      </x:c>
      <x:c r="C24" s="26" t="str">
        <x:v>2074344</x:v>
      </x:c>
      <x:c r="D24" s="28" t="str">
        <x:v>Supraspan verbal memory in attention deficit disorder with hyperactivity normal and reading-disabled boys.</x:v>
      </x:c>
      <x:c r="E24" s="28" t="str">
        <x:v>Primary/contextual journal article</x:v>
      </x:c>
      <x:c r="F24" s="28" t="str">
        <x:v>Development &amp; presentation; Recognition &amp; diagnosis; Family &amp; education; Social &amp; structural</x:v>
      </x:c>
      <x:c r="G24" s="28" t="str">
        <x:v>Childhood</x:v>
      </x:c>
      <x:c r="H24" s="28" t="str">
        <x:v>Later specialized</x:v>
      </x:c>
      <x:c r="I24" s="28" t="str">
        <x:v>Direct or strongly ADHD-related record retained for later screening; typically narrower treatment, biomarker, mechanistic, or single-comorbidity focus.</x:v>
      </x:c>
      <x:c r="J24" s="38" t="e">
        <x:f>HYPERLINK("https://pubmed.ncbi.nlm.nih.gov/"&amp;C24&amp;"/","Open PubMed")</x:f>
        <x:v>HYPERLINK is not implemented. linkLocation=https://pubmed.ncbi.nlm.nih.gov/2074344/, friendlyName=Open PubMed</x:v>
      </x:c>
    </x:row>
    <x:row r="25">
      <x:c r="A25" s="26" t="str">
        <x:v>PUBMED-2289969</x:v>
      </x:c>
      <x:c r="B25" s="26" t="n">
        <x:v>1990</x:v>
      </x:c>
      <x:c r="C25" s="26" t="str">
        <x:v>2289969</x:v>
      </x:c>
      <x:c r="D25" s="28" t="str">
        <x:v>A critique of current diagnostic criteria for attention deficit hyperactivity disorder: clinical and research implications.</x:v>
      </x:c>
      <x:c r="E25" s="28" t="str">
        <x:v>Evidence synthesis - review</x:v>
      </x:c>
      <x:c r="F25" s="28" t="str">
        <x:v>Development &amp; presentation; Recognition &amp; diagnosis; Family &amp; education; Social &amp; structural; Environmental &amp; lifestyle</x:v>
      </x:c>
      <x:c r="G25" s="28" t="str">
        <x:v>Childhood; Adolescence</x:v>
      </x:c>
      <x:c r="H25" s="28" t="str">
        <x:v>Batch 1 core</x:v>
      </x:c>
      <x:c r="I25" s="28" t="str">
        <x:v>Direct historical-period ADHD/hyperkinesis/minimal-brain-dysfunction focus with human relevance.</x:v>
      </x:c>
      <x:c r="J25" s="38" t="e">
        <x:f>HYPERLINK("https://pubmed.ncbi.nlm.nih.gov/"&amp;C25&amp;"/","Open PubMed")</x:f>
        <x:v>HYPERLINK is not implemented. linkLocation=https://pubmed.ncbi.nlm.nih.gov/2289969/, friendlyName=Open PubMed</x:v>
      </x:c>
    </x:row>
    <x:row r="26">
      <x:c r="A26" s="26" t="str">
        <x:v>PUBMED-2228088</x:v>
      </x:c>
      <x:c r="B26" s="26" t="n">
        <x:v>1990</x:v>
      </x:c>
      <x:c r="C26" s="26" t="str">
        <x:v>2228088</x:v>
      </x:c>
      <x:c r="D26" s="28" t="str">
        <x:v>Attention deficits and hyperactivity.</x:v>
      </x:c>
      <x:c r="E26" s="28" t="str">
        <x:v>Evidence synthesis - review</x:v>
      </x:c>
      <x:c r="F26" s="28" t="str">
        <x:v>Development &amp; presentation; Recognition &amp; diagnosis; Family &amp; education; Social &amp; structural; Environmental &amp; lifestyle; Treatment &amp; support; Life outcomes &amp; lived experience; Historical &amp; contemporary context</x:v>
      </x:c>
      <x:c r="G26" s="28" t="str">
        <x:v>Childhood</x:v>
      </x:c>
      <x:c r="H26" s="28" t="str">
        <x:v>Later specialized</x:v>
      </x:c>
      <x:c r="I26" s="28" t="str">
        <x:v>Direct or strongly ADHD-related record retained for later screening; typically narrower treatment, biomarker, mechanistic, or single-comorbidity focus.</x:v>
      </x:c>
      <x:c r="J26" s="38" t="e">
        <x:f>HYPERLINK("https://pubmed.ncbi.nlm.nih.gov/"&amp;C26&amp;"/","Open PubMed")</x:f>
        <x:v>HYPERLINK is not implemented. linkLocation=https://pubmed.ncbi.nlm.nih.gov/2228088/, friendlyName=Open PubMed</x:v>
      </x:c>
    </x:row>
    <x:row r="27">
      <x:c r="A27" s="26" t="str">
        <x:v>PUBMED-2304807</x:v>
      </x:c>
      <x:c r="B27" s="26" t="n">
        <x:v>1990</x:v>
      </x:c>
      <x:c r="C27" s="26" t="str">
        <x:v>2304807</x:v>
      </x:c>
      <x:c r="D27" s="28" t="str">
        <x:v>Otitis media in children with learning disabilities and in children with attention deficit disorder with hyperactivity.</x:v>
      </x:c>
      <x:c r="E27" s="28" t="str">
        <x:v>Primary/contextual journal article</x:v>
      </x:c>
      <x:c r="F27" s="28" t="str">
        <x:v>Development &amp; presentation; Recognition &amp; diagnosis; Family &amp; education; Social &amp; structural; Environmental &amp; lifestyle; Treatment &amp; support; Historical &amp; contemporary context</x:v>
      </x:c>
      <x:c r="G27" s="28" t="str">
        <x:v>Childhood</x:v>
      </x:c>
      <x:c r="H27" s="28" t="str">
        <x:v>Later specialized</x:v>
      </x:c>
      <x:c r="I27" s="28" t="str">
        <x:v>Direct or strongly ADHD-related record retained for later screening; typically narrower treatment, biomarker, mechanistic, or single-comorbidity focus.</x:v>
      </x:c>
      <x:c r="J27" s="38" t="e">
        <x:f>HYPERLINK("https://pubmed.ncbi.nlm.nih.gov/"&amp;C27&amp;"/","Open PubMed")</x:f>
        <x:v>HYPERLINK is not implemented. linkLocation=https://pubmed.ncbi.nlm.nih.gov/2304807/, friendlyName=Open PubMed</x:v>
      </x:c>
    </x:row>
    <x:row r="28">
      <x:c r="A28" s="26" t="str">
        <x:v>PUBMED-2196522</x:v>
      </x:c>
      <x:c r="B28" s="26" t="n">
        <x:v>1990</x:v>
      </x:c>
      <x:c r="C28" s="26" t="str">
        <x:v>2196522</x:v>
      </x:c>
      <x:c r="D28" s="28" t="str">
        <x:v>Relative efficacy of long-acting stimulants on children with attention deficit-hyperactivity disorder: a comparison of standard methylphenidate, sustained-release methylphenidate, sustained-release dextroamphetamine, and pemoline.</x:v>
      </x:c>
      <x:c r="E28" s="28" t="str">
        <x:v>Primary study - randomized controlled trial</x:v>
      </x:c>
      <x:c r="F28" s="28" t="str">
        <x:v>Development &amp; presentation; Family &amp; education; Social &amp; structural; Treatment &amp; support</x:v>
      </x:c>
      <x:c r="G28" s="28" t="str">
        <x:v>Childhood; Adolescence</x:v>
      </x:c>
      <x:c r="H28" s="28" t="str">
        <x:v>Later specialized</x:v>
      </x:c>
      <x:c r="I28" s="28" t="str">
        <x:v>Direct or strongly ADHD-related record retained for later screening; typically narrower treatment, biomarker, mechanistic, or single-comorbidity focus.</x:v>
      </x:c>
      <x:c r="J28" s="38" t="e">
        <x:f>HYPERLINK("https://pubmed.ncbi.nlm.nih.gov/"&amp;C28&amp;"/","Open PubMed")</x:f>
        <x:v>HYPERLINK is not implemented. linkLocation=https://pubmed.ncbi.nlm.nih.gov/2196522/, friendlyName=Open PubMed</x:v>
      </x:c>
    </x:row>
    <x:row r="29">
      <x:c r="A29" s="26" t="str">
        <x:v>PUBMED-2310434</x:v>
      </x:c>
      <x:c r="B29" s="26" t="n">
        <x:v>1990</x:v>
      </x:c>
      <x:c r="C29" s="26" t="str">
        <x:v>2310434</x:v>
      </x:c>
      <x:c r="D29" s="28" t="str">
        <x:v>Epilepsy in children with attention deficit disorder: cognitive, behavioral, and neuroanatomic indices.</x:v>
      </x:c>
      <x:c r="E29" s="28" t="str">
        <x:v>Primary/contextual journal article</x:v>
      </x:c>
      <x:c r="F29" s="28" t="str">
        <x:v>Development &amp; presentation; Recognition &amp; diagnosis; Family &amp; education; Treatment &amp; support</x:v>
      </x:c>
      <x:c r="G29" s="28" t="str">
        <x:v>Childhood; Adolescence</x:v>
      </x:c>
      <x:c r="H29" s="28" t="str">
        <x:v>Later specialized</x:v>
      </x:c>
      <x:c r="I29" s="28" t="str">
        <x:v>Direct or strongly ADHD-related record retained for later screening; typically narrower treatment, biomarker, mechanistic, or single-comorbidity focus.</x:v>
      </x:c>
      <x:c r="J29" s="38" t="e">
        <x:f>HYPERLINK("https://pubmed.ncbi.nlm.nih.gov/"&amp;C29&amp;"/","Open PubMed")</x:f>
        <x:v>HYPERLINK is not implemented. linkLocation=https://pubmed.ncbi.nlm.nih.gov/2310434/, friendlyName=Open PubMed</x:v>
      </x:c>
    </x:row>
    <x:row r="30">
      <x:c r="A30" s="26" t="str">
        <x:v>PUBMED-2387130</x:v>
      </x:c>
      <x:c r="B30" s="26" t="n">
        <x:v>1990</x:v>
      </x:c>
      <x:c r="C30" s="26" t="str">
        <x:v>2387130</x:v>
      </x:c>
      <x:c r="D30" s="28" t="str">
        <x:v>Treatment of attention-deficit hyperactivity disorder.</x:v>
      </x:c>
      <x:c r="E30" s="28" t="str">
        <x:v>Contextual - editorial/comment</x:v>
      </x:c>
      <x:c r="F30" s="28" t="str">
        <x:v>Development &amp; presentation; Recognition &amp; diagnosis; Social &amp; structural; Treatment &amp; support</x:v>
      </x:c>
      <x:c r="G30" s="28" t="str">
        <x:v>Not specified</x:v>
      </x:c>
      <x:c r="H30" s="28" t="str">
        <x:v>Later specialized</x:v>
      </x:c>
      <x:c r="I30" s="28" t="str">
        <x:v>Direct or strongly ADHD-related record retained for later screening; typically narrower treatment, biomarker, mechanistic, or single-comorbidity focus.</x:v>
      </x:c>
      <x:c r="J30" s="38" t="e">
        <x:f>HYPERLINK("https://pubmed.ncbi.nlm.nih.gov/"&amp;C30&amp;"/","Open PubMed")</x:f>
        <x:v>HYPERLINK is not implemented. linkLocation=https://pubmed.ncbi.nlm.nih.gov/2387130/, friendlyName=Open PubMed</x:v>
      </x:c>
    </x:row>
    <x:row r="31">
      <x:c r="A31" s="26" t="str">
        <x:v>PUBMED-2225800</x:v>
      </x:c>
      <x:c r="B31" s="26" t="n">
        <x:v>1990</x:v>
      </x:c>
      <x:c r="C31" s="26" t="str">
        <x:v>2225800</x:v>
      </x:c>
      <x:c r="D31" s="28" t="str">
        <x:v>A clinical and demographic profile of a sample of adults with attention deficit hyperactivity disorder, residual state.</x:v>
      </x:c>
      <x:c r="E31" s="28" t="str">
        <x:v>Primary/contextual journal article</x:v>
      </x:c>
      <x:c r="F31" s="28" t="str">
        <x:v>Development &amp; presentation; Recognition &amp; diagnosis; Family &amp; education; Social &amp; structural; Environmental &amp; lifestyle; Treatment &amp; support; Life outcomes &amp; lived experience</x:v>
      </x:c>
      <x:c r="G31" s="28" t="str">
        <x:v>Childhood; Adulthood</x:v>
      </x:c>
      <x:c r="H31" s="28" t="str">
        <x:v>Later specialized</x:v>
      </x:c>
      <x:c r="I31" s="28" t="str">
        <x:v>Direct or strongly ADHD-related record retained for later screening; typically narrower treatment, biomarker, mechanistic, or single-comorbidity focus.</x:v>
      </x:c>
      <x:c r="J31" s="38" t="e">
        <x:f>HYPERLINK("https://pubmed.ncbi.nlm.nih.gov/"&amp;C31&amp;"/","Open PubMed")</x:f>
        <x:v>HYPERLINK is not implemented. linkLocation=https://pubmed.ncbi.nlm.nih.gov/2225800/, friendlyName=Open PubMed</x:v>
      </x:c>
    </x:row>
    <x:row r="32">
      <x:c r="A32" s="26" t="str">
        <x:v>PUBMED-2246429</x:v>
      </x:c>
      <x:c r="B32" s="26" t="n">
        <x:v>1990</x:v>
      </x:c>
      <x:c r="C32" s="26" t="str">
        <x:v>2246429</x:v>
      </x:c>
      <x:c r="D32" s="28" t="str">
        <x:v>Sustained attention in normal and in reading-disabled youngsters with and without ADDH.</x:v>
      </x:c>
      <x:c r="E32" s="28" t="str">
        <x:v>Primary/contextual journal article</x:v>
      </x:c>
      <x:c r="F32" s="28" t="str">
        <x:v>Development &amp; presentation; Recognition &amp; diagnosis</x:v>
      </x:c>
      <x:c r="G32" s="28" t="str">
        <x:v>Childhood</x:v>
      </x:c>
      <x:c r="H32" s="28" t="str">
        <x:v>Later specialized</x:v>
      </x:c>
      <x:c r="I32" s="28" t="str">
        <x:v>Direct or strongly ADHD-related record retained for later screening; typically narrower treatment, biomarker, mechanistic, or single-comorbidity focus.</x:v>
      </x:c>
      <x:c r="J32" s="38" t="e">
        <x:f>HYPERLINK("https://pubmed.ncbi.nlm.nih.gov/"&amp;C32&amp;"/","Open PubMed")</x:f>
        <x:v>HYPERLINK is not implemented. linkLocation=https://pubmed.ncbi.nlm.nih.gov/2246429/, friendlyName=Open PubMed</x:v>
      </x:c>
    </x:row>
    <x:row r="33">
      <x:c r="A33" s="26" t="str">
        <x:v>PUBMED-2342842</x:v>
      </x:c>
      <x:c r="B33" s="26" t="n">
        <x:v>1990</x:v>
      </x:c>
      <x:c r="C33" s="26" t="str">
        <x:v>2342842</x:v>
      </x:c>
      <x:c r="D33" s="28" t="str">
        <x:v>The relationship between continuous performance tasks and neuropsychological tests in children with attention-deficit hyperactivity disorder.</x:v>
      </x:c>
      <x:c r="E33" s="28" t="str">
        <x:v>Primary/contextual journal article</x:v>
      </x:c>
      <x:c r="F33" s="28" t="str">
        <x:v>Development &amp; presentation; Recognition &amp; diagnosis; Social &amp; structural; Life outcomes &amp; lived experience</x:v>
      </x:c>
      <x:c r="G33" s="28" t="str">
        <x:v>Childhood</x:v>
      </x:c>
      <x:c r="H33" s="28" t="str">
        <x:v>Batch 1 core</x:v>
      </x:c>
      <x:c r="I33" s="28" t="str">
        <x:v>Direct historical-period ADHD/hyperkinesis/minimal-brain-dysfunction focus with human relevance.</x:v>
      </x:c>
      <x:c r="J33" s="38" t="e">
        <x:f>HYPERLINK("https://pubmed.ncbi.nlm.nih.gov/"&amp;C33&amp;"/","Open PubMed")</x:f>
        <x:v>HYPERLINK is not implemented. linkLocation=https://pubmed.ncbi.nlm.nih.gov/2342842/, friendlyName=Open PubMed</x:v>
      </x:c>
    </x:row>
    <x:row r="34">
      <x:c r="A34" s="26" t="str">
        <x:v>PUBMED-2236435</x:v>
      </x:c>
      <x:c r="B34" s="26" t="n">
        <x:v>1990</x:v>
      </x:c>
      <x:c r="C34" s="26" t="str">
        <x:v>2236435</x:v>
      </x:c>
      <x:c r="D34" s="28" t="str">
        <x:v>Effects of methylphenidate on processing negativities in patients with attention-deficit hyperactivity disorder.</x:v>
      </x:c>
      <x:c r="E34" s="28" t="str">
        <x:v>Primary study - randomized controlled trial</x:v>
      </x:c>
      <x:c r="F34" s="28" t="str">
        <x:v>Development &amp; presentation; Social &amp; structural; Treatment &amp; support</x:v>
      </x:c>
      <x:c r="G34" s="28" t="str">
        <x:v>Childhood</x:v>
      </x:c>
      <x:c r="H34" s="28" t="str">
        <x:v>Batch 1 core</x:v>
      </x:c>
      <x:c r="I34" s="28" t="str">
        <x:v>Direct historical-period ADHD/hyperkinesis/minimal-brain-dysfunction focus with human relevance.</x:v>
      </x:c>
      <x:c r="J34" s="38" t="e">
        <x:f>HYPERLINK("https://pubmed.ncbi.nlm.nih.gov/"&amp;C34&amp;"/","Open PubMed")</x:f>
        <x:v>HYPERLINK is not implemented. linkLocation=https://pubmed.ncbi.nlm.nih.gov/2236435/, friendlyName=Open PubMed</x:v>
      </x:c>
    </x:row>
    <x:row r="35">
      <x:c r="A35" s="26" t="str">
        <x:v>PUBMED-2258099</x:v>
      </x:c>
      <x:c r="B35" s="26" t="n">
        <x:v>1990</x:v>
      </x:c>
      <x:c r="C35" s="26" t="str">
        <x:v>2258099</x:v>
      </x:c>
      <x:c r="D35" s="28" t="str">
        <x:v>[Attention deficit disorder].</x:v>
      </x:c>
      <x:c r="E35" s="28" t="str">
        <x:v>Evidence synthesis - review</x:v>
      </x:c>
      <x:c r="F35" s="28" t="str">
        <x:v>Development &amp; presentation; Recognition &amp; diagnosis; Treatment &amp; support</x:v>
      </x:c>
      <x:c r="G35" s="28" t="str">
        <x:v>Not specified</x:v>
      </x:c>
      <x:c r="H35" s="28" t="str">
        <x:v>Batch 1 core</x:v>
      </x:c>
      <x:c r="I35" s="28" t="str">
        <x:v>Direct historical-period ADHD/hyperkinesis/minimal-brain-dysfunction focus with human relevance.</x:v>
      </x:c>
      <x:c r="J35" s="38" t="e">
        <x:f>HYPERLINK("https://pubmed.ncbi.nlm.nih.gov/"&amp;C35&amp;"/","Open PubMed")</x:f>
        <x:v>HYPERLINK is not implemented. linkLocation=https://pubmed.ncbi.nlm.nih.gov/2258099/, friendlyName=Open PubMed</x:v>
      </x:c>
    </x:row>
    <x:row r="36">
      <x:c r="A36" s="26" t="str">
        <x:v>PUBMED-2388127</x:v>
      </x:c>
      <x:c r="B36" s="26" t="n">
        <x:v>1990</x:v>
      </x:c>
      <x:c r="C36" s="26" t="str">
        <x:v>2388127</x:v>
      </x:c>
      <x:c r="D36" s="28" t="str">
        <x:v>Pemoline (Cylert)-induced hepatotoxicity.</x:v>
      </x:c>
      <x:c r="E36" s="28" t="str">
        <x:v>Other/unclear</x:v>
      </x:c>
      <x:c r="F36" s="28" t="str">
        <x:v>Development &amp; presentation; Treatment &amp; support</x:v>
      </x:c>
      <x:c r="G36" s="28" t="str">
        <x:v>Childhood</x:v>
      </x:c>
      <x:c r="H36" s="28" t="str">
        <x:v>Exclude/incidental</x:v>
      </x:c>
      <x:c r="I36" s="28" t="str">
        <x:v>ADHD appears peripheral or insufficiently aligned with the requested corpus scope based on accessible metadata/abstract.</x:v>
      </x:c>
      <x:c r="J36" s="38" t="e">
        <x:f>HYPERLINK("https://pubmed.ncbi.nlm.nih.gov/"&amp;C36&amp;"/","Open PubMed")</x:f>
        <x:v>HYPERLINK is not implemented. linkLocation=https://pubmed.ncbi.nlm.nih.gov/2388127/, friendlyName=Open PubMed</x:v>
      </x:c>
    </x:row>
    <x:row r="37">
      <x:c r="A37" s="26" t="str">
        <x:v>PUBMED-2180969</x:v>
      </x:c>
      <x:c r="B37" s="26" t="n">
        <x:v>1990</x:v>
      </x:c>
      <x:c r="C37" s="26" t="str">
        <x:v>2180969</x:v>
      </x:c>
      <x:c r="D37" s="28" t="str">
        <x:v>Child and adolescent mania--diagnostic considerations.</x:v>
      </x:c>
      <x:c r="E37" s="28" t="str">
        <x:v>Evidence synthesis - review</x:v>
      </x:c>
      <x:c r="F37" s="28" t="str">
        <x:v>Development &amp; presentation; Recognition &amp; diagnosis</x:v>
      </x:c>
      <x:c r="G37" s="28" t="str">
        <x:v>Childhood; Adolescence; Adulthood</x:v>
      </x:c>
      <x:c r="H37" s="28" t="str">
        <x:v>Exclude/incidental</x:v>
      </x:c>
      <x:c r="I37" s="28" t="str">
        <x:v>ADHD appears peripheral or insufficiently aligned with the requested corpus scope based on accessible metadata/abstract.</x:v>
      </x:c>
      <x:c r="J37" s="38" t="e">
        <x:f>HYPERLINK("https://pubmed.ncbi.nlm.nih.gov/"&amp;C37&amp;"/","Open PubMed")</x:f>
        <x:v>HYPERLINK is not implemented. linkLocation=https://pubmed.ncbi.nlm.nih.gov/2180969/, friendlyName=Open PubMed</x:v>
      </x:c>
    </x:row>
    <x:row r="38">
      <x:c r="A38" s="26" t="str">
        <x:v>PUBMED-2196520</x:v>
      </x:c>
      <x:c r="B38" s="26" t="n">
        <x:v>1990</x:v>
      </x:c>
      <x:c r="C38" s="26" t="str">
        <x:v>2196520</x:v>
      </x:c>
      <x:c r="D38" s="28" t="str">
        <x:v>Side effects of methylphenidate in children with attention deficit hyperactivity disorder: a systemic, placebo-controlled evaluation.</x:v>
      </x:c>
      <x:c r="E38" s="28" t="str">
        <x:v>Primary study - randomized controlled trial</x:v>
      </x:c>
      <x:c r="F38" s="28" t="str">
        <x:v>Development &amp; presentation; Family &amp; education; Environmental &amp; lifestyle; Treatment &amp; support; Life outcomes &amp; lived experience</x:v>
      </x:c>
      <x:c r="G38" s="28" t="str">
        <x:v>Childhood; Adolescence</x:v>
      </x:c>
      <x:c r="H38" s="28" t="str">
        <x:v>Batch 1 core</x:v>
      </x:c>
      <x:c r="I38" s="28" t="str">
        <x:v>Direct historical-period ADHD/hyperkinesis/minimal-brain-dysfunction focus with human relevance.</x:v>
      </x:c>
      <x:c r="J38" s="38" t="e">
        <x:f>HYPERLINK("https://pubmed.ncbi.nlm.nih.gov/"&amp;C38&amp;"/","Open PubMed")</x:f>
        <x:v>HYPERLINK is not implemented. linkLocation=https://pubmed.ncbi.nlm.nih.gov/2196520/, friendlyName=Open PubMed</x:v>
      </x:c>
    </x:row>
    <x:row r="39">
      <x:c r="A39" s="26" t="str">
        <x:v>PUBMED-2115746</x:v>
      </x:c>
      <x:c r="B39" s="26" t="n">
        <x:v>1990</x:v>
      </x:c>
      <x:c r="C39" s="26" t="str">
        <x:v>2115746</x:v>
      </x:c>
      <x:c r="D39" s="28" t="str">
        <x:v>Bupropion treatment of attention-deficit hyperactivity disorder in adults.</x:v>
      </x:c>
      <x:c r="E39" s="28" t="str">
        <x:v>Primary study - clinical trial</x:v>
      </x:c>
      <x:c r="F39" s="28" t="str">
        <x:v>Development &amp; presentation; Social &amp; structural; Treatment &amp; support</x:v>
      </x:c>
      <x:c r="G39" s="28" t="str">
        <x:v>Adulthood</x:v>
      </x:c>
      <x:c r="H39" s="28" t="str">
        <x:v>Batch 1 core</x:v>
      </x:c>
      <x:c r="I39" s="28" t="str">
        <x:v>Direct historical-period ADHD/hyperkinesis/minimal-brain-dysfunction focus with human relevance.</x:v>
      </x:c>
      <x:c r="J39" s="38" t="e">
        <x:f>HYPERLINK("https://pubmed.ncbi.nlm.nih.gov/"&amp;C39&amp;"/","Open PubMed")</x:f>
        <x:v>HYPERLINK is not implemented. linkLocation=https://pubmed.ncbi.nlm.nih.gov/2115746/, friendlyName=Open PubMed</x:v>
      </x:c>
    </x:row>
    <x:row r="40">
      <x:c r="A40" s="26" t="str">
        <x:v>PUBMED-2308471</x:v>
      </x:c>
      <x:c r="B40" s="26" t="n">
        <x:v>1990</x:v>
      </x:c>
      <x:c r="C40" s="26" t="str">
        <x:v>2308471</x:v>
      </x:c>
      <x:c r="D40" s="28" t="str">
        <x:v>Growth hormone and prolactin response to methylphenidate in children with attention deficit disorder.</x:v>
      </x:c>
      <x:c r="E40" s="28" t="str">
        <x:v>Primary study - clinical trial</x:v>
      </x:c>
      <x:c r="F40" s="28" t="str">
        <x:v>Development &amp; presentation; Recognition &amp; diagnosis; Family &amp; education; Social &amp; structural; Treatment &amp; support; Life outcomes &amp; lived experience</x:v>
      </x:c>
      <x:c r="G40" s="28" t="str">
        <x:v>Childhood</x:v>
      </x:c>
      <x:c r="H40" s="28" t="str">
        <x:v>Batch 1 core</x:v>
      </x:c>
      <x:c r="I40" s="28" t="str">
        <x:v>Direct historical-period ADHD/hyperkinesis/minimal-brain-dysfunction focus with human relevance.</x:v>
      </x:c>
      <x:c r="J40" s="38" t="e">
        <x:f>HYPERLINK("https://pubmed.ncbi.nlm.nih.gov/"&amp;C40&amp;"/","Open PubMed")</x:f>
        <x:v>HYPERLINK is not implemented. linkLocation=https://pubmed.ncbi.nlm.nih.gov/2308471/, friendlyName=Open PubMed</x:v>
      </x:c>
    </x:row>
    <x:row r="41">
      <x:c r="A41" s="26" t="str">
        <x:v>PUBMED-2251528</x:v>
      </x:c>
      <x:c r="B41" s="26" t="n">
        <x:v>1990</x:v>
      </x:c>
      <x:c r="C41" s="26" t="str">
        <x:v>2251528</x:v>
      </x:c>
      <x:c r="D41" s="28" t="str">
        <x:v>Attention deficit hyperactivity disorder: does it affect adults too?</x:v>
      </x:c>
      <x:c r="E41" s="28" t="str">
        <x:v>Evidence synthesis - review</x:v>
      </x:c>
      <x:c r="F41" s="28" t="str">
        <x:v>Development &amp; presentation; Recognition &amp; diagnosis; Social &amp; structural; Treatment &amp; support</x:v>
      </x:c>
      <x:c r="G41" s="28" t="str">
        <x:v>Childhood; Adolescence; Adulthood</x:v>
      </x:c>
      <x:c r="H41" s="28" t="str">
        <x:v>Batch 1 core</x:v>
      </x:c>
      <x:c r="I41" s="28" t="str">
        <x:v>Direct historical-period ADHD/hyperkinesis/minimal-brain-dysfunction focus with human relevance.</x:v>
      </x:c>
      <x:c r="J41" s="38" t="e">
        <x:f>HYPERLINK("https://pubmed.ncbi.nlm.nih.gov/"&amp;C41&amp;"/","Open PubMed")</x:f>
        <x:v>HYPERLINK is not implemented. linkLocation=https://pubmed.ncbi.nlm.nih.gov/2251528/, friendlyName=Open PubMed</x:v>
      </x:c>
    </x:row>
    <x:row r="42">
      <x:c r="A42" s="26" t="str">
        <x:v>PUBMED-2387787</x:v>
      </x:c>
      <x:c r="B42" s="26" t="n">
        <x:v>1990</x:v>
      </x:c>
      <x:c r="C42" s="26" t="str">
        <x:v>2387787</x:v>
      </x:c>
      <x:c r="D42" s="28" t="str">
        <x:v>Attention deficit disorder in children at risk for anxiety and depression.</x:v>
      </x:c>
      <x:c r="E42" s="28" t="str">
        <x:v>Primary/contextual journal article</x:v>
      </x:c>
      <x:c r="F42" s="28" t="str">
        <x:v>Development &amp; presentation; Recognition &amp; diagnosis; Family &amp; education; Life outcomes &amp; lived experience</x:v>
      </x:c>
      <x:c r="G42" s="28" t="str">
        <x:v>Childhood; Adolescence</x:v>
      </x:c>
      <x:c r="H42" s="28" t="str">
        <x:v>Later specialized</x:v>
      </x:c>
      <x:c r="I42" s="28" t="str">
        <x:v>Direct or strongly ADHD-related record retained for later screening; typically narrower treatment, biomarker, mechanistic, or single-comorbidity focus.</x:v>
      </x:c>
      <x:c r="J42" s="38" t="e">
        <x:f>HYPERLINK("https://pubmed.ncbi.nlm.nih.gov/"&amp;C42&amp;"/","Open PubMed")</x:f>
        <x:v>HYPERLINK is not implemented. linkLocation=https://pubmed.ncbi.nlm.nih.gov/2387787/, friendlyName=Open PubMed</x:v>
      </x:c>
    </x:row>
    <x:row r="43">
      <x:c r="A43" s="26" t="str">
        <x:v>PUBMED-2135682</x:v>
      </x:c>
      <x:c r="B43" s="26" t="n">
        <x:v>1990</x:v>
      </x:c>
      <x:c r="C43" s="26" t="str">
        <x:v>2135682</x:v>
      </x:c>
      <x:c r="D43" s="28" t="str">
        <x:v>Efficacy of methylphenidate among mentally retarded children with attention deficit hyperactivity disorder.</x:v>
      </x:c>
      <x:c r="E43" s="28" t="str">
        <x:v>Primary study - randomized controlled trial</x:v>
      </x:c>
      <x:c r="F43" s="28" t="str">
        <x:v>Development &amp; presentation; Recognition &amp; diagnosis; Family &amp; education; Social &amp; structural; Treatment &amp; support</x:v>
      </x:c>
      <x:c r="G43" s="28" t="str">
        <x:v>Childhood</x:v>
      </x:c>
      <x:c r="H43" s="28" t="str">
        <x:v>Batch 1 core</x:v>
      </x:c>
      <x:c r="I43" s="28" t="str">
        <x:v>Direct historical-period ADHD/hyperkinesis/minimal-brain-dysfunction focus with human relevance.</x:v>
      </x:c>
      <x:c r="J43" s="38" t="e">
        <x:f>HYPERLINK("https://pubmed.ncbi.nlm.nih.gov/"&amp;C43&amp;"/","Open PubMed")</x:f>
        <x:v>HYPERLINK is not implemented. linkLocation=https://pubmed.ncbi.nlm.nih.gov/2135682/, friendlyName=Open PubMed</x:v>
      </x:c>
    </x:row>
    <x:row r="44">
      <x:c r="A44" s="26" t="str">
        <x:v>PUBMED-2387806</x:v>
      </x:c>
      <x:c r="B44" s="26" t="n">
        <x:v>1990</x:v>
      </x:c>
      <x:c r="C44" s="26" t="str">
        <x:v>2387806</x:v>
      </x:c>
      <x:c r="D44" s="28" t="str">
        <x:v>The clonidine patch and behavior problems.</x:v>
      </x:c>
      <x:c r="E44" s="28" t="str">
        <x:v>Other/unclear</x:v>
      </x:c>
      <x:c r="F44" s="28" t="str">
        <x:v>Development &amp; presentation; Family &amp; education; Treatment &amp; support</x:v>
      </x:c>
      <x:c r="G44" s="28" t="str">
        <x:v>Childhood; Adolescence</x:v>
      </x:c>
      <x:c r="H44" s="28" t="str">
        <x:v>Exclude/incidental</x:v>
      </x:c>
      <x:c r="I44" s="28" t="str">
        <x:v>ADHD appears peripheral or insufficiently aligned with the requested corpus scope based on accessible metadata/abstract.</x:v>
      </x:c>
      <x:c r="J44" s="38" t="e">
        <x:f>HYPERLINK("https://pubmed.ncbi.nlm.nih.gov/"&amp;C44&amp;"/","Open PubMed")</x:f>
        <x:v>HYPERLINK is not implemented. linkLocation=https://pubmed.ncbi.nlm.nih.gov/2387806/, friendlyName=Open PubMed</x:v>
      </x:c>
    </x:row>
    <x:row r="45">
      <x:c r="A45" s="26" t="str">
        <x:v>PUBMED-2275943</x:v>
      </x:c>
      <x:c r="B45" s="26" t="n">
        <x:v>1990</x:v>
      </x:c>
      <x:c r="C45" s="26" t="str">
        <x:v>2275943</x:v>
      </x:c>
      <x:c r="D45" s="28" t="str">
        <x:v>Relative efficacy of ritalin and biofeedback treatments in the management of hyperactivity.</x:v>
      </x:c>
      <x:c r="E45" s="28" t="str">
        <x:v>Primary/contextual journal article</x:v>
      </x:c>
      <x:c r="F45" s="28" t="str">
        <x:v>Development &amp; presentation; Recognition &amp; diagnosis; Family &amp; education; Social &amp; structural; Treatment &amp; support</x:v>
      </x:c>
      <x:c r="G45" s="28" t="str">
        <x:v>Childhood; Adolescence</x:v>
      </x:c>
      <x:c r="H45" s="28" t="str">
        <x:v>Later specialized</x:v>
      </x:c>
      <x:c r="I45" s="28" t="str">
        <x:v>Direct or strongly ADHD-related record retained for later screening; typically narrower treatment, biomarker, mechanistic, or single-comorbidity focus.</x:v>
      </x:c>
      <x:c r="J45" s="38" t="e">
        <x:f>HYPERLINK("https://pubmed.ncbi.nlm.nih.gov/"&amp;C45&amp;"/","Open PubMed")</x:f>
        <x:v>HYPERLINK is not implemented. linkLocation=https://pubmed.ncbi.nlm.nih.gov/2275943/, friendlyName=Open PubMed</x:v>
      </x:c>
    </x:row>
    <x:row r="46">
      <x:c r="A46" s="26" t="str">
        <x:v>PUBMED-2198952</x:v>
      </x:c>
      <x:c r="B46" s="26" t="n">
        <x:v>1990</x:v>
      </x:c>
      <x:c r="C46" s="26" t="str">
        <x:v>2198952</x:v>
      </x:c>
      <x:c r="D46" s="28" t="str">
        <x:v>Comorbidity in the interpretation of dexamethasone suppression test results in children: a review and report.</x:v>
      </x:c>
      <x:c r="E46" s="28" t="str">
        <x:v>Evidence synthesis - review</x:v>
      </x:c>
      <x:c r="F46" s="28" t="str">
        <x:v>Development &amp; presentation; Recognition &amp; diagnosis; Social &amp; structural; Environmental &amp; lifestyle</x:v>
      </x:c>
      <x:c r="G46" s="28" t="str">
        <x:v>Childhood; Adolescence</x:v>
      </x:c>
      <x:c r="H46" s="28" t="str">
        <x:v>Later specialized</x:v>
      </x:c>
      <x:c r="I46" s="28" t="str">
        <x:v>Direct or strongly ADHD-related record retained for later screening; typically narrower treatment, biomarker, mechanistic, or single-comorbidity focus.</x:v>
      </x:c>
      <x:c r="J46" s="38" t="e">
        <x:f>HYPERLINK("https://pubmed.ncbi.nlm.nih.gov/"&amp;C46&amp;"/","Open PubMed")</x:f>
        <x:v>HYPERLINK is not implemented. linkLocation=https://pubmed.ncbi.nlm.nih.gov/2198952/, friendlyName=Open PubMed</x:v>
      </x:c>
    </x:row>
    <x:row r="47">
      <x:c r="A47" s="26" t="str">
        <x:v>PUBMED-2364762</x:v>
      </x:c>
      <x:c r="B47" s="26" t="n">
        <x:v>1990</x:v>
      </x:c>
      <x:c r="C47" s="26" t="str">
        <x:v>2364762</x:v>
      </x:c>
      <x:c r="D47" s="28" t="str">
        <x:v>Juvenile delinquency and attention deficit disorder: boys' developmental trajectories from age 3 to age 15.</x:v>
      </x:c>
      <x:c r="E47" s="28" t="str">
        <x:v>Primary study - cohort</x:v>
      </x:c>
      <x:c r="F47" s="28" t="str">
        <x:v>Development &amp; presentation; Recognition &amp; diagnosis; Family &amp; education; Social &amp; structural; Environmental &amp; lifestyle; Life outcomes &amp; lived experience</x:v>
      </x:c>
      <x:c r="G47" s="28" t="str">
        <x:v>Childhood; Adolescence</x:v>
      </x:c>
      <x:c r="H47" s="28" t="str">
        <x:v>Batch 1 core</x:v>
      </x:c>
      <x:c r="I47" s="28" t="str">
        <x:v>Direct historical-period ADHD/hyperkinesis/minimal-brain-dysfunction focus with human relevance.</x:v>
      </x:c>
      <x:c r="J47" s="38" t="e">
        <x:f>HYPERLINK("https://pubmed.ncbi.nlm.nih.gov/"&amp;C47&amp;"/","Open PubMed")</x:f>
        <x:v>HYPERLINK is not implemented. linkLocation=https://pubmed.ncbi.nlm.nih.gov/2364762/, friendlyName=Open PubMed</x:v>
      </x:c>
    </x:row>
    <x:row r="48">
      <x:c r="A48" s="26" t="str">
        <x:v>PUBMED-2324638</x:v>
      </x:c>
      <x:c r="B48" s="26" t="n">
        <x:v>1990</x:v>
      </x:c>
      <x:c r="C48" s="26" t="str">
        <x:v>2324638</x:v>
      </x:c>
      <x:c r="D48" s="28" t="str">
        <x:v>First impressions formed of boys with learning disabilities and attention deficit disorder.</x:v>
      </x:c>
      <x:c r="E48" s="28" t="str">
        <x:v>Primary/contextual journal article</x:v>
      </x:c>
      <x:c r="F48" s="28" t="str">
        <x:v>Development &amp; presentation; Family &amp; education; Social &amp; structural; Environmental &amp; lifestyle; Historical &amp; contemporary context</x:v>
      </x:c>
      <x:c r="G48" s="28" t="str">
        <x:v>Childhood</x:v>
      </x:c>
      <x:c r="H48" s="28" t="str">
        <x:v>Later specialized</x:v>
      </x:c>
      <x:c r="I48" s="28" t="str">
        <x:v>Direct or strongly ADHD-related record retained for later screening; typically narrower treatment, biomarker, mechanistic, or single-comorbidity focus.</x:v>
      </x:c>
      <x:c r="J48" s="38" t="e">
        <x:f>HYPERLINK("https://pubmed.ncbi.nlm.nih.gov/"&amp;C48&amp;"/","Open PubMed")</x:f>
        <x:v>HYPERLINK is not implemented. linkLocation=https://pubmed.ncbi.nlm.nih.gov/2324638/, friendlyName=Open PubMed</x:v>
      </x:c>
    </x:row>
    <x:row r="49">
      <x:c r="A49" s="26" t="str">
        <x:v>PUBMED-2365665</x:v>
      </x:c>
      <x:c r="B49" s="26" t="n">
        <x:v>1990</x:v>
      </x:c>
      <x:c r="C49" s="26" t="str">
        <x:v>2365665</x:v>
      </x:c>
      <x:c r="D49" s="28" t="str">
        <x:v>A controlled family history study of Tourette's syndrome, I: Attention-deficit hyperactivity disorder and learning disorders.</x:v>
      </x:c>
      <x:c r="E49" s="28" t="str">
        <x:v>Primary/contextual journal article</x:v>
      </x:c>
      <x:c r="F49" s="28" t="str">
        <x:v>Development &amp; presentation; Recognition &amp; diagnosis; Family &amp; education; Historical &amp; contemporary context</x:v>
      </x:c>
      <x:c r="G49" s="28" t="str">
        <x:v>Childhood; Adolescence; Adulthood</x:v>
      </x:c>
      <x:c r="H49" s="28" t="str">
        <x:v>Batch 1 core</x:v>
      </x:c>
      <x:c r="I49" s="28" t="str">
        <x:v>Direct historical-period ADHD/hyperkinesis/minimal-brain-dysfunction focus with human relevance.</x:v>
      </x:c>
      <x:c r="J49" s="38" t="e">
        <x:f>HYPERLINK("https://pubmed.ncbi.nlm.nih.gov/"&amp;C49&amp;"/","Open PubMed")</x:f>
        <x:v>HYPERLINK is not implemented. linkLocation=https://pubmed.ncbi.nlm.nih.gov/2365665/, friendlyName=Open PubMed</x:v>
      </x:c>
    </x:row>
    <x:row r="50">
      <x:c r="A50" s="26" t="str">
        <x:v>PUBMED-2398235</x:v>
      </x:c>
      <x:c r="B50" s="26" t="n">
        <x:v>1990</x:v>
      </x:c>
      <x:c r="C50" s="26" t="str">
        <x:v>2398235</x:v>
      </x:c>
      <x:c r="D50" s="28" t="str">
        <x:v>Reaction time, impulsivity, and attention in hyperactive children and controls: a video game technique.</x:v>
      </x:c>
      <x:c r="E50" s="28" t="str">
        <x:v>Primary/contextual journal article</x:v>
      </x:c>
      <x:c r="F50" s="28" t="str">
        <x:v>Development &amp; presentation; Recognition &amp; diagnosis; Family &amp; education; Social &amp; structural; Life outcomes &amp; lived experience</x:v>
      </x:c>
      <x:c r="G50" s="28" t="str">
        <x:v>Childhood</x:v>
      </x:c>
      <x:c r="H50" s="28" t="str">
        <x:v>Later specialized</x:v>
      </x:c>
      <x:c r="I50" s="28" t="str">
        <x:v>Direct or strongly ADHD-related record retained for later screening; typically narrower treatment, biomarker, mechanistic, or single-comorbidity focus.</x:v>
      </x:c>
      <x:c r="J50" s="38" t="e">
        <x:f>HYPERLINK("https://pubmed.ncbi.nlm.nih.gov/"&amp;C50&amp;"/","Open PubMed")</x:f>
        <x:v>HYPERLINK is not implemented. linkLocation=https://pubmed.ncbi.nlm.nih.gov/2398235/, friendlyName=Open PubMed</x:v>
      </x:c>
    </x:row>
    <x:row r="51">
      <x:c r="A51" s="26" t="str">
        <x:v>PUBMED-2223924</x:v>
      </x:c>
      <x:c r="B51" s="26" t="n">
        <x:v>1990</x:v>
      </x:c>
      <x:c r="C51" s="26" t="str">
        <x:v>2223924</x:v>
      </x:c>
      <x:c r="D51" s="28" t="str">
        <x:v>Abnormal plasma catecholamines in hyperkinetic children.</x:v>
      </x:c>
      <x:c r="E51" s="28" t="str">
        <x:v>Primary/contextual journal article</x:v>
      </x:c>
      <x:c r="F51" s="28" t="str">
        <x:v>Development &amp; presentation; Recognition &amp; diagnosis</x:v>
      </x:c>
      <x:c r="G51" s="28" t="str">
        <x:v>Childhood; Adolescence</x:v>
      </x:c>
      <x:c r="H51" s="28" t="str">
        <x:v>Later specialized</x:v>
      </x:c>
      <x:c r="I51" s="28" t="str">
        <x:v>Direct or strongly ADHD-related record retained for later screening; typically narrower treatment, biomarker, mechanistic, or single-comorbidity focus.</x:v>
      </x:c>
      <x:c r="J51" s="38" t="e">
        <x:f>HYPERLINK("https://pubmed.ncbi.nlm.nih.gov/"&amp;C51&amp;"/","Open PubMed")</x:f>
        <x:v>HYPERLINK is not implemented. linkLocation=https://pubmed.ncbi.nlm.nih.gov/2223924/, friendlyName=Open PubMed</x:v>
      </x:c>
    </x:row>
    <x:row r="52">
      <x:c r="A52" s="26" t="str">
        <x:v>PUBMED-2074343</x:v>
      </x:c>
      <x:c r="B52" s="26" t="n">
        <x:v>1990</x:v>
      </x:c>
      <x:c r="C52" s="26" t="str">
        <x:v>2074343</x:v>
      </x:c>
      <x:c r="D52" s="28" t="str">
        <x:v>Intellectual, academic, and adaptive functioning of Tourette syndrome children with and without attention deficit disorder.</x:v>
      </x:c>
      <x:c r="E52" s="28" t="str">
        <x:v>Primary/contextual journal article</x:v>
      </x:c>
      <x:c r="F52" s="28" t="str">
        <x:v>Development &amp; presentation; Family &amp; education; Social &amp; structural; Treatment &amp; support; Life outcomes &amp; lived experience</x:v>
      </x:c>
      <x:c r="G52" s="28" t="str">
        <x:v>Childhood; Adolescence</x:v>
      </x:c>
      <x:c r="H52" s="28" t="str">
        <x:v>Batch 1 core</x:v>
      </x:c>
      <x:c r="I52" s="28" t="str">
        <x:v>Direct historical-period ADHD/hyperkinesis/minimal-brain-dysfunction focus with human relevance.</x:v>
      </x:c>
      <x:c r="J52" s="38" t="e">
        <x:f>HYPERLINK("https://pubmed.ncbi.nlm.nih.gov/"&amp;C52&amp;"/","Open PubMed")</x:f>
        <x:v>HYPERLINK is not implemented. linkLocation=https://pubmed.ncbi.nlm.nih.gov/2074343/, friendlyName=Open PubMed</x:v>
      </x:c>
    </x:row>
    <x:row r="53">
      <x:c r="A53" s="26" t="str">
        <x:v>PUBMED-2179923</x:v>
      </x:c>
      <x:c r="B53" s="26" t="n">
        <x:v>1990</x:v>
      </x:c>
      <x:c r="C53" s="26" t="str">
        <x:v>2179923</x:v>
      </x:c>
      <x:c r="D53" s="28" t="str">
        <x:v>Sleep disturbances in child and adolescent psychiatric disorders.</x:v>
      </x:c>
      <x:c r="E53" s="28" t="str">
        <x:v>Evidence synthesis - review</x:v>
      </x:c>
      <x:c r="F53" s="28" t="str">
        <x:v>Development &amp; presentation; Social &amp; structural; Environmental &amp; lifestyle</x:v>
      </x:c>
      <x:c r="G53" s="28" t="str">
        <x:v>Childhood; Adolescence; Adulthood</x:v>
      </x:c>
      <x:c r="H53" s="28" t="str">
        <x:v>Later specialized</x:v>
      </x:c>
      <x:c r="I53" s="28" t="str">
        <x:v>Direct or strongly ADHD-related record retained for later screening; typically narrower treatment, biomarker, mechanistic, or single-comorbidity focus.</x:v>
      </x:c>
      <x:c r="J53" s="38" t="e">
        <x:f>HYPERLINK("https://pubmed.ncbi.nlm.nih.gov/"&amp;C53&amp;"/","Open PubMed")</x:f>
        <x:v>HYPERLINK is not implemented. linkLocation=https://pubmed.ncbi.nlm.nih.gov/2179923/, friendlyName=Open PubMed</x:v>
      </x:c>
    </x:row>
    <x:row r="54">
      <x:c r="A54" s="26" t="str">
        <x:v>PUBMED-2248370</x:v>
      </x:c>
      <x:c r="B54" s="26" t="n">
        <x:v>1990</x:v>
      </x:c>
      <x:c r="C54" s="26" t="str">
        <x:v>2248370</x:v>
      </x:c>
      <x:c r="D54" s="28" t="str">
        <x:v>Children from disrupted and adoptive homes on an inpatient unit.</x:v>
      </x:c>
      <x:c r="E54" s="28" t="str">
        <x:v>Primary/contextual journal article</x:v>
      </x:c>
      <x:c r="F54" s="28" t="str">
        <x:v>Development &amp; presentation; Recognition &amp; diagnosis; Family &amp; education; Social &amp; structural; Treatment &amp; support</x:v>
      </x:c>
      <x:c r="G54" s="28" t="str">
        <x:v>Childhood; Adolescence</x:v>
      </x:c>
      <x:c r="H54" s="28" t="str">
        <x:v>Exclude/incidental</x:v>
      </x:c>
      <x:c r="I54" s="28" t="str">
        <x:v>ADHD appears peripheral or insufficiently aligned with the requested corpus scope based on accessible metadata/abstract.</x:v>
      </x:c>
      <x:c r="J54" s="38" t="e">
        <x:f>HYPERLINK("https://pubmed.ncbi.nlm.nih.gov/"&amp;C54&amp;"/","Open PubMed")</x:f>
        <x:v>HYPERLINK is not implemented. linkLocation=https://pubmed.ncbi.nlm.nih.gov/2248370/, friendlyName=Open PubMed</x:v>
      </x:c>
    </x:row>
    <x:row r="55">
      <x:c r="A55" s="26" t="str">
        <x:v>PUBMED-2213491</x:v>
      </x:c>
      <x:c r="B55" s="26" t="n">
        <x:v>1990</x:v>
      </x:c>
      <x:c r="C55" s="26" t="str">
        <x:v>2213491</x:v>
      </x:c>
      <x:c r="D55" s="28" t="str">
        <x:v>Gender and social structure in the demand/withdraw pattern of marital conflict.</x:v>
      </x:c>
      <x:c r="E55" s="28" t="str">
        <x:v>Primary/contextual journal article</x:v>
      </x:c>
      <x:c r="F55" s="28" t="str">
        <x:v>Development &amp; presentation; Social &amp; structural; Treatment &amp; support; Life outcomes &amp; lived experience</x:v>
      </x:c>
      <x:c r="G55" s="28" t="str">
        <x:v>Childhood; Adulthood</x:v>
      </x:c>
      <x:c r="H55" s="28" t="str">
        <x:v>Exclude/incidental</x:v>
      </x:c>
      <x:c r="I55" s="28" t="str">
        <x:v>ADHD appears peripheral or insufficiently aligned with the requested corpus scope based on accessible metadata/abstract.</x:v>
      </x:c>
      <x:c r="J55" s="38" t="e">
        <x:f>HYPERLINK("https://pubmed.ncbi.nlm.nih.gov/"&amp;C55&amp;"/","Open PubMed")</x:f>
        <x:v>HYPERLINK is not implemented. linkLocation=https://pubmed.ncbi.nlm.nih.gov/2213491/, friendlyName=Open PubMed</x:v>
      </x:c>
    </x:row>
    <x:row r="56">
      <x:c r="A56" s="26" t="str">
        <x:v>PUBMED-2243904</x:v>
      </x:c>
      <x:c r="B56" s="26" t="n">
        <x:v>1990</x:v>
      </x:c>
      <x:c r="C56" s="26" t="str">
        <x:v>2243904</x:v>
      </x:c>
      <x:c r="D56" s="28" t="str">
        <x:v>Plasma amino acids in attention deficit disorder.</x:v>
      </x:c>
      <x:c r="E56" s="28" t="str">
        <x:v>Primary/contextual journal article</x:v>
      </x:c>
      <x:c r="F56" s="28" t="str">
        <x:v>Development &amp; presentation; Recognition &amp; diagnosis</x:v>
      </x:c>
      <x:c r="G56" s="28" t="str">
        <x:v>Childhood</x:v>
      </x:c>
      <x:c r="H56" s="28" t="str">
        <x:v>Later specialized</x:v>
      </x:c>
      <x:c r="I56" s="28" t="str">
        <x:v>Direct or strongly ADHD-related record retained for later screening; typically narrower treatment, biomarker, mechanistic, or single-comorbidity focus.</x:v>
      </x:c>
      <x:c r="J56" s="38" t="e">
        <x:f>HYPERLINK("https://pubmed.ncbi.nlm.nih.gov/"&amp;C56&amp;"/","Open PubMed")</x:f>
        <x:v>HYPERLINK is not implemented. linkLocation=https://pubmed.ncbi.nlm.nih.gov/2243904/, friendlyName=Open PubMed</x:v>
      </x:c>
    </x:row>
    <x:row r="57">
      <x:c r="A57" s="26" t="str">
        <x:v>PUBMED-2258453</x:v>
      </x:c>
      <x:c r="B57" s="26" t="n">
        <x:v>1990</x:v>
      </x:c>
      <x:c r="C57" s="26" t="str">
        <x:v>2258453</x:v>
      </x:c>
      <x:c r="D57" s="28" t="str">
        <x:v>Possible influence of carbamazepine on plasma imipramine concentrations in children with attention deficit hyperactivity disorder.</x:v>
      </x:c>
      <x:c r="E57" s="28" t="str">
        <x:v>Primary study - clinical trial</x:v>
      </x:c>
      <x:c r="F57" s="28" t="str">
        <x:v>Development &amp; presentation; Family &amp; education; Social &amp; structural; Treatment &amp; support</x:v>
      </x:c>
      <x:c r="G57" s="28" t="str">
        <x:v>Childhood; Adolescence</x:v>
      </x:c>
      <x:c r="H57" s="28" t="str">
        <x:v>Batch 1 core</x:v>
      </x:c>
      <x:c r="I57" s="28" t="str">
        <x:v>Direct historical-period ADHD/hyperkinesis/minimal-brain-dysfunction focus with human relevance.</x:v>
      </x:c>
      <x:c r="J57" s="38" t="e">
        <x:f>HYPERLINK("https://pubmed.ncbi.nlm.nih.gov/"&amp;C57&amp;"/","Open PubMed")</x:f>
        <x:v>HYPERLINK is not implemented. linkLocation=https://pubmed.ncbi.nlm.nih.gov/2258453/, friendlyName=Open PubMed</x:v>
      </x:c>
    </x:row>
    <x:row r="58">
      <x:c r="A58" s="26" t="str">
        <x:v>PUBMED-2228919</x:v>
      </x:c>
      <x:c r="B58" s="26" t="n">
        <x:v>1990</x:v>
      </x:c>
      <x:c r="C58" s="26" t="str">
        <x:v>2228919</x:v>
      </x:c>
      <x:c r="D58" s="28" t="str">
        <x:v>Treatment of attentional and hyperactivity problems in children with sympathomimetic drugs: a comprehensive review.</x:v>
      </x:c>
      <x:c r="E58" s="28" t="str">
        <x:v>Evidence synthesis - review</x:v>
      </x:c>
      <x:c r="F58" s="28" t="str">
        <x:v>Development &amp; presentation; Recognition &amp; diagnosis; Family &amp; education; Social &amp; structural; Treatment &amp; support; Life outcomes &amp; lived experience</x:v>
      </x:c>
      <x:c r="G58" s="28" t="str">
        <x:v>Childhood; Adolescence</x:v>
      </x:c>
      <x:c r="H58" s="28" t="str">
        <x:v>Later specialized</x:v>
      </x:c>
      <x:c r="I58" s="28" t="str">
        <x:v>Direct or strongly ADHD-related record retained for later screening; typically narrower treatment, biomarker, mechanistic, or single-comorbidity focus.</x:v>
      </x:c>
      <x:c r="J58" s="38" t="e">
        <x:f>HYPERLINK("https://pubmed.ncbi.nlm.nih.gov/"&amp;C58&amp;"/","Open PubMed")</x:f>
        <x:v>HYPERLINK is not implemented. linkLocation=https://pubmed.ncbi.nlm.nih.gov/2228919/, friendlyName=Open PubMed</x:v>
      </x:c>
    </x:row>
    <x:row r="59">
      <x:c r="A59" s="26" t="str">
        <x:v>PUBMED-2246340</x:v>
      </x:c>
      <x:c r="B59" s="26" t="n">
        <x:v>1990</x:v>
      </x:c>
      <x:c r="C59" s="26" t="str">
        <x:v>2246340</x:v>
      </x:c>
      <x:c r="D59" s="28" t="str">
        <x:v>Preschool behavior problems: stability and factors accounting for change.</x:v>
      </x:c>
      <x:c r="E59" s="28" t="str">
        <x:v>Primary/contextual journal article</x:v>
      </x:c>
      <x:c r="F59" s="28" t="str">
        <x:v>Development &amp; presentation; Recognition &amp; diagnosis; Family &amp; education; Social &amp; structural; Environmental &amp; lifestyle; Life outcomes &amp; lived experience</x:v>
      </x:c>
      <x:c r="G59" s="28" t="str">
        <x:v>Childhood</x:v>
      </x:c>
      <x:c r="H59" s="28" t="str">
        <x:v>Exclude/incidental</x:v>
      </x:c>
      <x:c r="I59" s="28" t="str">
        <x:v>ADHD appears peripheral or insufficiently aligned with the requested corpus scope based on accessible metadata/abstract.</x:v>
      </x:c>
      <x:c r="J59" s="38" t="e">
        <x:f>HYPERLINK("https://pubmed.ncbi.nlm.nih.gov/"&amp;C59&amp;"/","Open PubMed")</x:f>
        <x:v>HYPERLINK is not implemented. linkLocation=https://pubmed.ncbi.nlm.nih.gov/2246340/, friendlyName=Open PubMed</x:v>
      </x:c>
    </x:row>
    <x:row r="60">
      <x:c r="A60" s="26" t="str">
        <x:v>PUBMED-2265952</x:v>
      </x:c>
      <x:c r="B60" s="26" t="n">
        <x:v>1990</x:v>
      </x:c>
      <x:c r="C60" s="26" t="str">
        <x:v>2265952</x:v>
      </x:c>
      <x:c r="D60" s="28" t="str">
        <x:v>Hypnopolygraphic alterations in Attention Deficit Disorder (ADD) children.</x:v>
      </x:c>
      <x:c r="E60" s="28" t="str">
        <x:v>Primary/contextual journal article</x:v>
      </x:c>
      <x:c r="F60" s="28" t="str">
        <x:v>Development &amp; presentation; Recognition &amp; diagnosis; Family &amp; education; Social &amp; structural; Environmental &amp; lifestyle; Treatment &amp; support</x:v>
      </x:c>
      <x:c r="G60" s="28" t="str">
        <x:v>Childhood</x:v>
      </x:c>
      <x:c r="H60" s="28" t="str">
        <x:v>Later specialized</x:v>
      </x:c>
      <x:c r="I60" s="28" t="str">
        <x:v>Direct or strongly ADHD-related record retained for later screening; typically narrower treatment, biomarker, mechanistic, or single-comorbidity focus.</x:v>
      </x:c>
      <x:c r="J60" s="38" t="e">
        <x:f>HYPERLINK("https://pubmed.ncbi.nlm.nih.gov/"&amp;C60&amp;"/","Open PubMed")</x:f>
        <x:v>HYPERLINK is not implemented. linkLocation=https://pubmed.ncbi.nlm.nih.gov/2265952/, friendlyName=Open PubMed</x:v>
      </x:c>
    </x:row>
    <x:row r="61">
      <x:c r="A61" s="26" t="str">
        <x:v>PUBMED-2195981</x:v>
      </x:c>
      <x:c r="B61" s="26" t="n">
        <x:v>1990</x:v>
      </x:c>
      <x:c r="C61" s="26" t="str">
        <x:v>2195981</x:v>
      </x:c>
      <x:c r="D61" s="28" t="str">
        <x:v>Direct duplication 16q11.1----16q13 is not associated with a typical dysmorphic syndrome.</x:v>
      </x:c>
      <x:c r="E61" s="28" t="str">
        <x:v>Evidence synthesis - review</x:v>
      </x:c>
      <x:c r="F61" s="28" t="str">
        <x:v>Development &amp; presentation; Family &amp; education; Social &amp; structural</x:v>
      </x:c>
      <x:c r="G61" s="28" t="str">
        <x:v>Childhood</x:v>
      </x:c>
      <x:c r="H61" s="28" t="str">
        <x:v>Exclude/incidental</x:v>
      </x:c>
      <x:c r="I61" s="28" t="str">
        <x:v>ADHD appears peripheral or insufficiently aligned with the requested corpus scope based on accessible metadata/abstract.</x:v>
      </x:c>
      <x:c r="J61" s="38" t="e">
        <x:f>HYPERLINK("https://pubmed.ncbi.nlm.nih.gov/"&amp;C61&amp;"/","Open PubMed")</x:f>
        <x:v>HYPERLINK is not implemented. linkLocation=https://pubmed.ncbi.nlm.nih.gov/2195981/, friendlyName=Open PubMed</x:v>
      </x:c>
    </x:row>
    <x:row r="62">
      <x:c r="A62" s="26" t="str">
        <x:v>PUBMED-2324400</x:v>
      </x:c>
      <x:c r="B62" s="26" t="n">
        <x:v>1990</x:v>
      </x:c>
      <x:c r="C62" s="26" t="str">
        <x:v>2324400</x:v>
      </x:c>
      <x:c r="D62" s="28" t="str">
        <x:v>Comorbidity of ADHD and reading disability among clinic-referred children.</x:v>
      </x:c>
      <x:c r="E62" s="28" t="str">
        <x:v>Primary/contextual journal article</x:v>
      </x:c>
      <x:c r="F62" s="28" t="str">
        <x:v>Development &amp; presentation; Recognition &amp; diagnosis; Social &amp; structural</x:v>
      </x:c>
      <x:c r="G62" s="28" t="str">
        <x:v>Childhood; Adolescence</x:v>
      </x:c>
      <x:c r="H62" s="28" t="str">
        <x:v>Later specialized</x:v>
      </x:c>
      <x:c r="I62" s="28" t="str">
        <x:v>Direct or strongly ADHD-related record retained for later screening; typically narrower treatment, biomarker, mechanistic, or single-comorbidity focus.</x:v>
      </x:c>
      <x:c r="J62" s="38" t="e">
        <x:f>HYPERLINK("https://pubmed.ncbi.nlm.nih.gov/"&amp;C62&amp;"/","Open PubMed")</x:f>
        <x:v>HYPERLINK is not implemented. linkLocation=https://pubmed.ncbi.nlm.nih.gov/2324400/, friendlyName=Open PubMed</x:v>
      </x:c>
    </x:row>
    <x:row r="63">
      <x:c r="A63" s="26" t="str">
        <x:v>PUBMED-2303740</x:v>
      </x:c>
      <x:c r="B63" s="26" t="n">
        <x:v>1990</x:v>
      </x:c>
      <x:c r="C63" s="26" t="str">
        <x:v>2303740</x:v>
      </x:c>
      <x:c r="D63" s="28" t="str">
        <x:v>Sustained and selective attention in children with learning disabilities.</x:v>
      </x:c>
      <x:c r="E63" s="28" t="str">
        <x:v>Primary/contextual journal article</x:v>
      </x:c>
      <x:c r="F63" s="28" t="str">
        <x:v>Development &amp; presentation; Family &amp; education</x:v>
      </x:c>
      <x:c r="G63" s="28" t="str">
        <x:v>Childhood; Adolescence</x:v>
      </x:c>
      <x:c r="H63" s="28" t="str">
        <x:v>Later specialized</x:v>
      </x:c>
      <x:c r="I63" s="28" t="str">
        <x:v>Direct or strongly ADHD-related record retained for later screening; typically narrower treatment, biomarker, mechanistic, or single-comorbidity focus.</x:v>
      </x:c>
      <x:c r="J63" s="38" t="e">
        <x:f>HYPERLINK("https://pubmed.ncbi.nlm.nih.gov/"&amp;C63&amp;"/","Open PubMed")</x:f>
        <x:v>HYPERLINK is not implemented. linkLocation=https://pubmed.ncbi.nlm.nih.gov/2303740/, friendlyName=Open PubMed</x:v>
      </x:c>
    </x:row>
    <x:row r="64">
      <x:c r="A64" s="26" t="str">
        <x:v>PUBMED-2107369</x:v>
      </x:c>
      <x:c r="B64" s="26" t="n">
        <x:v>1990</x:v>
      </x:c>
      <x:c r="C64" s="26" t="str">
        <x:v>2107369</x:v>
      </x:c>
      <x:c r="D64" s="28" t="str">
        <x:v>GRF-induced GH response in attention-deficit hyperactivity disorder.</x:v>
      </x:c>
      <x:c r="E64" s="28" t="str">
        <x:v>Primary/contextual journal article</x:v>
      </x:c>
      <x:c r="F64" s="28" t="str">
        <x:v>Development &amp; presentation; Recognition &amp; diagnosis; Family &amp; education; Social &amp; structural; Treatment &amp; support; Life outcomes &amp; lived experience</x:v>
      </x:c>
      <x:c r="G64" s="28" t="str">
        <x:v>Childhood</x:v>
      </x:c>
      <x:c r="H64" s="28" t="str">
        <x:v>Later specialized</x:v>
      </x:c>
      <x:c r="I64" s="28" t="str">
        <x:v>Direct or strongly ADHD-related record retained for later screening; typically narrower treatment, biomarker, mechanistic, or single-comorbidity focus.</x:v>
      </x:c>
      <x:c r="J64" s="38" t="e">
        <x:f>HYPERLINK("https://pubmed.ncbi.nlm.nih.gov/"&amp;C64&amp;"/","Open PubMed")</x:f>
        <x:v>HYPERLINK is not implemented. linkLocation=https://pubmed.ncbi.nlm.nih.gov/2107369/, friendlyName=Open PubMed</x:v>
      </x:c>
    </x:row>
    <x:row r="65">
      <x:c r="A65" s="26" t="str">
        <x:v>PUBMED-2365764</x:v>
      </x:c>
      <x:c r="B65" s="26" t="n">
        <x:v>1990</x:v>
      </x:c>
      <x:c r="C65" s="26" t="str">
        <x:v>2365764</x:v>
      </x:c>
      <x:c r="D65" s="28" t="str">
        <x:v>Family factors associated with aggressive symptomatology in boys with attention deficit hyperactivity disorder: a research note.</x:v>
      </x:c>
      <x:c r="E65" s="28" t="str">
        <x:v>Primary/contextual journal article</x:v>
      </x:c>
      <x:c r="F65" s="28" t="str">
        <x:v>Development &amp; presentation; Family &amp; education; Social &amp; structural; Environmental &amp; lifestyle; Historical &amp; contemporary context</x:v>
      </x:c>
      <x:c r="G65" s="28" t="str">
        <x:v>Childhood; Adolescence</x:v>
      </x:c>
      <x:c r="H65" s="28" t="str">
        <x:v>Batch 1 core</x:v>
      </x:c>
      <x:c r="I65" s="28" t="str">
        <x:v>Direct historical-period ADHD/hyperkinesis/minimal-brain-dysfunction focus with human relevance.</x:v>
      </x:c>
      <x:c r="J65" s="38" t="e">
        <x:f>HYPERLINK("https://pubmed.ncbi.nlm.nih.gov/"&amp;C65&amp;"/","Open PubMed")</x:f>
        <x:v>HYPERLINK is not implemented. linkLocation=https://pubmed.ncbi.nlm.nih.gov/2365764/, friendlyName=Open PubMed</x:v>
      </x:c>
    </x:row>
    <x:row r="66">
      <x:c r="A66" s="26" t="str">
        <x:v>PUBMED-1979565</x:v>
      </x:c>
      <x:c r="B66" s="26" t="n">
        <x:v>1990</x:v>
      </x:c>
      <x:c r="C66" s="26" t="str">
        <x:v>1979565</x:v>
      </x:c>
      <x:c r="D66" s="28" t="str">
        <x:v>Stimulants for ADHD in child patients with Tourette's syndrome: the issue of relative risk.</x:v>
      </x:c>
      <x:c r="E66" s="28" t="str">
        <x:v>Evidence synthesis - review</x:v>
      </x:c>
      <x:c r="F66" s="28" t="str">
        <x:v>Development &amp; presentation; Treatment &amp; support</x:v>
      </x:c>
      <x:c r="G66" s="28" t="str">
        <x:v>Childhood</x:v>
      </x:c>
      <x:c r="H66" s="28" t="str">
        <x:v>Batch 1 core</x:v>
      </x:c>
      <x:c r="I66" s="28" t="str">
        <x:v>Direct historical-period ADHD/hyperkinesis/minimal-brain-dysfunction focus with human relevance.</x:v>
      </x:c>
      <x:c r="J66" s="38" t="e">
        <x:f>HYPERLINK("https://pubmed.ncbi.nlm.nih.gov/"&amp;C66&amp;"/","Open PubMed")</x:f>
        <x:v>HYPERLINK is not implemented. linkLocation=https://pubmed.ncbi.nlm.nih.gov/1979565/, friendlyName=Open PubMed</x:v>
      </x:c>
    </x:row>
    <x:row r="67">
      <x:c r="A67" s="26" t="str">
        <x:v>PUBMED-2228922</x:v>
      </x:c>
      <x:c r="B67" s="26" t="n">
        <x:v>1990</x:v>
      </x:c>
      <x:c r="C67" s="26" t="str">
        <x:v>2228922</x:v>
      </x:c>
      <x:c r="D67" s="28" t="str">
        <x:v>Clinical effects of a controlled trial of methylphenidate on adolescents with attention deficit disorder.</x:v>
      </x:c>
      <x:c r="E67" s="28" t="str">
        <x:v>Primary study - clinical trial</x:v>
      </x:c>
      <x:c r="F67" s="28" t="str">
        <x:v>Development &amp; presentation; Recognition &amp; diagnosis; Family &amp; education; Social &amp; structural; Treatment &amp; support</x:v>
      </x:c>
      <x:c r="G67" s="28" t="str">
        <x:v>Adolescence</x:v>
      </x:c>
      <x:c r="H67" s="28" t="str">
        <x:v>Batch 1 core</x:v>
      </x:c>
      <x:c r="I67" s="28" t="str">
        <x:v>Direct historical-period ADHD/hyperkinesis/minimal-brain-dysfunction focus with human relevance.</x:v>
      </x:c>
      <x:c r="J67" s="38" t="e">
        <x:f>HYPERLINK("https://pubmed.ncbi.nlm.nih.gov/"&amp;C67&amp;"/","Open PubMed")</x:f>
        <x:v>HYPERLINK is not implemented. linkLocation=https://pubmed.ncbi.nlm.nih.gov/2228922/, friendlyName=Open PubMed</x:v>
      </x:c>
    </x:row>
    <x:row r="68">
      <x:c r="A68" s="26" t="str">
        <x:v>PUBMED-2387790</x:v>
      </x:c>
      <x:c r="B68" s="26" t="n">
        <x:v>1990</x:v>
      </x:c>
      <x:c r="C68" s="26" t="str">
        <x:v>2387790</x:v>
      </x:c>
      <x:c r="D68" s="28" t="str">
        <x:v>Maternal characteristics and perceptions of pervasive and situational hyperactives and normal controls.</x:v>
      </x:c>
      <x:c r="E68" s="28" t="str">
        <x:v>Primary/contextual journal article</x:v>
      </x:c>
      <x:c r="F68" s="28" t="str">
        <x:v>Development &amp; presentation; Family &amp; education; Social &amp; structural; Environmental &amp; lifestyle; Treatment &amp; support; Life outcomes &amp; lived experience</x:v>
      </x:c>
      <x:c r="G68" s="28" t="str">
        <x:v>Childhood</x:v>
      </x:c>
      <x:c r="H68" s="28" t="str">
        <x:v>Later specialized</x:v>
      </x:c>
      <x:c r="I68" s="28" t="str">
        <x:v>Direct or strongly ADHD-related record retained for later screening; typically narrower treatment, biomarker, mechanistic, or single-comorbidity focus.</x:v>
      </x:c>
      <x:c r="J68" s="38" t="e">
        <x:f>HYPERLINK("https://pubmed.ncbi.nlm.nih.gov/"&amp;C68&amp;"/","Open PubMed")</x:f>
        <x:v>HYPERLINK is not implemented. linkLocation=https://pubmed.ncbi.nlm.nih.gov/2387790/, friendlyName=Open PubMed</x:v>
      </x:c>
    </x:row>
    <x:row r="69">
      <x:c r="A69" s="26" t="str">
        <x:v>PUBMED-1979139</x:v>
      </x:c>
      <x:c r="B69" s="26" t="n">
        <x:v>1990</x:v>
      </x:c>
      <x:c r="C69" s="26" t="str">
        <x:v>1979139</x:v>
      </x:c>
      <x:c r="D69" s="28" t="str">
        <x:v>[Nutrition and behavior in pediatrics].</x:v>
      </x:c>
      <x:c r="E69" s="28" t="str">
        <x:v>Primary/contextual journal article</x:v>
      </x:c>
      <x:c r="F69" s="28" t="str">
        <x:v>Development &amp; presentation; Social &amp; structural; Environmental &amp; lifestyle</x:v>
      </x:c>
      <x:c r="G69" s="28" t="str">
        <x:v>Childhood</x:v>
      </x:c>
      <x:c r="H69" s="28" t="str">
        <x:v>Exclude/incidental</x:v>
      </x:c>
      <x:c r="I69" s="28" t="str">
        <x:v>ADHD appears peripheral or insufficiently aligned with the requested corpus scope based on accessible metadata/abstract.</x:v>
      </x:c>
      <x:c r="J69" s="38" t="e">
        <x:f>HYPERLINK("https://pubmed.ncbi.nlm.nih.gov/"&amp;C69&amp;"/","Open PubMed")</x:f>
        <x:v>HYPERLINK is not implemented. linkLocation=https://pubmed.ncbi.nlm.nih.gov/1979139/, friendlyName=Open PubMed</x:v>
      </x:c>
    </x:row>
    <x:row r="70">
      <x:c r="A70" s="26" t="str">
        <x:v>PUBMED-2228946</x:v>
      </x:c>
      <x:c r="B70" s="26" t="n">
        <x:v>1990</x:v>
      </x:c>
      <x:c r="C70" s="26" t="str">
        <x:v>2228946</x:v>
      </x:c>
      <x:c r="D70" s="28" t="str">
        <x:v>Pharmacotherapy of aggression.</x:v>
      </x:c>
      <x:c r="E70" s="28" t="str">
        <x:v>Contextual - editorial/comment</x:v>
      </x:c>
      <x:c r="F70" s="28" t="str">
        <x:v>Development &amp; presentation; Recognition &amp; diagnosis; Treatment &amp; support</x:v>
      </x:c>
      <x:c r="G70" s="28" t="str">
        <x:v>Childhood; Adolescence</x:v>
      </x:c>
      <x:c r="H70" s="28" t="str">
        <x:v>Exclude/incidental</x:v>
      </x:c>
      <x:c r="I70" s="28" t="str">
        <x:v>ADHD appears peripheral or insufficiently aligned with the requested corpus scope based on accessible metadata/abstract.</x:v>
      </x:c>
      <x:c r="J70" s="38" t="e">
        <x:f>HYPERLINK("https://pubmed.ncbi.nlm.nih.gov/"&amp;C70&amp;"/","Open PubMed")</x:f>
        <x:v>HYPERLINK is not implemented. linkLocation=https://pubmed.ncbi.nlm.nih.gov/2228946/, friendlyName=Open PubMed</x:v>
      </x:c>
    </x:row>
    <x:row r="71">
      <x:c r="A71" s="26" t="str">
        <x:v>PUBMED-2217661</x:v>
      </x:c>
      <x:c r="B71" s="26" t="n">
        <x:v>1990</x:v>
      </x:c>
      <x:c r="C71" s="26" t="str">
        <x:v>2217661</x:v>
      </x:c>
      <x:c r="D71" s="28" t="str">
        <x:v>Motor/vocal tics and compulsive behaviors on stimulant drugs: is there a common vulnerability?</x:v>
      </x:c>
      <x:c r="E71" s="28" t="str">
        <x:v>Primary study - randomized controlled trial</x:v>
      </x:c>
      <x:c r="F71" s="28" t="str">
        <x:v>Development &amp; presentation; Social &amp; structural; Treatment &amp; support</x:v>
      </x:c>
      <x:c r="G71" s="28" t="str">
        <x:v>Childhood</x:v>
      </x:c>
      <x:c r="H71" s="28" t="str">
        <x:v>Exclude/incidental</x:v>
      </x:c>
      <x:c r="I71" s="28" t="str">
        <x:v>ADHD appears peripheral or insufficiently aligned with the requested corpus scope based on accessible metadata/abstract.</x:v>
      </x:c>
      <x:c r="J71" s="38" t="e">
        <x:f>HYPERLINK("https://pubmed.ncbi.nlm.nih.gov/"&amp;C71&amp;"/","Open PubMed")</x:f>
        <x:v>HYPERLINK is not implemented. linkLocation=https://pubmed.ncbi.nlm.nih.gov/2217661/, friendlyName=Open PubMed</x:v>
      </x:c>
    </x:row>
    <x:row r="72">
      <x:c r="A72" s="26" t="str">
        <x:v>PUBMED-2306907</x:v>
      </x:c>
      <x:c r="B72" s="26" t="n">
        <x:v>1990</x:v>
      </x:c>
      <x:c r="C72" s="26" t="str">
        <x:v>2306907</x:v>
      </x:c>
      <x:c r="D72" s="28" t="str">
        <x:v>Should educators accept medical jargon?</x:v>
      </x:c>
      <x:c r="E72" s="28" t="str">
        <x:v>Contextual - editorial/comment</x:v>
      </x:c>
      <x:c r="F72" s="28" t="str">
        <x:v>Development &amp; presentation; Family &amp; education</x:v>
      </x:c>
      <x:c r="G72" s="28" t="str">
        <x:v>Not specified</x:v>
      </x:c>
      <x:c r="H72" s="28" t="str">
        <x:v>Exclude/incidental</x:v>
      </x:c>
      <x:c r="I72" s="28" t="str">
        <x:v>ADHD appears peripheral or insufficiently aligned with the requested corpus scope based on accessible metadata/abstract.</x:v>
      </x:c>
      <x:c r="J72" s="38" t="e">
        <x:f>HYPERLINK("https://pubmed.ncbi.nlm.nih.gov/"&amp;C72&amp;"/","Open PubMed")</x:f>
        <x:v>HYPERLINK is not implemented. linkLocation=https://pubmed.ncbi.nlm.nih.gov/2306907/, friendlyName=Open PubMed</x:v>
      </x:c>
    </x:row>
    <x:row r="73">
      <x:c r="A73" s="26" t="str">
        <x:v>PUBMED-2236465</x:v>
      </x:c>
      <x:c r="B73" s="26" t="n">
        <x:v>1990</x:v>
      </x:c>
      <x:c r="C73" s="26" t="str">
        <x:v>2236465</x:v>
      </x:c>
      <x:c r="D73" s="28" t="str">
        <x:v>S-adenosyl-L-methionine (SAM) in adults with ADHD, RS: preliminary results from an open trial.</x:v>
      </x:c>
      <x:c r="E73" s="28" t="str">
        <x:v>Primary/contextual journal article</x:v>
      </x:c>
      <x:c r="F73" s="28" t="str">
        <x:v>Development &amp; presentation; Recognition &amp; diagnosis; Social &amp; structural; Treatment &amp; support; Life outcomes &amp; lived experience</x:v>
      </x:c>
      <x:c r="G73" s="28" t="str">
        <x:v>Childhood; Adolescence; Adulthood</x:v>
      </x:c>
      <x:c r="H73" s="28" t="str">
        <x:v>Later specialized</x:v>
      </x:c>
      <x:c r="I73" s="28" t="str">
        <x:v>Direct or strongly ADHD-related record retained for later screening; typically narrower treatment, biomarker, mechanistic, or single-comorbidity focus.</x:v>
      </x:c>
      <x:c r="J73" s="38" t="e">
        <x:f>HYPERLINK("https://pubmed.ncbi.nlm.nih.gov/"&amp;C73&amp;"/","Open PubMed")</x:f>
        <x:v>HYPERLINK is not implemented. linkLocation=https://pubmed.ncbi.nlm.nih.gov/2236465/, friendlyName=Open PubMed</x:v>
      </x:c>
    </x:row>
    <x:row r="74">
      <x:c r="A74" s="26" t="str">
        <x:v>PUBMED-2235277</x:v>
      </x:c>
      <x:c r="B74" s="26" t="n">
        <x:v>1990</x:v>
      </x:c>
      <x:c r="C74" s="26" t="str">
        <x:v>2235277</x:v>
      </x:c>
      <x:c r="D74" s="28" t="str">
        <x:v>The diagnostic value of cerebellar-vestibular tests in detecting learning disabilities, dyslexia, and attention deficit disorder.</x:v>
      </x:c>
      <x:c r="E74" s="28" t="str">
        <x:v>Primary/contextual journal article</x:v>
      </x:c>
      <x:c r="F74" s="28" t="str">
        <x:v>Development &amp; presentation; Recognition &amp; diagnosis; Family &amp; education; Life outcomes &amp; lived experience</x:v>
      </x:c>
      <x:c r="G74" s="28" t="str">
        <x:v>Adolescence</x:v>
      </x:c>
      <x:c r="H74" s="28" t="str">
        <x:v>Batch 1 core</x:v>
      </x:c>
      <x:c r="I74" s="28" t="str">
        <x:v>Direct historical-period ADHD/hyperkinesis/minimal-brain-dysfunction focus with human relevance.</x:v>
      </x:c>
      <x:c r="J74" s="38" t="e">
        <x:f>HYPERLINK("https://pubmed.ncbi.nlm.nih.gov/"&amp;C74&amp;"/","Open PubMed")</x:f>
        <x:v>HYPERLINK is not implemented. linkLocation=https://pubmed.ncbi.nlm.nih.gov/2235277/, friendlyName=Open PubMed</x:v>
      </x:c>
    </x:row>
    <x:row r="75">
      <x:c r="A75" s="26" t="str">
        <x:v>PUBMED-2266220</x:v>
      </x:c>
      <x:c r="B75" s="26" t="n">
        <x:v>1990</x:v>
      </x:c>
      <x:c r="C75" s="26" t="str">
        <x:v>2266220</x:v>
      </x:c>
      <x:c r="D75" s="28" t="str">
        <x:v>The frequency and significance of additional self-reported psychiatric diagnoses in children with attention deficit disorder.</x:v>
      </x:c>
      <x:c r="E75" s="28" t="str">
        <x:v>Primary/contextual journal article</x:v>
      </x:c>
      <x:c r="F75" s="28" t="str">
        <x:v>Development &amp; presentation; Recognition &amp; diagnosis; Family &amp; education; Social &amp; structural; Treatment &amp; support</x:v>
      </x:c>
      <x:c r="G75" s="28" t="str">
        <x:v>Childhood; Adolescence</x:v>
      </x:c>
      <x:c r="H75" s="28" t="str">
        <x:v>Batch 1 core</x:v>
      </x:c>
      <x:c r="I75" s="28" t="str">
        <x:v>Direct historical-period ADHD/hyperkinesis/minimal-brain-dysfunction focus with human relevance.</x:v>
      </x:c>
      <x:c r="J75" s="38" t="e">
        <x:f>HYPERLINK("https://pubmed.ncbi.nlm.nih.gov/"&amp;C75&amp;"/","Open PubMed")</x:f>
        <x:v>HYPERLINK is not implemented. linkLocation=https://pubmed.ncbi.nlm.nih.gov/2266220/, friendlyName=Open PubMed</x:v>
      </x:c>
    </x:row>
    <x:row r="76">
      <x:c r="A76" s="26" t="str">
        <x:v>PUBMED-2196146</x:v>
      </x:c>
      <x:c r="B76" s="26" t="n">
        <x:v>1990</x:v>
      </x:c>
      <x:c r="C76" s="26" t="str">
        <x:v>2196146</x:v>
      </x:c>
      <x:c r="D76" s="28" t="str">
        <x:v>Stimulant drug treatment of hyperactivity: biochemical correlates.</x:v>
      </x:c>
      <x:c r="E76" s="28" t="str">
        <x:v>Primary study - randomized controlled trial</x:v>
      </x:c>
      <x:c r="F76" s="28" t="str">
        <x:v>Development &amp; presentation; Recognition &amp; diagnosis; Social &amp; structural; Treatment &amp; support</x:v>
      </x:c>
      <x:c r="G76" s="28" t="str">
        <x:v>Childhood</x:v>
      </x:c>
      <x:c r="H76" s="28" t="str">
        <x:v>Later specialized</x:v>
      </x:c>
      <x:c r="I76" s="28" t="str">
        <x:v>Direct or strongly ADHD-related record retained for later screening; typically narrower treatment, biomarker, mechanistic, or single-comorbidity focus.</x:v>
      </x:c>
      <x:c r="J76" s="38" t="e">
        <x:f>HYPERLINK("https://pubmed.ncbi.nlm.nih.gov/"&amp;C76&amp;"/","Open PubMed")</x:f>
        <x:v>HYPERLINK is not implemented. linkLocation=https://pubmed.ncbi.nlm.nih.gov/2196146/, friendlyName=Open PubMed</x:v>
      </x:c>
    </x:row>
    <x:row r="77">
      <x:c r="A77" s="26" t="str">
        <x:v>PUBMED-2233902</x:v>
      </x:c>
      <x:c r="B77" s="26" t="n">
        <x:v>1990</x:v>
      </x:c>
      <x:c r="C77" s="26" t="str">
        <x:v>2233902</x:v>
      </x:c>
      <x:c r="D77" s="28" t="str">
        <x:v>Cerebral glucose metabolism in adults with hyperactivity of childhood onset.</x:v>
      </x:c>
      <x:c r="E77" s="28" t="str">
        <x:v>Primary/contextual journal article</x:v>
      </x:c>
      <x:c r="F77" s="28" t="str">
        <x:v>Development &amp; presentation; Recognition &amp; diagnosis; Family &amp; education; Social &amp; structural; Treatment &amp; support</x:v>
      </x:c>
      <x:c r="G77" s="28" t="str">
        <x:v>Childhood; Adulthood</x:v>
      </x:c>
      <x:c r="H77" s="28" t="str">
        <x:v>Later specialized</x:v>
      </x:c>
      <x:c r="I77" s="28" t="str">
        <x:v>Direct or strongly ADHD-related record retained for later screening; typically narrower treatment, biomarker, mechanistic, or single-comorbidity focus.</x:v>
      </x:c>
      <x:c r="J77" s="38" t="e">
        <x:f>HYPERLINK("https://pubmed.ncbi.nlm.nih.gov/"&amp;C77&amp;"/","Open PubMed")</x:f>
        <x:v>HYPERLINK is not implemented. linkLocation=https://pubmed.ncbi.nlm.nih.gov/2233902/, friendlyName=Open PubMed</x:v>
      </x:c>
    </x:row>
    <x:row r="78">
      <x:c r="A78" s="26" t="str">
        <x:v>PUBMED-2318920</x:v>
      </x:c>
      <x:c r="B78" s="26" t="n">
        <x:v>1990</x:v>
      </x:c>
      <x:c r="C78" s="26" t="str">
        <x:v>2318920</x:v>
      </x:c>
      <x:c r="D78" s="28" t="str">
        <x:v>Hyperactivity and parental psychopathology.</x:v>
      </x:c>
      <x:c r="E78" s="28" t="str">
        <x:v>Primary/contextual journal article</x:v>
      </x:c>
      <x:c r="F78" s="28" t="str">
        <x:v>Development &amp; presentation; Recognition &amp; diagnosis; Family &amp; education; Social &amp; structural; Historical &amp; contemporary context</x:v>
      </x:c>
      <x:c r="G78" s="28" t="str">
        <x:v>Childhood</x:v>
      </x:c>
      <x:c r="H78" s="28" t="str">
        <x:v>Later specialized</x:v>
      </x:c>
      <x:c r="I78" s="28" t="str">
        <x:v>Direct or strongly ADHD-related record retained for later screening; typically narrower treatment, biomarker, mechanistic, or single-comorbidity focus.</x:v>
      </x:c>
      <x:c r="J78" s="38" t="e">
        <x:f>HYPERLINK("https://pubmed.ncbi.nlm.nih.gov/"&amp;C78&amp;"/","Open PubMed")</x:f>
        <x:v>HYPERLINK is not implemented. linkLocation=https://pubmed.ncbi.nlm.nih.gov/2318920/, friendlyName=Open PubMed</x:v>
      </x:c>
    </x:row>
    <x:row r="79">
      <x:c r="A79" s="26" t="str">
        <x:v>PUBMED-2387786</x:v>
      </x:c>
      <x:c r="B79" s="26" t="n">
        <x:v>1990</x:v>
      </x:c>
      <x:c r="C79" s="26" t="str">
        <x:v>2387786</x:v>
      </x:c>
      <x:c r="D79" s="28" t="str">
        <x:v>Family-genetic and psychosocial risk factors in DSM-III attention deficit disorder.</x:v>
      </x:c>
      <x:c r="E79" s="28" t="str">
        <x:v>Primary/contextual journal article</x:v>
      </x:c>
      <x:c r="F79" s="28" t="str">
        <x:v>Development &amp; presentation; Recognition &amp; diagnosis; Family &amp; education; Social &amp; structural; Environmental &amp; lifestyle</x:v>
      </x:c>
      <x:c r="G79" s="28" t="str">
        <x:v>Childhood; Adolescence</x:v>
      </x:c>
      <x:c r="H79" s="28" t="str">
        <x:v>Batch 1 core</x:v>
      </x:c>
      <x:c r="I79" s="28" t="str">
        <x:v>Direct historical-period ADHD/hyperkinesis/minimal-brain-dysfunction focus with human relevance.</x:v>
      </x:c>
      <x:c r="J79" s="38" t="e">
        <x:f>HYPERLINK("https://pubmed.ncbi.nlm.nih.gov/"&amp;C79&amp;"/","Open PubMed")</x:f>
        <x:v>HYPERLINK is not implemented. linkLocation=https://pubmed.ncbi.nlm.nih.gov/2387786/, friendlyName=Open PubMed</x:v>
      </x:c>
    </x:row>
    <x:row r="80">
      <x:c r="A80" s="26" t="str">
        <x:v>PUBMED-2221169</x:v>
      </x:c>
      <x:c r="B80" s="26" t="n">
        <x:v>1990</x:v>
      </x:c>
      <x:c r="C80" s="26" t="str">
        <x:v>2221169</x:v>
      </x:c>
      <x:c r="D80" s="28" t="str">
        <x:v>Psychiatric status of adolescents who had extreme temperaments at age 7.</x:v>
      </x:c>
      <x:c r="E80" s="28" t="str">
        <x:v>Primary/contextual journal article</x:v>
      </x:c>
      <x:c r="F80" s="28" t="str">
        <x:v>Development &amp; presentation; Recognition &amp; diagnosis; Family &amp; education; Social &amp; structural; Life outcomes &amp; lived experience</x:v>
      </x:c>
      <x:c r="G80" s="28" t="str">
        <x:v>Childhood; Adolescence</x:v>
      </x:c>
      <x:c r="H80" s="28" t="str">
        <x:v>Exclude/incidental</x:v>
      </x:c>
      <x:c r="I80" s="28" t="str">
        <x:v>ADHD appears peripheral or insufficiently aligned with the requested corpus scope based on accessible metadata/abstract.</x:v>
      </x:c>
      <x:c r="J80" s="38" t="e">
        <x:f>HYPERLINK("https://pubmed.ncbi.nlm.nih.gov/"&amp;C80&amp;"/","Open PubMed")</x:f>
        <x:v>HYPERLINK is not implemented. linkLocation=https://pubmed.ncbi.nlm.nih.gov/2221169/, friendlyName=Open PubMed</x:v>
      </x:c>
    </x:row>
    <x:row r="81">
      <x:c r="A81" s="26" t="str">
        <x:v>PUBMED-2268691</x:v>
      </x:c>
      <x:c r="B81" s="26" t="n">
        <x:v>1990</x:v>
      </x:c>
      <x:c r="C81" s="26" t="str">
        <x:v>2268691</x:v>
      </x:c>
      <x:c r="D81" s="28" t="str">
        <x:v>Ontogeny of selective attention effects on event-related potentials in attention-deficit hyperactivity disorder and normal boys.</x:v>
      </x:c>
      <x:c r="E81" s="28" t="str">
        <x:v>Primary/contextual journal article</x:v>
      </x:c>
      <x:c r="F81" s="28" t="str">
        <x:v>Development &amp; presentation; Recognition &amp; diagnosis; Social &amp; structural</x:v>
      </x:c>
      <x:c r="G81" s="28" t="str">
        <x:v>Childhood</x:v>
      </x:c>
      <x:c r="H81" s="28" t="str">
        <x:v>Later specialized</x:v>
      </x:c>
      <x:c r="I81" s="28" t="str">
        <x:v>Direct or strongly ADHD-related record retained for later screening; typically narrower treatment, biomarker, mechanistic, or single-comorbidity focus.</x:v>
      </x:c>
      <x:c r="J81" s="38" t="e">
        <x:f>HYPERLINK("https://pubmed.ncbi.nlm.nih.gov/"&amp;C81&amp;"/","Open PubMed")</x:f>
        <x:v>HYPERLINK is not implemented. linkLocation=https://pubmed.ncbi.nlm.nih.gov/2268691/, friendlyName=Open PubMed</x:v>
      </x:c>
    </x:row>
    <x:row r="82">
      <x:c r="A82" s="26" t="str">
        <x:v>PUBMED-2302145</x:v>
      </x:c>
      <x:c r="B82" s="26" t="n">
        <x:v>1990</x:v>
      </x:c>
      <x:c r="C82" s="26" t="str">
        <x:v>2302145</x:v>
      </x:c>
      <x:c r="D82" s="28" t="str">
        <x:v>The spontaneously hypertensive rat as an animal model of attention-deficit hyperactivity disorder: effects of methylphenidate on exploratory behavior.</x:v>
      </x:c>
      <x:c r="E82" s="28" t="str">
        <x:v>Primary/contextual journal article</x:v>
      </x:c>
      <x:c r="F82" s="28" t="str">
        <x:v>Development &amp; presentation; Social &amp; structural; Environmental &amp; lifestyle; Treatment &amp; support; Life outcomes &amp; lived experience</x:v>
      </x:c>
      <x:c r="G82" s="28" t="str">
        <x:v>Childhood</x:v>
      </x:c>
      <x:c r="H82" s="28" t="str">
        <x:v>Exclude/incidental</x:v>
      </x:c>
      <x:c r="I82" s="28" t="str">
        <x:v>Animal-only record; retained outside the human-focused core corpus.</x:v>
      </x:c>
      <x:c r="J82" s="38" t="e">
        <x:f>HYPERLINK("https://pubmed.ncbi.nlm.nih.gov/"&amp;C82&amp;"/","Open PubMed")</x:f>
        <x:v>HYPERLINK is not implemented. linkLocation=https://pubmed.ncbi.nlm.nih.gov/2302145/, friendlyName=Open PubMed</x:v>
      </x:c>
    </x:row>
    <x:row r="83">
      <x:c r="A83" s="26" t="str">
        <x:v>PUBMED-2132354</x:v>
      </x:c>
      <x:c r="B83" s="26" t="n">
        <x:v>1990</x:v>
      </x:c>
      <x:c r="C83" s="26" t="str">
        <x:v>2132354</x:v>
      </x:c>
      <x:c r="D83" s="28" t="str">
        <x:v>[Isolation of children with attention deficit disorder in their classrooms].</x:v>
      </x:c>
      <x:c r="E83" s="28" t="str">
        <x:v>Primary/contextual journal article</x:v>
      </x:c>
      <x:c r="F83" s="28" t="str">
        <x:v>Development &amp; presentation; Recognition &amp; diagnosis; Family &amp; education; Social &amp; structural; Life outcomes &amp; lived experience</x:v>
      </x:c>
      <x:c r="G83" s="28" t="str">
        <x:v>Childhood</x:v>
      </x:c>
      <x:c r="H83" s="28" t="str">
        <x:v>Later specialized</x:v>
      </x:c>
      <x:c r="I83" s="28" t="str">
        <x:v>Direct or strongly ADHD-related record retained for later screening; typically narrower treatment, biomarker, mechanistic, or single-comorbidity focus.</x:v>
      </x:c>
      <x:c r="J83" s="38" t="e">
        <x:f>HYPERLINK("https://pubmed.ncbi.nlm.nih.gov/"&amp;C83&amp;"/","Open PubMed")</x:f>
        <x:v>HYPERLINK is not implemented. linkLocation=https://pubmed.ncbi.nlm.nih.gov/2132354/, friendlyName=Open PubMed</x:v>
      </x:c>
    </x:row>
    <x:row r="84">
      <x:c r="A84" s="26" t="str">
        <x:v>PUBMED-2307663</x:v>
      </x:c>
      <x:c r="B84" s="26" t="n">
        <x:v>1990</x:v>
      </x:c>
      <x:c r="C84" s="26" t="str">
        <x:v>2307663</x:v>
      </x:c>
      <x:c r="D84" s="28" t="str">
        <x:v>Retrospective assessment of DSM-III attention deficit disorder in nonreferred individuals.</x:v>
      </x:c>
      <x:c r="E84" s="28" t="str">
        <x:v>Primary/contextual journal article</x:v>
      </x:c>
      <x:c r="F84" s="28" t="str">
        <x:v>Development &amp; presentation; Recognition &amp; diagnosis; Family &amp; education; Social &amp; structural</x:v>
      </x:c>
      <x:c r="G84" s="28" t="str">
        <x:v>Childhood; Adolescence; Adulthood</x:v>
      </x:c>
      <x:c r="H84" s="28" t="str">
        <x:v>Later specialized</x:v>
      </x:c>
      <x:c r="I84" s="28" t="str">
        <x:v>Direct or strongly ADHD-related record retained for later screening; typically narrower treatment, biomarker, mechanistic, or single-comorbidity focus.</x:v>
      </x:c>
      <x:c r="J84" s="38" t="e">
        <x:f>HYPERLINK("https://pubmed.ncbi.nlm.nih.gov/"&amp;C84&amp;"/","Open PubMed")</x:f>
        <x:v>HYPERLINK is not implemented. linkLocation=https://pubmed.ncbi.nlm.nih.gov/2307663/, friendlyName=Open PubMed</x:v>
      </x:c>
    </x:row>
    <x:row r="85">
      <x:c r="A85" s="26" t="str">
        <x:v>PUBMED-2326123</x:v>
      </x:c>
      <x:c r="B85" s="26" t="n">
        <x:v>1990</x:v>
      </x:c>
      <x:c r="C85" s="26" t="str">
        <x:v>2326123</x:v>
      </x:c>
      <x:c r="D85" s="28" t="str">
        <x:v>Attention of hyperactive preschool children--electrodermal activity during auditory stimulation.</x:v>
      </x:c>
      <x:c r="E85" s="28" t="str">
        <x:v>Primary/contextual journal article</x:v>
      </x:c>
      <x:c r="F85" s="28" t="str">
        <x:v>Development &amp; presentation; Family &amp; education</x:v>
      </x:c>
      <x:c r="G85" s="28" t="str">
        <x:v>Childhood</x:v>
      </x:c>
      <x:c r="H85" s="28" t="str">
        <x:v>Batch 1 core</x:v>
      </x:c>
      <x:c r="I85" s="28" t="str">
        <x:v>Direct historical-period ADHD/hyperkinesis/minimal-brain-dysfunction focus with human relevance.</x:v>
      </x:c>
      <x:c r="J85" s="38" t="e">
        <x:f>HYPERLINK("https://pubmed.ncbi.nlm.nih.gov/"&amp;C85&amp;"/","Open PubMed")</x:f>
        <x:v>HYPERLINK is not implemented. linkLocation=https://pubmed.ncbi.nlm.nih.gov/2326123/, friendlyName=Open PubMed</x:v>
      </x:c>
    </x:row>
    <x:row r="86">
      <x:c r="A86" s="26" t="str">
        <x:v>PUBMED-2264593</x:v>
      </x:c>
      <x:c r="B86" s="26" t="n">
        <x:v>1990</x:v>
      </x:c>
      <x:c r="C86" s="26" t="str">
        <x:v>2264593</x:v>
      </x:c>
      <x:c r="D86" s="28" t="str">
        <x:v>Attention deficits in children exposed to alcohol prenatally.</x:v>
      </x:c>
      <x:c r="E86" s="28" t="str">
        <x:v>Primary/contextual journal article</x:v>
      </x:c>
      <x:c r="F86" s="28" t="str">
        <x:v>Development &amp; presentation; Recognition &amp; diagnosis; Family &amp; education; Social &amp; structural; Environmental &amp; lifestyle; Treatment &amp; support; Life outcomes &amp; lived experience</x:v>
      </x:c>
      <x:c r="G86" s="28" t="str">
        <x:v>Childhood; Adolescence</x:v>
      </x:c>
      <x:c r="H86" s="28" t="str">
        <x:v>Later specialized</x:v>
      </x:c>
      <x:c r="I86" s="28" t="str">
        <x:v>Direct or strongly ADHD-related record retained for later screening; typically narrower treatment, biomarker, mechanistic, or single-comorbidity focus.</x:v>
      </x:c>
      <x:c r="J86" s="38" t="e">
        <x:f>HYPERLINK("https://pubmed.ncbi.nlm.nih.gov/"&amp;C86&amp;"/","Open PubMed")</x:f>
        <x:v>HYPERLINK is not implemented. linkLocation=https://pubmed.ncbi.nlm.nih.gov/2264593/, friendlyName=Open PubMed</x:v>
      </x:c>
    </x:row>
    <x:row r="87">
      <x:c r="A87" s="26" t="str">
        <x:v>PUBMED-2269404</x:v>
      </x:c>
      <x:c r="B87" s="26" t="n">
        <x:v>1990</x:v>
      </x:c>
      <x:c r="C87" s="26" t="str">
        <x:v>2269404</x:v>
      </x:c>
      <x:c r="D87" s="28" t="str">
        <x:v>Psychiatric disorders at five years among children with birthweights less than 1000g: a regional perspective.</x:v>
      </x:c>
      <x:c r="E87" s="28" t="str">
        <x:v>Primary study - cohort</x:v>
      </x:c>
      <x:c r="F87" s="28" t="str">
        <x:v>Development &amp; presentation; Recognition &amp; diagnosis; Family &amp; education; Social &amp; structural; Environmental &amp; lifestyle; Life outcomes &amp; lived experience</x:v>
      </x:c>
      <x:c r="G87" s="28" t="str">
        <x:v>Childhood</x:v>
      </x:c>
      <x:c r="H87" s="28" t="str">
        <x:v>Later specialized</x:v>
      </x:c>
      <x:c r="I87" s="28" t="str">
        <x:v>Direct or strongly ADHD-related record retained for later screening; typically narrower treatment, biomarker, mechanistic, or single-comorbidity focus.</x:v>
      </x:c>
      <x:c r="J87" s="38" t="e">
        <x:f>HYPERLINK("https://pubmed.ncbi.nlm.nih.gov/"&amp;C87&amp;"/","Open PubMed")</x:f>
        <x:v>HYPERLINK is not implemented. linkLocation=https://pubmed.ncbi.nlm.nih.gov/2269404/, friendlyName=Open PubMed</x:v>
      </x:c>
    </x:row>
    <x:row r="88">
      <x:c r="A88" s="26" t="str">
        <x:v>PUBMED-2178877</x:v>
      </x:c>
      <x:c r="B88" s="26" t="n">
        <x:v>1990</x:v>
      </x:c>
      <x:c r="C88" s="26" t="str">
        <x:v>2178877</x:v>
      </x:c>
      <x:c r="D88" s="28" t="str">
        <x:v>Clinical assessment of pediatric disorders of higher cerebral function.</x:v>
      </x:c>
      <x:c r="E88" s="28" t="str">
        <x:v>Evidence synthesis - review</x:v>
      </x:c>
      <x:c r="F88" s="28" t="str">
        <x:v>Development &amp; presentation; Recognition &amp; diagnosis; Family &amp; education; Social &amp; structural; Environmental &amp; lifestyle; Treatment &amp; support</x:v>
      </x:c>
      <x:c r="G88" s="28" t="str">
        <x:v>Childhood</x:v>
      </x:c>
      <x:c r="H88" s="28" t="str">
        <x:v>Exclude/incidental</x:v>
      </x:c>
      <x:c r="I88" s="28" t="str">
        <x:v>ADHD appears peripheral or insufficiently aligned with the requested corpus scope based on accessible metadata/abstract.</x:v>
      </x:c>
      <x:c r="J88" s="38" t="e">
        <x:f>HYPERLINK("https://pubmed.ncbi.nlm.nih.gov/"&amp;C88&amp;"/","Open PubMed")</x:f>
        <x:v>HYPERLINK is not implemented. linkLocation=https://pubmed.ncbi.nlm.nih.gov/2178877/, friendlyName=Open PubMed</x:v>
      </x:c>
    </x:row>
    <x:row r="89">
      <x:c r="A89" s="26" t="str">
        <x:v>PUBMED-2269593</x:v>
      </x:c>
      <x:c r="B89" s="26" t="n">
        <x:v>1990</x:v>
      </x:c>
      <x:c r="C89" s="26" t="str">
        <x:v>2269593</x:v>
      </x:c>
      <x:c r="D89" s="28" t="str">
        <x:v>Does hair zinc predict amphetamine improvement of ADD/hyperactivity?</x:v>
      </x:c>
      <x:c r="E89" s="28" t="str">
        <x:v>Primary/contextual journal article</x:v>
      </x:c>
      <x:c r="F89" s="28" t="str">
        <x:v>Development &amp; presentation; Family &amp; education; Social &amp; structural; Treatment &amp; support</x:v>
      </x:c>
      <x:c r="G89" s="28" t="str">
        <x:v>Childhood</x:v>
      </x:c>
      <x:c r="H89" s="28" t="str">
        <x:v>Later specialized</x:v>
      </x:c>
      <x:c r="I89" s="28" t="str">
        <x:v>Direct or strongly ADHD-related record retained for later screening; typically narrower treatment, biomarker, mechanistic, or single-comorbidity focus.</x:v>
      </x:c>
      <x:c r="J89" s="38" t="e">
        <x:f>HYPERLINK("https://pubmed.ncbi.nlm.nih.gov/"&amp;C89&amp;"/","Open PubMed")</x:f>
        <x:v>HYPERLINK is not implemented. linkLocation=https://pubmed.ncbi.nlm.nih.gov/2269593/, friendlyName=Open PubMed</x:v>
      </x:c>
    </x:row>
    <x:row r="90">
      <x:c r="A90" s="26" t="str">
        <x:v>PUBMED-2228921</x:v>
      </x:c>
      <x:c r="B90" s="26" t="n">
        <x:v>1990</x:v>
      </x:c>
      <x:c r="C90" s="26" t="str">
        <x:v>2228921</x:v>
      </x:c>
      <x:c r="D90" s="28" t="str">
        <x:v>Parent-based diagnosis of attention deficit disorder predicts a diagnosis based on teacher report.</x:v>
      </x:c>
      <x:c r="E90" s="28" t="str">
        <x:v>Primary/contextual journal article</x:v>
      </x:c>
      <x:c r="F90" s="28" t="str">
        <x:v>Development &amp; presentation; Recognition &amp; diagnosis; Family &amp; education; Social &amp; structural; Environmental &amp; lifestyle</x:v>
      </x:c>
      <x:c r="G90" s="28" t="str">
        <x:v>Childhood; Adolescence</x:v>
      </x:c>
      <x:c r="H90" s="28" t="str">
        <x:v>Batch 1 core</x:v>
      </x:c>
      <x:c r="I90" s="28" t="str">
        <x:v>Direct historical-period ADHD/hyperkinesis/minimal-brain-dysfunction focus with human relevance.</x:v>
      </x:c>
      <x:c r="J90" s="38" t="e">
        <x:f>HYPERLINK("https://pubmed.ncbi.nlm.nih.gov/"&amp;C90&amp;"/","Open PubMed")</x:f>
        <x:v>HYPERLINK is not implemented. linkLocation=https://pubmed.ncbi.nlm.nih.gov/2228921/, friendlyName=Open PubMed</x:v>
      </x:c>
    </x:row>
    <x:row r="91">
      <x:c r="A91" s="26" t="str">
        <x:v>PUBMED-2204635</x:v>
      </x:c>
      <x:c r="B91" s="26" t="n">
        <x:v>1990</x:v>
      </x:c>
      <x:c r="C91" s="26" t="str">
        <x:v>2204635</x:v>
      </x:c>
      <x:c r="D91" s="28" t="str">
        <x:v>Current interests in child-adult psychopathological continuities.</x:v>
      </x:c>
      <x:c r="E91" s="28" t="str">
        <x:v>Evidence synthesis - review</x:v>
      </x:c>
      <x:c r="F91" s="28" t="str">
        <x:v>Development &amp; presentation; Social &amp; structural</x:v>
      </x:c>
      <x:c r="G91" s="28" t="str">
        <x:v>Childhood; Adolescence; Adulthood</x:v>
      </x:c>
      <x:c r="H91" s="28" t="str">
        <x:v>Exclude/incidental</x:v>
      </x:c>
      <x:c r="I91" s="28" t="str">
        <x:v>ADHD appears peripheral or insufficiently aligned with the requested corpus scope based on accessible metadata/abstract.</x:v>
      </x:c>
      <x:c r="J91" s="38" t="e">
        <x:f>HYPERLINK("https://pubmed.ncbi.nlm.nih.gov/"&amp;C91&amp;"/","Open PubMed")</x:f>
        <x:v>HYPERLINK is not implemented. linkLocation=https://pubmed.ncbi.nlm.nih.gov/2204635/, friendlyName=Open PubMed</x:v>
      </x:c>
    </x:row>
    <x:row r="92">
      <x:c r="A92" s="26" t="str">
        <x:v>PUBMED-2136402</x:v>
      </x:c>
      <x:c r="B92" s="26" t="n">
        <x:v>1990</x:v>
      </x:c>
      <x:c r="C92" s="26" t="str">
        <x:v>2136402</x:v>
      </x:c>
      <x:c r="D92" s="28" t="str">
        <x:v>Fluoxetine in adults with residual attention deficit disorder and hypersomnolence.</x:v>
      </x:c>
      <x:c r="E92" s="28" t="str">
        <x:v>Other/unclear</x:v>
      </x:c>
      <x:c r="F92" s="28" t="str">
        <x:v>Development &amp; presentation; Treatment &amp; support</x:v>
      </x:c>
      <x:c r="G92" s="28" t="str">
        <x:v>Adulthood</x:v>
      </x:c>
      <x:c r="H92" s="28" t="str">
        <x:v>Later specialized</x:v>
      </x:c>
      <x:c r="I92" s="28" t="str">
        <x:v>Direct or strongly ADHD-related record retained for later screening; typically narrower treatment, biomarker, mechanistic, or single-comorbidity focus.</x:v>
      </x:c>
      <x:c r="J92" s="38" t="e">
        <x:f>HYPERLINK("https://pubmed.ncbi.nlm.nih.gov/"&amp;C92&amp;"/","Open PubMed")</x:f>
        <x:v>HYPERLINK is not implemented. linkLocation=https://pubmed.ncbi.nlm.nih.gov/2136402/, friendlyName=Open PubMed</x:v>
      </x:c>
    </x:row>
    <x:row r="93">
      <x:c r="A93" s="26" t="str">
        <x:v>PUBMED-2387797</x:v>
      </x:c>
      <x:c r="B93" s="26" t="n">
        <x:v>1990</x:v>
      </x:c>
      <x:c r="C93" s="26" t="str">
        <x:v>2387797</x:v>
      </x:c>
      <x:c r="D93" s="28" t="str">
        <x:v>DSM-III disorders in a large sample of adolescents.</x:v>
      </x:c>
      <x:c r="E93" s="28" t="str">
        <x:v>Primary study - cross-sectional</x:v>
      </x:c>
      <x:c r="F93" s="28" t="str">
        <x:v>Development &amp; presentation; Recognition &amp; diagnosis; Family &amp; education; Social &amp; structural</x:v>
      </x:c>
      <x:c r="G93" s="28" t="str">
        <x:v>Childhood; Adolescence</x:v>
      </x:c>
      <x:c r="H93" s="28" t="str">
        <x:v>Exclude/incidental</x:v>
      </x:c>
      <x:c r="I93" s="28" t="str">
        <x:v>ADHD appears peripheral or insufficiently aligned with the requested corpus scope based on accessible metadata/abstract.</x:v>
      </x:c>
      <x:c r="J93" s="38" t="e">
        <x:f>HYPERLINK("https://pubmed.ncbi.nlm.nih.gov/"&amp;C93&amp;"/","Open PubMed")</x:f>
        <x:v>HYPERLINK is not implemented. linkLocation=https://pubmed.ncbi.nlm.nih.gov/2387797/, friendlyName=Open PubMed</x:v>
      </x:c>
    </x:row>
    <x:row r="94">
      <x:c r="A94" s="26" t="str">
        <x:v>PUBMED-2273073</x:v>
      </x:c>
      <x:c r="B94" s="26" t="n">
        <x:v>1990</x:v>
      </x:c>
      <x:c r="C94" s="26" t="str">
        <x:v>2273073</x:v>
      </x:c>
      <x:c r="D94" s="28" t="str">
        <x:v>The effects of behavioral parent training on families with young hyperactive children.</x:v>
      </x:c>
      <x:c r="E94" s="28" t="str">
        <x:v>Primary/contextual journal article</x:v>
      </x:c>
      <x:c r="F94" s="28" t="str">
        <x:v>Development &amp; presentation; Recognition &amp; diagnosis; Family &amp; education; Social &amp; structural; Environmental &amp; lifestyle; Treatment &amp; support; Life outcomes &amp; lived experience</x:v>
      </x:c>
      <x:c r="G94" s="28" t="str">
        <x:v>Childhood</x:v>
      </x:c>
      <x:c r="H94" s="28" t="str">
        <x:v>Batch 1 core</x:v>
      </x:c>
      <x:c r="I94" s="28" t="str">
        <x:v>Direct historical-period ADHD/hyperkinesis/minimal-brain-dysfunction focus with human relevance.</x:v>
      </x:c>
      <x:c r="J94" s="38" t="e">
        <x:f>HYPERLINK("https://pubmed.ncbi.nlm.nih.gov/"&amp;C94&amp;"/","Open PubMed")</x:f>
        <x:v>HYPERLINK is not implemented. linkLocation=https://pubmed.ncbi.nlm.nih.gov/2273073/, friendlyName=Open PubMed</x:v>
      </x:c>
    </x:row>
    <x:row r="95">
      <x:c r="A95" s="26" t="str">
        <x:v>PUBMED-2387788</x:v>
      </x:c>
      <x:c r="B95" s="26" t="n">
        <x:v>1990</x:v>
      </x:c>
      <x:c r="C95" s="26" t="str">
        <x:v>2387788</x:v>
      </x:c>
      <x:c r="D95" s="28" t="str">
        <x:v>Performance of children with ADHD on tests sensitive to frontal lobe dysfunction.</x:v>
      </x:c>
      <x:c r="E95" s="28" t="str">
        <x:v>Primary/contextual journal article</x:v>
      </x:c>
      <x:c r="F95" s="28" t="str">
        <x:v>Development &amp; presentation; Social &amp; structural</x:v>
      </x:c>
      <x:c r="G95" s="28" t="str">
        <x:v>Childhood</x:v>
      </x:c>
      <x:c r="H95" s="28" t="str">
        <x:v>Later specialized</x:v>
      </x:c>
      <x:c r="I95" s="28" t="str">
        <x:v>Direct or strongly ADHD-related record retained for later screening; typically narrower treatment, biomarker, mechanistic, or single-comorbidity focus.</x:v>
      </x:c>
      <x:c r="J95" s="38" t="e">
        <x:f>HYPERLINK("https://pubmed.ncbi.nlm.nih.gov/"&amp;C95&amp;"/","Open PubMed")</x:f>
        <x:v>HYPERLINK is not implemented. linkLocation=https://pubmed.ncbi.nlm.nih.gov/2387788/, friendlyName=Open PubMed</x:v>
      </x:c>
    </x:row>
    <x:row r="96">
      <x:c r="A96" s="26" t="str">
        <x:v>PUBMED-2116274</x:v>
      </x:c>
      <x:c r="B96" s="26" t="n">
        <x:v>1990</x:v>
      </x:c>
      <x:c r="C96" s="26" t="str">
        <x:v>2116274</x:v>
      </x:c>
      <x:c r="D96" s="28" t="str">
        <x:v>[Therapy with psychotropic drugs in child and adolescent psychiatry. Possibilities and limitations].</x:v>
      </x:c>
      <x:c r="E96" s="28" t="str">
        <x:v>Primary/contextual journal article</x:v>
      </x:c>
      <x:c r="F96" s="28" t="str">
        <x:v>Development &amp; presentation; Social &amp; structural; Environmental &amp; lifestyle; Treatment &amp; support</x:v>
      </x:c>
      <x:c r="G96" s="28" t="str">
        <x:v>Childhood; Adolescence</x:v>
      </x:c>
      <x:c r="H96" s="28" t="str">
        <x:v>Exclude/incidental</x:v>
      </x:c>
      <x:c r="I96" s="28" t="str">
        <x:v>ADHD appears peripheral or insufficiently aligned with the requested corpus scope based on accessible metadata/abstract.</x:v>
      </x:c>
      <x:c r="J96" s="38" t="e">
        <x:f>HYPERLINK("https://pubmed.ncbi.nlm.nih.gov/"&amp;C96&amp;"/","Open PubMed")</x:f>
        <x:v>HYPERLINK is not implemented. linkLocation=https://pubmed.ncbi.nlm.nih.gov/2116274/, friendlyName=Open PubMed</x:v>
      </x:c>
    </x:row>
    <x:row r="97">
      <x:c r="A97" s="26" t="str">
        <x:v>PUBMED-2359688</x:v>
      </x:c>
      <x:c r="B97" s="26" t="n">
        <x:v>1990</x:v>
      </x:c>
      <x:c r="C97" s="26" t="str">
        <x:v>2359688</x:v>
      </x:c>
      <x:c r="D97" s="28" t="str">
        <x:v>Stimulant medication use by primary care physicians in the treatment of attention deficit hyperactivity disorder.</x:v>
      </x:c>
      <x:c r="E97" s="28" t="str">
        <x:v>Primary/contextual journal article</x:v>
      </x:c>
      <x:c r="F97" s="28" t="str">
        <x:v>Development &amp; presentation; Recognition &amp; diagnosis; Family &amp; education; Social &amp; structural; Treatment &amp; support</x:v>
      </x:c>
      <x:c r="G97" s="28" t="str">
        <x:v>Childhood</x:v>
      </x:c>
      <x:c r="H97" s="28" t="str">
        <x:v>Later specialized</x:v>
      </x:c>
      <x:c r="I97" s="28" t="str">
        <x:v>Direct or strongly ADHD-related record retained for later screening; typically narrower treatment, biomarker, mechanistic, or single-comorbidity focus.</x:v>
      </x:c>
      <x:c r="J97" s="38" t="e">
        <x:f>HYPERLINK("https://pubmed.ncbi.nlm.nih.gov/"&amp;C97&amp;"/","Open PubMed")</x:f>
        <x:v>HYPERLINK is not implemented. linkLocation=https://pubmed.ncbi.nlm.nih.gov/2359688/, friendlyName=Open PubMed</x:v>
      </x:c>
    </x:row>
    <x:row r="98">
      <x:c r="A98" s="26" t="str">
        <x:v>PUBMED-2198308</x:v>
      </x:c>
      <x:c r="B98" s="26" t="n">
        <x:v>1990</x:v>
      </x:c>
      <x:c r="C98" s="26" t="str">
        <x:v>2198308</x:v>
      </x:c>
      <x:c r="D98" s="28" t="str">
        <x:v>Social judgment processes in hyperactive boys: effects of methylphenidate and comparisons with normal peers.</x:v>
      </x:c>
      <x:c r="E98" s="28" t="str">
        <x:v>Primary study - clinical trial</x:v>
      </x:c>
      <x:c r="F98" s="28" t="str">
        <x:v>Development &amp; presentation; Social &amp; structural; Treatment &amp; support</x:v>
      </x:c>
      <x:c r="G98" s="28" t="str">
        <x:v>Childhood</x:v>
      </x:c>
      <x:c r="H98" s="28" t="str">
        <x:v>Batch 1 core</x:v>
      </x:c>
      <x:c r="I98" s="28" t="str">
        <x:v>Direct historical-period ADHD/hyperkinesis/minimal-brain-dysfunction focus with human relevance.</x:v>
      </x:c>
      <x:c r="J98" s="38" t="e">
        <x:f>HYPERLINK("https://pubmed.ncbi.nlm.nih.gov/"&amp;C98&amp;"/","Open PubMed")</x:f>
        <x:v>HYPERLINK is not implemented. linkLocation=https://pubmed.ncbi.nlm.nih.gov/2198308/, friendlyName=Open PubMed</x:v>
      </x:c>
    </x:row>
    <x:row r="99">
      <x:c r="A99" s="26" t="str">
        <x:v>PUBMED-2269611</x:v>
      </x:c>
      <x:c r="B99" s="26" t="n">
        <x:v>1990</x:v>
      </x:c>
      <x:c r="C99" s="26" t="str">
        <x:v>2269611</x:v>
      </x:c>
      <x:c r="D99" s="28" t="str">
        <x:v>Zinc deficiency in attention-deficit hyperactivity disorder.</x:v>
      </x:c>
      <x:c r="E99" s="28" t="str">
        <x:v>Contextual - editorial/comment</x:v>
      </x:c>
      <x:c r="F99" s="28" t="str">
        <x:v>Development &amp; presentation; Family &amp; education</x:v>
      </x:c>
      <x:c r="G99" s="28" t="str">
        <x:v>Childhood</x:v>
      </x:c>
      <x:c r="H99" s="28" t="str">
        <x:v>Later specialized</x:v>
      </x:c>
      <x:c r="I99" s="28" t="str">
        <x:v>Direct or strongly ADHD-related record retained for later screening; typically narrower treatment, biomarker, mechanistic, or single-comorbidity focus.</x:v>
      </x:c>
      <x:c r="J99" s="38" t="e">
        <x:f>HYPERLINK("https://pubmed.ncbi.nlm.nih.gov/"&amp;C99&amp;"/","Open PubMed")</x:f>
        <x:v>HYPERLINK is not implemented. linkLocation=https://pubmed.ncbi.nlm.nih.gov/2269611/, friendlyName=Open PubMed</x:v>
      </x:c>
    </x:row>
    <x:row r="100">
      <x:c r="A100" s="26" t="str">
        <x:v>PUBMED-2395526</x:v>
      </x:c>
      <x:c r="B100" s="26" t="n">
        <x:v>1990</x:v>
      </x:c>
      <x:c r="C100" s="26" t="str">
        <x:v>2395526</x:v>
      </x:c>
      <x:c r="D100" s="28" t="str">
        <x:v>Neurophysiological heterogeneity and the definition of dyslexia: preliminary evidence for plasticity.</x:v>
      </x:c>
      <x:c r="E100" s="28" t="str">
        <x:v>Primary/contextual journal article</x:v>
      </x:c>
      <x:c r="F100" s="28" t="str">
        <x:v>Development &amp; presentation; Recognition &amp; diagnosis; Family &amp; education; Social &amp; structural; Environmental &amp; lifestyle</x:v>
      </x:c>
      <x:c r="G100" s="28" t="str">
        <x:v>Childhood</x:v>
      </x:c>
      <x:c r="H100" s="28" t="str">
        <x:v>Exclude/incidental</x:v>
      </x:c>
      <x:c r="I100" s="28" t="str">
        <x:v>ADHD appears peripheral or insufficiently aligned with the requested corpus scope based on accessible metadata/abstract.</x:v>
      </x:c>
      <x:c r="J100" s="38" t="e">
        <x:f>HYPERLINK("https://pubmed.ncbi.nlm.nih.gov/"&amp;C100&amp;"/","Open PubMed")</x:f>
        <x:v>HYPERLINK is not implemented. linkLocation=https://pubmed.ncbi.nlm.nih.gov/2395526/, friendlyName=Open PubMed</x:v>
      </x:c>
    </x:row>
    <x:row r="101">
      <x:c r="A101" s="26" t="str">
        <x:v>PUBMED-1980990</x:v>
      </x:c>
      <x:c r="B101" s="26" t="n">
        <x:v>1990</x:v>
      </x:c>
      <x:c r="C101" s="26" t="str">
        <x:v>1980990</x:v>
      </x:c>
      <x:c r="D101" s="28" t="str">
        <x:v>Effect of nootropic and psycho-stimulants on children with infantile brain damages.</x:v>
      </x:c>
      <x:c r="E101" s="28" t="str">
        <x:v>Evidence synthesis - review</x:v>
      </x:c>
      <x:c r="F101" s="28" t="str">
        <x:v>Development &amp; presentation; Treatment &amp; support</x:v>
      </x:c>
      <x:c r="G101" s="28" t="str">
        <x:v>Childhood; Adolescence</x:v>
      </x:c>
      <x:c r="H101" s="28" t="str">
        <x:v>Exclude/incidental</x:v>
      </x:c>
      <x:c r="I101" s="28" t="str">
        <x:v>ADHD appears peripheral or insufficiently aligned with the requested corpus scope based on accessible metadata/abstract.</x:v>
      </x:c>
      <x:c r="J101" s="38" t="e">
        <x:f>HYPERLINK("https://pubmed.ncbi.nlm.nih.gov/"&amp;C101&amp;"/","Open PubMed")</x:f>
        <x:v>HYPERLINK is not implemented. linkLocation=https://pubmed.ncbi.nlm.nih.gov/1980990/, friendlyName=Open PubMed</x:v>
      </x:c>
    </x:row>
    <x:row r="102">
      <x:c r="A102" s="26" t="str">
        <x:v>PUBMED-2306906</x:v>
      </x:c>
      <x:c r="B102" s="26" t="n">
        <x:v>1990</x:v>
      </x:c>
      <x:c r="C102" s="26" t="str">
        <x:v>2306906</x:v>
      </x:c>
      <x:c r="D102" s="28" t="str">
        <x:v>Management of attention deficit hyperactivity disorder (ADHD). A continuing dilemma for physicians and educators.</x:v>
      </x:c>
      <x:c r="E102" s="28" t="str">
        <x:v>Primary/contextual journal article</x:v>
      </x:c>
      <x:c r="F102" s="28" t="str">
        <x:v>Development &amp; presentation; Recognition &amp; diagnosis; Family &amp; education; Social &amp; structural; Treatment &amp; support</x:v>
      </x:c>
      <x:c r="G102" s="28" t="str">
        <x:v>Childhood</x:v>
      </x:c>
      <x:c r="H102" s="28" t="str">
        <x:v>Later specialized</x:v>
      </x:c>
      <x:c r="I102" s="28" t="str">
        <x:v>Direct or strongly ADHD-related record retained for later screening; typically narrower treatment, biomarker, mechanistic, or single-comorbidity focus.</x:v>
      </x:c>
      <x:c r="J102" s="38" t="e">
        <x:f>HYPERLINK("https://pubmed.ncbi.nlm.nih.gov/"&amp;C102&amp;"/","Open PubMed")</x:f>
        <x:v>HYPERLINK is not implemented. linkLocation=https://pubmed.ncbi.nlm.nih.gov/2306906/, friendlyName=Open PubMed</x:v>
      </x:c>
    </x:row>
    <x:row r="103">
      <x:c r="A103" s="26" t="str">
        <x:v>PUBMED-2354547</x:v>
      </x:c>
      <x:c r="B103" s="26" t="n">
        <x:v>1990</x:v>
      </x:c>
      <x:c r="C103" s="26" t="str">
        <x:v>2354547</x:v>
      </x:c>
      <x:c r="D103" s="28" t="str">
        <x:v>The female and the fragile X syndrome: data on clinical and psychological findings in 7 fra(X) carriers.</x:v>
      </x:c>
      <x:c r="E103" s="28" t="str">
        <x:v>Primary/contextual journal article</x:v>
      </x:c>
      <x:c r="F103" s="28" t="str">
        <x:v>Development &amp; presentation; Recognition &amp; diagnosis; Social &amp; structural; Environmental &amp; lifestyle</x:v>
      </x:c>
      <x:c r="G103" s="28" t="str">
        <x:v>Childhood; Adolescence</x:v>
      </x:c>
      <x:c r="H103" s="28" t="str">
        <x:v>Exclude/incidental</x:v>
      </x:c>
      <x:c r="I103" s="28" t="str">
        <x:v>ADHD appears peripheral or insufficiently aligned with the requested corpus scope based on accessible metadata/abstract.</x:v>
      </x:c>
      <x:c r="J103" s="38" t="e">
        <x:f>HYPERLINK("https://pubmed.ncbi.nlm.nih.gov/"&amp;C103&amp;"/","Open PubMed")</x:f>
        <x:v>HYPERLINK is not implemented. linkLocation=https://pubmed.ncbi.nlm.nih.gov/2354547/, friendlyName=Open PubMed</x:v>
      </x:c>
    </x:row>
    <x:row r="104">
      <x:c r="A104" s="26" t="str">
        <x:v>PUBMED-2215463</x:v>
      </x:c>
      <x:c r="B104" s="26" t="n">
        <x:v>1990</x:v>
      </x:c>
      <x:c r="C104" s="26" t="str">
        <x:v>2215463</x:v>
      </x:c>
      <x:c r="D104" s="28" t="str">
        <x:v>Pediatric behavioral neurology: an update on the neurologic aspects of depression, hyperactivity, and learning disabilities.</x:v>
      </x:c>
      <x:c r="E104" s="28" t="str">
        <x:v>Evidence synthesis - review</x:v>
      </x:c>
      <x:c r="F104" s="28" t="str">
        <x:v>Development &amp; presentation; Recognition &amp; diagnosis; Family &amp; education; Social &amp; structural; Environmental &amp; lifestyle; Treatment &amp; support; Life outcomes &amp; lived experience</x:v>
      </x:c>
      <x:c r="G104" s="28" t="str">
        <x:v>Childhood; Adolescence; Adulthood</x:v>
      </x:c>
      <x:c r="H104" s="28" t="str">
        <x:v>Later specialized</x:v>
      </x:c>
      <x:c r="I104" s="28" t="str">
        <x:v>Direct or strongly ADHD-related record retained for later screening; typically narrower treatment, biomarker, mechanistic, or single-comorbidity focus.</x:v>
      </x:c>
      <x:c r="J104" s="38" t="e">
        <x:f>HYPERLINK("https://pubmed.ncbi.nlm.nih.gov/"&amp;C104&amp;"/","Open PubMed")</x:f>
        <x:v>HYPERLINK is not implemented. linkLocation=https://pubmed.ncbi.nlm.nih.gov/2215463/, friendlyName=Open PubMed</x:v>
      </x:c>
    </x:row>
    <x:row r="105">
      <x:c r="A105" s="26" t="str">
        <x:v>PUBMED-2307742</x:v>
      </x:c>
      <x:c r="B105" s="26" t="n">
        <x:v>1990</x:v>
      </x:c>
      <x:c r="C105" s="26" t="str">
        <x:v>2307742</x:v>
      </x:c>
      <x:c r="D105" s="28" t="str">
        <x:v>Buspirone for attention deficit hyperactivity disorder?</x:v>
      </x:c>
      <x:c r="E105" s="28" t="str">
        <x:v>Other/unclear</x:v>
      </x:c>
      <x:c r="F105" s="28" t="str">
        <x:v>Development &amp; presentation; Treatment &amp; support; Life outcomes &amp; lived experience</x:v>
      </x:c>
      <x:c r="G105" s="28" t="str">
        <x:v>Adulthood</x:v>
      </x:c>
      <x:c r="H105" s="28" t="str">
        <x:v>Later specialized</x:v>
      </x:c>
      <x:c r="I105" s="28" t="str">
        <x:v>Direct or strongly ADHD-related record retained for later screening; typically narrower treatment, biomarker, mechanistic, or single-comorbidity focus.</x:v>
      </x:c>
      <x:c r="J105" s="38" t="e">
        <x:f>HYPERLINK("https://pubmed.ncbi.nlm.nih.gov/"&amp;C105&amp;"/","Open PubMed")</x:f>
        <x:v>HYPERLINK is not implemented. linkLocation=https://pubmed.ncbi.nlm.nih.gov/2307742/, friendlyName=Open PubMed</x:v>
      </x:c>
    </x:row>
    <x:row r="106">
      <x:c r="A106" s="26" t="str">
        <x:v>PUBMED-2312654</x:v>
      </x:c>
      <x:c r="B106" s="26" t="n">
        <x:v>1990</x:v>
      </x:c>
      <x:c r="C106" s="26" t="str">
        <x:v>2312654</x:v>
      </x:c>
      <x:c r="D106" s="28" t="str">
        <x:v>The clinical significance of neurocognitive impairments among children with psychiatric disorders: diagnosis and situational specificity.</x:v>
      </x:c>
      <x:c r="E106" s="28" t="str">
        <x:v>Primary/contextual journal article</x:v>
      </x:c>
      <x:c r="F106" s="28" t="str">
        <x:v>Development &amp; presentation; Recognition &amp; diagnosis; Family &amp; education; Social &amp; structural; Environmental &amp; lifestyle</x:v>
      </x:c>
      <x:c r="G106" s="28" t="str">
        <x:v>Childhood</x:v>
      </x:c>
      <x:c r="H106" s="28" t="str">
        <x:v>Exclude/incidental</x:v>
      </x:c>
      <x:c r="I106" s="28" t="str">
        <x:v>ADHD appears peripheral or insufficiently aligned with the requested corpus scope based on accessible metadata/abstract.</x:v>
      </x:c>
      <x:c r="J106" s="38" t="e">
        <x:f>HYPERLINK("https://pubmed.ncbi.nlm.nih.gov/"&amp;C106&amp;"/","Open PubMed")</x:f>
        <x:v>HYPERLINK is not implemented. linkLocation=https://pubmed.ncbi.nlm.nih.gov/2312654/, friendlyName=Open PubMed</x:v>
      </x:c>
    </x:row>
    <x:row r="107">
      <x:c r="A107" s="26" t="str">
        <x:v>PUBMED-2304805</x:v>
      </x:c>
      <x:c r="B107" s="26" t="n">
        <x:v>1990</x:v>
      </x:c>
      <x:c r="C107" s="26" t="str">
        <x:v>2304805</x:v>
      </x:c>
      <x:c r="D107" s="28" t="str">
        <x:v>Behavioral deficits in rats with minimal cortical hypoplasia induced by methylazoxymethanol acetate.</x:v>
      </x:c>
      <x:c r="E107" s="28" t="str">
        <x:v>Primary/contextual journal article</x:v>
      </x:c>
      <x:c r="F107" s="28" t="str">
        <x:v>Development &amp; presentation; Family &amp; education; Social &amp; structural; Environmental &amp; lifestyle; Treatment &amp; support</x:v>
      </x:c>
      <x:c r="G107" s="28" t="str">
        <x:v>Childhood</x:v>
      </x:c>
      <x:c r="H107" s="28" t="str">
        <x:v>Exclude/incidental</x:v>
      </x:c>
      <x:c r="I107" s="28" t="str">
        <x:v>Animal-only record; retained outside the human-focused core corpus.</x:v>
      </x:c>
      <x:c r="J107" s="38" t="e">
        <x:f>HYPERLINK("https://pubmed.ncbi.nlm.nih.gov/"&amp;C107&amp;"/","Open PubMed")</x:f>
        <x:v>HYPERLINK is not implemented. linkLocation=https://pubmed.ncbi.nlm.nih.gov/2304805/, friendlyName=Open PubMed</x:v>
      </x:c>
    </x:row>
    <x:row r="108">
      <x:c r="A108" s="26" t="str">
        <x:v>PUBMED-2251931</x:v>
      </x:c>
      <x:c r="B108" s="26" t="n">
        <x:v>1990</x:v>
      </x:c>
      <x:c r="C108" s="26" t="str">
        <x:v>2251931</x:v>
      </x:c>
      <x:c r="D108" s="28" t="str">
        <x:v>Additive factor method applied to psychopathology with special reference to childhood hyperactivity.</x:v>
      </x:c>
      <x:c r="E108" s="28" t="str">
        <x:v>Evidence synthesis - review</x:v>
      </x:c>
      <x:c r="F108" s="28" t="str">
        <x:v>Development &amp; presentation; Recognition &amp; diagnosis; Social &amp; structural; Treatment &amp; support; Life outcomes &amp; lived experience</x:v>
      </x:c>
      <x:c r="G108" s="28" t="str">
        <x:v>Childhood</x:v>
      </x:c>
      <x:c r="H108" s="28" t="str">
        <x:v>Later specialized</x:v>
      </x:c>
      <x:c r="I108" s="28" t="str">
        <x:v>Direct or strongly ADHD-related record retained for later screening; typically narrower treatment, biomarker, mechanistic, or single-comorbidity focus.</x:v>
      </x:c>
      <x:c r="J108" s="38" t="e">
        <x:f>HYPERLINK("https://pubmed.ncbi.nlm.nih.gov/"&amp;C108&amp;"/","Open PubMed")</x:f>
        <x:v>HYPERLINK is not implemented. linkLocation=https://pubmed.ncbi.nlm.nih.gov/2251931/, friendlyName=Open PubMed</x:v>
      </x:c>
    </x:row>
    <x:row r="109">
      <x:c r="A109" s="26" t="str">
        <x:v>PUBMED-2228924</x:v>
      </x:c>
      <x:c r="B109" s="26" t="n">
        <x:v>1990</x:v>
      </x:c>
      <x:c r="C109" s="26" t="str">
        <x:v>2228924</x:v>
      </x:c>
      <x:c r="D109" s="28" t="str">
        <x:v>Effects of methylphenidate on adolescents with aggressive conduct disorder and ADDH: a preliminary report.</x:v>
      </x:c>
      <x:c r="E109" s="28" t="str">
        <x:v>Primary study - clinical trial</x:v>
      </x:c>
      <x:c r="F109" s="28" t="str">
        <x:v>Development &amp; presentation; Recognition &amp; diagnosis; Family &amp; education; Social &amp; structural; Environmental &amp; lifestyle; Treatment &amp; support</x:v>
      </x:c>
      <x:c r="G109" s="28" t="str">
        <x:v>Adolescence</x:v>
      </x:c>
      <x:c r="H109" s="28" t="str">
        <x:v>Batch 1 core</x:v>
      </x:c>
      <x:c r="I109" s="28" t="str">
        <x:v>Direct historical-period ADHD/hyperkinesis/minimal-brain-dysfunction focus with human relevance.</x:v>
      </x:c>
      <x:c r="J109" s="38" t="e">
        <x:f>HYPERLINK("https://pubmed.ncbi.nlm.nih.gov/"&amp;C109&amp;"/","Open PubMed")</x:f>
        <x:v>HYPERLINK is not implemented. linkLocation=https://pubmed.ncbi.nlm.nih.gov/2228924/, friendlyName=Open PubMed</x:v>
      </x:c>
    </x:row>
    <x:row r="110">
      <x:c r="A110" s="26" t="str">
        <x:v>PUBMED-2228981</x:v>
      </x:c>
      <x:c r="B110" s="26" t="n">
        <x:v>1990</x:v>
      </x:c>
      <x:c r="C110" s="26" t="str">
        <x:v>2228981</x:v>
      </x:c>
      <x:c r="D110" s="28" t="str">
        <x:v>An epidemiologic study of Tourette's syndrome in a single school district.</x:v>
      </x:c>
      <x:c r="E110" s="28" t="str">
        <x:v>Primary/contextual journal article</x:v>
      </x:c>
      <x:c r="F110" s="28" t="str">
        <x:v>Development &amp; presentation; Recognition &amp; diagnosis; Family &amp; education</x:v>
      </x:c>
      <x:c r="G110" s="28" t="str">
        <x:v>Childhood; Adolescence</x:v>
      </x:c>
      <x:c r="H110" s="28" t="str">
        <x:v>Exclude/incidental</x:v>
      </x:c>
      <x:c r="I110" s="28" t="str">
        <x:v>ADHD appears peripheral or insufficiently aligned with the requested corpus scope based on accessible metadata/abstract.</x:v>
      </x:c>
      <x:c r="J110" s="38" t="e">
        <x:f>HYPERLINK("https://pubmed.ncbi.nlm.nih.gov/"&amp;C110&amp;"/","Open PubMed")</x:f>
        <x:v>HYPERLINK is not implemented. linkLocation=https://pubmed.ncbi.nlm.nih.gov/2228981/, friendlyName=Open PubMed</x:v>
      </x:c>
    </x:row>
    <x:row r="111">
      <x:c r="A111" s="26" t="str">
        <x:v>PUBMED-2103728</x:v>
      </x:c>
      <x:c r="B111" s="26" t="n">
        <x:v>1990</x:v>
      </x:c>
      <x:c r="C111" s="26" t="str">
        <x:v>2103728</x:v>
      </x:c>
      <x:c r="D111" s="28" t="str">
        <x:v>Attention deficit-hyperactivity disorder: is it a learning disability or a related disorder?</x:v>
      </x:c>
      <x:c r="E111" s="28" t="str">
        <x:v>Primary/contextual journal article</x:v>
      </x:c>
      <x:c r="F111" s="28" t="str">
        <x:v>Development &amp; presentation; Recognition &amp; diagnosis; Family &amp; education</x:v>
      </x:c>
      <x:c r="G111" s="28" t="str">
        <x:v>Childhood; Adolescence</x:v>
      </x:c>
      <x:c r="H111" s="28" t="str">
        <x:v>Later specialized</x:v>
      </x:c>
      <x:c r="I111" s="28" t="str">
        <x:v>Direct or strongly ADHD-related record retained for later screening; typically narrower treatment, biomarker, mechanistic, or single-comorbidity focus.</x:v>
      </x:c>
      <x:c r="J111" s="38" t="e">
        <x:f>HYPERLINK("https://pubmed.ncbi.nlm.nih.gov/"&amp;C111&amp;"/","Open PubMed")</x:f>
        <x:v>HYPERLINK is not implemented. linkLocation=https://pubmed.ncbi.nlm.nih.gov/2103728/, friendlyName=Open PubMed</x:v>
      </x:c>
    </x:row>
    <x:row r="112">
      <x:c r="A112" s="26" t="str">
        <x:v>PUBMED-2246434</x:v>
      </x:c>
      <x:c r="B112" s="26" t="n">
        <x:v>1990</x:v>
      </x:c>
      <x:c r="C112" s="26" t="str">
        <x:v>2246434</x:v>
      </x:c>
      <x:c r="D112" s="28" t="str">
        <x:v>Inattentive and noninattentive ADHD children: do they constitute a unitary group?</x:v>
      </x:c>
      <x:c r="E112" s="28" t="str">
        <x:v>Primary/contextual journal article</x:v>
      </x:c>
      <x:c r="F112" s="28" t="str">
        <x:v>Development &amp; presentation; Recognition &amp; diagnosis; Family &amp; education; Social &amp; structural; Treatment &amp; support; Life outcomes &amp; lived experience</x:v>
      </x:c>
      <x:c r="G112" s="28" t="str">
        <x:v>Childhood</x:v>
      </x:c>
      <x:c r="H112" s="28" t="str">
        <x:v>Later specialized</x:v>
      </x:c>
      <x:c r="I112" s="28" t="str">
        <x:v>Direct or strongly ADHD-related record retained for later screening; typically narrower treatment, biomarker, mechanistic, or single-comorbidity focus.</x:v>
      </x:c>
      <x:c r="J112" s="38" t="e">
        <x:f>HYPERLINK("https://pubmed.ncbi.nlm.nih.gov/"&amp;C112&amp;"/","Open PubMed")</x:f>
        <x:v>HYPERLINK is not implemented. linkLocation=https://pubmed.ncbi.nlm.nih.gov/2246434/, friendlyName=Open PubMed</x:v>
      </x:c>
    </x:row>
    <x:row r="113">
      <x:c r="A113" s="26" t="str">
        <x:v>PUBMED-2228923</x:v>
      </x:c>
      <x:c r="B113" s="26" t="n">
        <x:v>1990</x:v>
      </x:c>
      <x:c r="C113" s="26" t="str">
        <x:v>2228923</x:v>
      </x:c>
      <x:c r="D113" s="28" t="str">
        <x:v>Methylphenidate in aggressive-hyperactive boys: I. Effects on peer aggression in public school settings.</x:v>
      </x:c>
      <x:c r="E113" s="28" t="str">
        <x:v>Primary study - clinical trial</x:v>
      </x:c>
      <x:c r="F113" s="28" t="str">
        <x:v>Development &amp; presentation; Family &amp; education; Social &amp; structural; Environmental &amp; lifestyle; Treatment &amp; support; Life outcomes &amp; lived experience</x:v>
      </x:c>
      <x:c r="G113" s="28" t="str">
        <x:v>Childhood</x:v>
      </x:c>
      <x:c r="H113" s="28" t="str">
        <x:v>Batch 1 core</x:v>
      </x:c>
      <x:c r="I113" s="28" t="str">
        <x:v>Direct historical-period ADHD/hyperkinesis/minimal-brain-dysfunction focus with human relevance.</x:v>
      </x:c>
      <x:c r="J113" s="38" t="e">
        <x:f>HYPERLINK("https://pubmed.ncbi.nlm.nih.gov/"&amp;C113&amp;"/","Open PubMed")</x:f>
        <x:v>HYPERLINK is not implemented. linkLocation=https://pubmed.ncbi.nlm.nih.gov/2228923/, friendlyName=Open PubMed</x:v>
      </x:c>
    </x:row>
    <x:row r="114">
      <x:c r="A114" s="26" t="str">
        <x:v>PUBMED-2387791</x:v>
      </x:c>
      <x:c r="B114" s="26" t="n">
        <x:v>1990</x:v>
      </x:c>
      <x:c r="C114" s="26" t="str">
        <x:v>2387791</x:v>
      </x:c>
      <x:c r="D114" s="28" t="str">
        <x:v>Atypical outcome in attention deficit hyperactivity disorder.</x:v>
      </x:c>
      <x:c r="E114" s="28" t="str">
        <x:v>Primary/contextual journal article</x:v>
      </x:c>
      <x:c r="F114" s="28" t="str">
        <x:v>Development &amp; presentation; Recognition &amp; diagnosis; Social &amp; structural; Life outcomes &amp; lived experience</x:v>
      </x:c>
      <x:c r="G114" s="28" t="str">
        <x:v>Childhood; Adulthood</x:v>
      </x:c>
      <x:c r="H114" s="28" t="str">
        <x:v>Later specialized</x:v>
      </x:c>
      <x:c r="I114" s="28" t="str">
        <x:v>Direct or strongly ADHD-related record retained for later screening; typically narrower treatment, biomarker, mechanistic, or single-comorbidity focus.</x:v>
      </x:c>
      <x:c r="J114" s="38" t="e">
        <x:f>HYPERLINK("https://pubmed.ncbi.nlm.nih.gov/"&amp;C114&amp;"/","Open PubMed")</x:f>
        <x:v>HYPERLINK is not implemented. linkLocation=https://pubmed.ncbi.nlm.nih.gov/2387791/, friendlyName=Open PubMed</x:v>
      </x:c>
    </x:row>
    <x:row r="115">
      <x:c r="A115" s="26" t="str">
        <x:v>PUBMED-2322618</x:v>
      </x:c>
      <x:c r="B115" s="26" t="n">
        <x:v>1990</x:v>
      </x:c>
      <x:c r="C115" s="26" t="str">
        <x:v>2322618</x:v>
      </x:c>
      <x:c r="D115" s="28" t="str">
        <x:v>Plasma dexamethasone levels in children given the dexamethasone suppression test.</x:v>
      </x:c>
      <x:c r="E115" s="28" t="str">
        <x:v>Primary/contextual journal article</x:v>
      </x:c>
      <x:c r="F115" s="28" t="str">
        <x:v>Development &amp; presentation; Recognition &amp; diagnosis; Family &amp; education</x:v>
      </x:c>
      <x:c r="G115" s="28" t="str">
        <x:v>Childhood; Adolescence</x:v>
      </x:c>
      <x:c r="H115" s="28" t="str">
        <x:v>Exclude/incidental</x:v>
      </x:c>
      <x:c r="I115" s="28" t="str">
        <x:v>ADHD appears peripheral or insufficiently aligned with the requested corpus scope based on accessible metadata/abstract.</x:v>
      </x:c>
      <x:c r="J115" s="38" t="e">
        <x:f>HYPERLINK("https://pubmed.ncbi.nlm.nih.gov/"&amp;C115&amp;"/","Open PubMed")</x:f>
        <x:v>HYPERLINK is not implemented. linkLocation=https://pubmed.ncbi.nlm.nih.gov/2322618/, friendlyName=Open PubMed</x:v>
      </x:c>
    </x:row>
    <x:row r="116">
      <x:c r="A116" s="26" t="str">
        <x:v>PUBMED-2348028</x:v>
      </x:c>
      <x:c r="B116" s="26" t="n">
        <x:v>1990</x:v>
      </x:c>
      <x:c r="C116" s="26" t="str">
        <x:v>2348028</x:v>
      </x:c>
      <x:c r="D116" s="28" t="str">
        <x:v>A behavioral observation method for differentiating hyperactive and aggressive boys.</x:v>
      </x:c>
      <x:c r="E116" s="28" t="str">
        <x:v>Primary/contextual journal article</x:v>
      </x:c>
      <x:c r="F116" s="28" t="str">
        <x:v>Development &amp; presentation; Recognition &amp; diagnosis; Family &amp; education; Social &amp; structural; Environmental &amp; lifestyle; Treatment &amp; support</x:v>
      </x:c>
      <x:c r="G116" s="28" t="str">
        <x:v>Childhood</x:v>
      </x:c>
      <x:c r="H116" s="28" t="str">
        <x:v>Later specialized</x:v>
      </x:c>
      <x:c r="I116" s="28" t="str">
        <x:v>Direct or strongly ADHD-related record retained for later screening; typically narrower treatment, biomarker, mechanistic, or single-comorbidity focus.</x:v>
      </x:c>
      <x:c r="J116" s="38" t="e">
        <x:f>HYPERLINK("https://pubmed.ncbi.nlm.nih.gov/"&amp;C116&amp;"/","Open PubMed")</x:f>
        <x:v>HYPERLINK is not implemented. linkLocation=https://pubmed.ncbi.nlm.nih.gov/2348028/, friendlyName=Open PubMed</x:v>
      </x:c>
    </x:row>
    <x:row r="117">
      <x:c r="A117" s="26" t="str">
        <x:v>PUBMED-2190490</x:v>
      </x:c>
      <x:c r="B117" s="26" t="n">
        <x:v>1990</x:v>
      </x:c>
      <x:c r="C117" s="26" t="str">
        <x:v>2190490</x:v>
      </x:c>
      <x:c r="D117" s="28" t="str">
        <x:v>The HK/MBD questionnaire: factor structure and discriminant validity with an adolescent sample.</x:v>
      </x:c>
      <x:c r="E117" s="28" t="str">
        <x:v>Primary/contextual journal article</x:v>
      </x:c>
      <x:c r="F117" s="28" t="str">
        <x:v>Development &amp; presentation; Family &amp; education; Environmental &amp; lifestyle; Life outcomes &amp; lived experience</x:v>
      </x:c>
      <x:c r="G117" s="28" t="str">
        <x:v>Adolescence</x:v>
      </x:c>
      <x:c r="H117" s="28" t="str">
        <x:v>Exclude/incidental</x:v>
      </x:c>
      <x:c r="I117" s="28" t="str">
        <x:v>ADHD appears peripheral or insufficiently aligned with the requested corpus scope based on accessible metadata/abstract.</x:v>
      </x:c>
      <x:c r="J117" s="38" t="e">
        <x:f>HYPERLINK("https://pubmed.ncbi.nlm.nih.gov/"&amp;C117&amp;"/","Open PubMed")</x:f>
        <x:v>HYPERLINK is not implemented. linkLocation=https://pubmed.ncbi.nlm.nih.gov/2190490/, friendlyName=Open PubMed</x:v>
      </x:c>
    </x:row>
    <x:row r="118">
      <x:c r="A118" s="26" t="str">
        <x:v>PUBMED-2341796</x:v>
      </x:c>
      <x:c r="B118" s="26" t="n">
        <x:v>1990</x:v>
      </x:c>
      <x:c r="C118" s="26" t="str">
        <x:v>2341796</x:v>
      </x:c>
      <x:c r="D118" s="28" t="str">
        <x:v>ADD students with and without dyslexia differ in sensitivity to rhyme and alliteration.</x:v>
      </x:c>
      <x:c r="E118" s="28" t="str">
        <x:v>Primary/contextual journal article</x:v>
      </x:c>
      <x:c r="F118" s="28" t="str">
        <x:v>Development &amp; presentation; Family &amp; education; Social &amp; structural</x:v>
      </x:c>
      <x:c r="G118" s="28" t="str">
        <x:v>Childhood</x:v>
      </x:c>
      <x:c r="H118" s="28" t="str">
        <x:v>Later specialized</x:v>
      </x:c>
      <x:c r="I118" s="28" t="str">
        <x:v>Direct or strongly ADHD-related record retained for later screening; typically narrower treatment, biomarker, mechanistic, or single-comorbidity focus.</x:v>
      </x:c>
      <x:c r="J118" s="38" t="e">
        <x:f>HYPERLINK("https://pubmed.ncbi.nlm.nih.gov/"&amp;C118&amp;"/","Open PubMed")</x:f>
        <x:v>HYPERLINK is not implemented. linkLocation=https://pubmed.ncbi.nlm.nih.gov/2341796/, friendlyName=Open PubMed</x:v>
      </x:c>
    </x:row>
    <x:row r="119">
      <x:c r="A119" s="26" t="str">
        <x:v>PUBMED-2329420</x:v>
      </x:c>
      <x:c r="B119" s="26" t="n">
        <x:v>1990</x:v>
      </x:c>
      <x:c r="C119" s="26" t="str">
        <x:v>2329420</x:v>
      </x:c>
      <x:c r="D119" s="28" t="str">
        <x:v>Primary disorder of vigilance: a novel explanation of inattentiveness, daydreaming, boredom, restlessness, and sleepiness.</x:v>
      </x:c>
      <x:c r="E119" s="28" t="str">
        <x:v>Primary/contextual journal article</x:v>
      </x:c>
      <x:c r="F119" s="28" t="str">
        <x:v>Development &amp; presentation; Recognition &amp; diagnosis; Family &amp; education; Social &amp; structural; Environmental &amp; lifestyle; Treatment &amp; support</x:v>
      </x:c>
      <x:c r="G119" s="28" t="str">
        <x:v>Childhood</x:v>
      </x:c>
      <x:c r="H119" s="28" t="str">
        <x:v>Exclude/incidental</x:v>
      </x:c>
      <x:c r="I119" s="28" t="str">
        <x:v>ADHD appears peripheral or insufficiently aligned with the requested corpus scope based on accessible metadata/abstract.</x:v>
      </x:c>
      <x:c r="J119" s="38" t="e">
        <x:f>HYPERLINK("https://pubmed.ncbi.nlm.nih.gov/"&amp;C119&amp;"/","Open PubMed")</x:f>
        <x:v>HYPERLINK is not implemented. linkLocation=https://pubmed.ncbi.nlm.nih.gov/2329420/, friendlyName=Open PubMed</x:v>
      </x:c>
    </x:row>
    <x:row r="120">
      <x:c r="A120" s="26" t="str">
        <x:v>PUBMED-2193295</x:v>
      </x:c>
      <x:c r="B120" s="26" t="n">
        <x:v>1990</x:v>
      </x:c>
      <x:c r="C120" s="26" t="str">
        <x:v>2193295</x:v>
      </x:c>
      <x:c r="D120" s="28" t="str">
        <x:v>Children's drawings as a projective technique.</x:v>
      </x:c>
      <x:c r="E120" s="28" t="str">
        <x:v>Primary/contextual journal article</x:v>
      </x:c>
      <x:c r="F120" s="28" t="str">
        <x:v>Development &amp; presentation; Family &amp; education; Social &amp; structural; Life outcomes &amp; lived experience</x:v>
      </x:c>
      <x:c r="G120" s="28" t="str">
        <x:v>Childhood</x:v>
      </x:c>
      <x:c r="H120" s="28" t="str">
        <x:v>Exclude/incidental</x:v>
      </x:c>
      <x:c r="I120" s="28" t="str">
        <x:v>ADHD appears peripheral or insufficiently aligned with the requested corpus scope based on accessible metadata/abstract.</x:v>
      </x:c>
      <x:c r="J120" s="38" t="e">
        <x:f>HYPERLINK("https://pubmed.ncbi.nlm.nih.gov/"&amp;C120&amp;"/","Open PubMed")</x:f>
        <x:v>HYPERLINK is not implemented. linkLocation=https://pubmed.ncbi.nlm.nih.gov/2193295/, friendlyName=Open PubMed</x:v>
      </x:c>
    </x:row>
    <x:row r="121">
      <x:c r="A121" s="26" t="str">
        <x:v>PUBMED-2382799</x:v>
      </x:c>
      <x:c r="B121" s="26" t="n">
        <x:v>1990</x:v>
      </x:c>
      <x:c r="C121" s="26" t="str">
        <x:v>2382799</x:v>
      </x:c>
      <x:c r="D121" s="28" t="str">
        <x:v>A link between atopic and behavioral disorders: indirect evidence from stimulant drug effects.</x:v>
      </x:c>
      <x:c r="E121" s="28" t="str">
        <x:v>Other/unclear</x:v>
      </x:c>
      <x:c r="F121" s="28" t="str">
        <x:v>Development &amp; presentation; Treatment &amp; support</x:v>
      </x:c>
      <x:c r="G121" s="28" t="str">
        <x:v>Childhood; Adolescence</x:v>
      </x:c>
      <x:c r="H121" s="28" t="str">
        <x:v>Exclude/incidental</x:v>
      </x:c>
      <x:c r="I121" s="28" t="str">
        <x:v>ADHD appears peripheral or insufficiently aligned with the requested corpus scope based on accessible metadata/abstract.</x:v>
      </x:c>
      <x:c r="J121" s="38" t="e">
        <x:f>HYPERLINK("https://pubmed.ncbi.nlm.nih.gov/"&amp;C121&amp;"/","Open PubMed")</x:f>
        <x:v>HYPERLINK is not implemented. linkLocation=https://pubmed.ncbi.nlm.nih.gov/2382799/, friendlyName=Open PubMed</x:v>
      </x:c>
    </x:row>
    <x:row r="122">
      <x:c r="A122" s="26" t="str">
        <x:v>PUBMED-2289946</x:v>
      </x:c>
      <x:c r="B122" s="26" t="n">
        <x:v>1990</x:v>
      </x:c>
      <x:c r="C122" s="26" t="str">
        <x:v>2289946</x:v>
      </x:c>
      <x:c r="D122" s="28" t="str">
        <x:v>Oppositional disorder in children: a validation study comparing conduct disorder, oppositional disorder and normal control children.</x:v>
      </x:c>
      <x:c r="E122" s="28" t="str">
        <x:v>Primary/contextual journal article</x:v>
      </x:c>
      <x:c r="F122" s="28" t="str">
        <x:v>Development &amp; presentation; Recognition &amp; diagnosis; Family &amp; education; Social &amp; structural; Life outcomes &amp; lived experience</x:v>
      </x:c>
      <x:c r="G122" s="28" t="str">
        <x:v>Childhood</x:v>
      </x:c>
      <x:c r="H122" s="28" t="str">
        <x:v>Exclude/incidental</x:v>
      </x:c>
      <x:c r="I122" s="28" t="str">
        <x:v>ADHD appears peripheral or insufficiently aligned with the requested corpus scope based on accessible metadata/abstract.</x:v>
      </x:c>
      <x:c r="J122" s="38" t="e">
        <x:f>HYPERLINK("https://pubmed.ncbi.nlm.nih.gov/"&amp;C122&amp;"/","Open PubMed")</x:f>
        <x:v>HYPERLINK is not implemented. linkLocation=https://pubmed.ncbi.nlm.nih.gov/2289946/, friendlyName=Open PubMed</x:v>
      </x:c>
    </x:row>
    <x:row r="123">
      <x:c r="A123" s="26" t="str">
        <x:v>PUBMED-2162606</x:v>
      </x:c>
      <x:c r="B123" s="26" t="n">
        <x:v>1990</x:v>
      </x:c>
      <x:c r="C123" s="26" t="str">
        <x:v>2162606</x:v>
      </x:c>
      <x:c r="D123" s="28" t="str">
        <x:v>[Neurophysiologic mechanisms of attention disorder in children with learning difficulties].</x:v>
      </x:c>
      <x:c r="E123" s="28" t="str">
        <x:v>Primary/contextual journal article</x:v>
      </x:c>
      <x:c r="F123" s="28" t="str">
        <x:v>Development &amp; presentation; Family &amp; education; Social &amp; structural</x:v>
      </x:c>
      <x:c r="G123" s="28" t="str">
        <x:v>Childhood</x:v>
      </x:c>
      <x:c r="H123" s="28" t="str">
        <x:v>Later specialized</x:v>
      </x:c>
      <x:c r="I123" s="28" t="str">
        <x:v>Direct or strongly ADHD-related record retained for later screening; typically narrower treatment, biomarker, mechanistic, or single-comorbidity focus.</x:v>
      </x:c>
      <x:c r="J123" s="38" t="e">
        <x:f>HYPERLINK("https://pubmed.ncbi.nlm.nih.gov/"&amp;C123&amp;"/","Open PubMed")</x:f>
        <x:v>HYPERLINK is not implemented. linkLocation=https://pubmed.ncbi.nlm.nih.gov/2162606/, friendlyName=Open PubMed</x:v>
      </x:c>
    </x:row>
    <x:row r="124">
      <x:c r="A124" s="26" t="str">
        <x:v>PUBMED-1967380</x:v>
      </x:c>
      <x:c r="B124" s="26" t="n">
        <x:v>1990</x:v>
      </x:c>
      <x:c r="C124" s="26" t="str">
        <x:v>1967380</x:v>
      </x:c>
      <x:c r="D124" s="28" t="str">
        <x:v>Focal cerebral dysfunction in developmental learning disabilities.</x:v>
      </x:c>
      <x:c r="E124" s="28" t="str">
        <x:v>Primary/contextual journal article</x:v>
      </x:c>
      <x:c r="F124" s="28" t="str">
        <x:v>Development &amp; presentation; Recognition &amp; diagnosis; Family &amp; education; Social &amp; structural</x:v>
      </x:c>
      <x:c r="G124" s="28" t="str">
        <x:v>Childhood; Adolescence</x:v>
      </x:c>
      <x:c r="H124" s="28" t="str">
        <x:v>Later specialized</x:v>
      </x:c>
      <x:c r="I124" s="28" t="str">
        <x:v>Direct or strongly ADHD-related record retained for later screening; typically narrower treatment, biomarker, mechanistic, or single-comorbidity focus.</x:v>
      </x:c>
      <x:c r="J124" s="38" t="e">
        <x:f>HYPERLINK("https://pubmed.ncbi.nlm.nih.gov/"&amp;C124&amp;"/","Open PubMed")</x:f>
        <x:v>HYPERLINK is not implemented. linkLocation=https://pubmed.ncbi.nlm.nih.gov/1967380/, friendlyName=Open PubMed</x:v>
      </x:c>
    </x:row>
    <x:row r="125">
      <x:c r="A125" s="26" t="str">
        <x:v>PUBMED-2398118</x:v>
      </x:c>
      <x:c r="B125" s="26" t="n">
        <x:v>1990</x:v>
      </x:c>
      <x:c r="C125" s="26" t="str">
        <x:v>2398118</x:v>
      </x:c>
      <x:c r="D125" s="28" t="str">
        <x:v>Inpatient social-cognitive skills training groups with conduct disordered and attention deficit disordered children.</x:v>
      </x:c>
      <x:c r="E125" s="28" t="str">
        <x:v>Primary/contextual journal article</x:v>
      </x:c>
      <x:c r="F125" s="28" t="str">
        <x:v>Development &amp; presentation; Recognition &amp; diagnosis; Family &amp; education; Social &amp; structural; Treatment &amp; support; Life outcomes &amp; lived experience</x:v>
      </x:c>
      <x:c r="G125" s="28" t="str">
        <x:v>Childhood</x:v>
      </x:c>
      <x:c r="H125" s="28" t="str">
        <x:v>Later specialized</x:v>
      </x:c>
      <x:c r="I125" s="28" t="str">
        <x:v>Direct or strongly ADHD-related record retained for later screening; typically narrower treatment, biomarker, mechanistic, or single-comorbidity focus.</x:v>
      </x:c>
      <x:c r="J125" s="38" t="e">
        <x:f>HYPERLINK("https://pubmed.ncbi.nlm.nih.gov/"&amp;C125&amp;"/","Open PubMed")</x:f>
        <x:v>HYPERLINK is not implemented. linkLocation=https://pubmed.ncbi.nlm.nih.gov/2398118/, friendlyName=Open PubMed</x:v>
      </x:c>
    </x:row>
    <x:row r="126">
      <x:c r="A126" s="26" t="str">
        <x:v>PUBMED-1981119</x:v>
      </x:c>
      <x:c r="B126" s="26" t="n">
        <x:v>1990</x:v>
      </x:c>
      <x:c r="C126" s="26" t="str">
        <x:v>1981119</x:v>
      </x:c>
      <x:c r="D126" s="28" t="str">
        <x:v>[Stimulant therapy of hyperkinetic syndrome in childhood and adolescence].</x:v>
      </x:c>
      <x:c r="E126" s="28" t="str">
        <x:v>Evidence synthesis - review</x:v>
      </x:c>
      <x:c r="F126" s="28" t="str">
        <x:v>Development &amp; presentation; Treatment &amp; support</x:v>
      </x:c>
      <x:c r="G126" s="28" t="str">
        <x:v>Childhood; Adolescence</x:v>
      </x:c>
      <x:c r="H126" s="28" t="str">
        <x:v>Batch 1 core</x:v>
      </x:c>
      <x:c r="I126" s="28" t="str">
        <x:v>Direct historical-period ADHD/hyperkinesis/minimal-brain-dysfunction focus with human relevance.</x:v>
      </x:c>
      <x:c r="J126" s="38" t="e">
        <x:f>HYPERLINK("https://pubmed.ncbi.nlm.nih.gov/"&amp;C126&amp;"/","Open PubMed")</x:f>
        <x:v>HYPERLINK is not implemented. linkLocation=https://pubmed.ncbi.nlm.nih.gov/1981119/, friendlyName=Open PubMed</x:v>
      </x:c>
    </x:row>
    <x:row r="127">
      <x:c r="A127" s="26" t="str">
        <x:v>PUBMED-2096573</x:v>
      </x:c>
      <x:c r="B127" s="26" t="n">
        <x:v>1990</x:v>
      </x:c>
      <x:c r="C127" s="26" t="str">
        <x:v>2096573</x:v>
      </x:c>
      <x:c r="D127" s="28" t="str">
        <x:v>[Differential results of treatment in pedagogic-therapeutic long-term intervention in residential treatment centers for children].</x:v>
      </x:c>
      <x:c r="E127" s="28" t="str">
        <x:v>Primary/contextual journal article</x:v>
      </x:c>
      <x:c r="F127" s="28" t="str">
        <x:v>Development &amp; presentation; Recognition &amp; diagnosis; Family &amp; education; Social &amp; structural; Treatment &amp; support</x:v>
      </x:c>
      <x:c r="G127" s="28" t="str">
        <x:v>Childhood; Adolescence</x:v>
      </x:c>
      <x:c r="H127" s="28" t="str">
        <x:v>Exclude/incidental</x:v>
      </x:c>
      <x:c r="I127" s="28" t="str">
        <x:v>ADHD appears peripheral or insufficiently aligned with the requested corpus scope based on accessible metadata/abstract.</x:v>
      </x:c>
      <x:c r="J127" s="38" t="e">
        <x:f>HYPERLINK("https://pubmed.ncbi.nlm.nih.gov/"&amp;C127&amp;"/","Open PubMed")</x:f>
        <x:v>HYPERLINK is not implemented. linkLocation=https://pubmed.ncbi.nlm.nih.gov/2096573/, friendlyName=Open PubMed</x:v>
      </x:c>
    </x:row>
    <x:row r="128">
      <x:c r="A128" s="26" t="str">
        <x:v>PUBMED-2335637</x:v>
      </x:c>
      <x:c r="B128" s="26" t="n">
        <x:v>1990</x:v>
      </x:c>
      <x:c r="C128" s="26" t="str">
        <x:v>2335637</x:v>
      </x:c>
      <x:c r="D128" s="28" t="str">
        <x:v>Behavioral comparisons of liked and disliked hyperactive children in play contexts and the behavioral accommodations by their classmates.</x:v>
      </x:c>
      <x:c r="E128" s="28" t="str">
        <x:v>Primary/contextual journal article</x:v>
      </x:c>
      <x:c r="F128" s="28" t="str">
        <x:v>Development &amp; presentation; Social &amp; structural; Treatment &amp; support</x:v>
      </x:c>
      <x:c r="G128" s="28" t="str">
        <x:v>Childhood</x:v>
      </x:c>
      <x:c r="H128" s="28" t="str">
        <x:v>Later specialized</x:v>
      </x:c>
      <x:c r="I128" s="28" t="str">
        <x:v>Direct or strongly ADHD-related record retained for later screening; typically narrower treatment, biomarker, mechanistic, or single-comorbidity focus.</x:v>
      </x:c>
      <x:c r="J128" s="38" t="e">
        <x:f>HYPERLINK("https://pubmed.ncbi.nlm.nih.gov/"&amp;C128&amp;"/","Open PubMed")</x:f>
        <x:v>HYPERLINK is not implemented. linkLocation=https://pubmed.ncbi.nlm.nih.gov/2335637/, friendlyName=Open PubMed</x:v>
      </x:c>
    </x:row>
    <x:row r="129">
      <x:c r="A129" s="26" t="str">
        <x:v>PUBMED-2346990</x:v>
      </x:c>
      <x:c r="B129" s="26" t="n">
        <x:v>1990</x:v>
      </x:c>
      <x:c r="C129" s="26" t="str">
        <x:v>2346990</x:v>
      </x:c>
      <x:c r="D129" s="28" t="str">
        <x:v>[Epidemiologic study of symptoms of minimal brain dysfunction. 1. Design and testing of methods--the incidence of symptoms in the study group].</x:v>
      </x:c>
      <x:c r="E129" s="28" t="str">
        <x:v>Primary/contextual journal article</x:v>
      </x:c>
      <x:c r="F129" s="28" t="str">
        <x:v>Development &amp; presentation; Recognition &amp; diagnosis; Family &amp; education; Social &amp; structural</x:v>
      </x:c>
      <x:c r="G129" s="28" t="str">
        <x:v>Childhood</x:v>
      </x:c>
      <x:c r="H129" s="28" t="str">
        <x:v>Later specialized</x:v>
      </x:c>
      <x:c r="I129" s="28" t="str">
        <x:v>Direct or strongly ADHD-related record retained for later screening; typically narrower treatment, biomarker, mechanistic, or single-comorbidity focus.</x:v>
      </x:c>
      <x:c r="J129" s="38" t="e">
        <x:f>HYPERLINK("https://pubmed.ncbi.nlm.nih.gov/"&amp;C129&amp;"/","Open PubMed")</x:f>
        <x:v>HYPERLINK is not implemented. linkLocation=https://pubmed.ncbi.nlm.nih.gov/2346990/, friendlyName=Open PubMed</x:v>
      </x:c>
    </x:row>
    <x:row r="130">
      <x:c r="A130" s="26" t="str">
        <x:v>PUBMED-2346989</x:v>
      </x:c>
      <x:c r="B130" s="26" t="n">
        <x:v>1990</x:v>
      </x:c>
      <x:c r="C130" s="26" t="str">
        <x:v>2346989</x:v>
      </x:c>
      <x:c r="D130" s="28" t="str">
        <x:v>[Changes in the concept of minimal brain dysfunction in modern diagnostic classification and its manifestation in our theory and practice].</x:v>
      </x:c>
      <x:c r="E130" s="28" t="str">
        <x:v>Primary/contextual journal article</x:v>
      </x:c>
      <x:c r="F130" s="28" t="str">
        <x:v>Development &amp; presentation; Recognition &amp; diagnosis; Family &amp; education; Social &amp; structural; Life outcomes &amp; lived experience</x:v>
      </x:c>
      <x:c r="G130" s="28" t="str">
        <x:v>Childhood; Adulthood</x:v>
      </x:c>
      <x:c r="H130" s="28" t="str">
        <x:v>Batch 1 core</x:v>
      </x:c>
      <x:c r="I130" s="28" t="str">
        <x:v>Direct historical-period ADHD/hyperkinesis/minimal-brain-dysfunction focus with human relevance.</x:v>
      </x:c>
      <x:c r="J130" s="38" t="e">
        <x:f>HYPERLINK("https://pubmed.ncbi.nlm.nih.gov/"&amp;C130&amp;"/","Open PubMed")</x:f>
        <x:v>HYPERLINK is not implemented. linkLocation=https://pubmed.ncbi.nlm.nih.gov/2346989/, friendlyName=Open PubMed</x:v>
      </x:c>
    </x:row>
    <x:row r="131">
      <x:c r="A131" s="26" t="str">
        <x:v>PUBMED-2073248</x:v>
      </x:c>
      <x:c r="B131" s="26" t="n">
        <x:v>1990</x:v>
      </x:c>
      <x:c r="C131" s="26" t="str">
        <x:v>2073248</x:v>
      </x:c>
      <x:c r="D131" s="28" t="str">
        <x:v>Use of methylphenidate for attention deficit hyperactivity disorder.</x:v>
      </x:c>
      <x:c r="E131" s="28" t="str">
        <x:v>Other/unclear</x:v>
      </x:c>
      <x:c r="F131" s="28" t="str">
        <x:v>Development &amp; presentation; Treatment &amp; support</x:v>
      </x:c>
      <x:c r="G131" s="28" t="str">
        <x:v>Childhood</x:v>
      </x:c>
      <x:c r="H131" s="28" t="str">
        <x:v>Later specialized</x:v>
      </x:c>
      <x:c r="I131" s="28" t="str">
        <x:v>Direct or strongly ADHD-related record retained for later screening; typically narrower treatment, biomarker, mechanistic, or single-comorbidity focus.</x:v>
      </x:c>
      <x:c r="J131" s="38" t="e">
        <x:f>HYPERLINK("https://pubmed.ncbi.nlm.nih.gov/"&amp;C131&amp;"/","Open PubMed")</x:f>
        <x:v>HYPERLINK is not implemented. linkLocation=https://pubmed.ncbi.nlm.nih.gov/2073248/, friendlyName=Open PubMed</x:v>
      </x:c>
    </x:row>
    <x:row r="132">
      <x:c r="A132" s="26" t="str">
        <x:v>PUBMED-2318926</x:v>
      </x:c>
      <x:c r="B132" s="26" t="n">
        <x:v>1990</x:v>
      </x:c>
      <x:c r="C132" s="26" t="str">
        <x:v>2318926</x:v>
      </x:c>
      <x:c r="D132" s="28" t="str">
        <x:v>Validation of hyperactive, aggressive, and mixed hyperactive/aggressive childhood disorders: a research note.</x:v>
      </x:c>
      <x:c r="E132" s="28" t="str">
        <x:v>Primary/contextual journal article</x:v>
      </x:c>
      <x:c r="F132" s="28" t="str">
        <x:v>Development &amp; presentation; Family &amp; education; Treatment &amp; support</x:v>
      </x:c>
      <x:c r="G132" s="28" t="str">
        <x:v>Childhood</x:v>
      </x:c>
      <x:c r="H132" s="28" t="str">
        <x:v>Later specialized</x:v>
      </x:c>
      <x:c r="I132" s="28" t="str">
        <x:v>Direct or strongly ADHD-related record retained for later screening; typically narrower treatment, biomarker, mechanistic, or single-comorbidity focus.</x:v>
      </x:c>
      <x:c r="J132" s="38" t="e">
        <x:f>HYPERLINK("https://pubmed.ncbi.nlm.nih.gov/"&amp;C132&amp;"/","Open PubMed")</x:f>
        <x:v>HYPERLINK is not implemented. linkLocation=https://pubmed.ncbi.nlm.nih.gov/2318926/, friendlyName=Open PubMed</x:v>
      </x:c>
    </x:row>
    <x:row r="133">
      <x:c r="A133" s="26" t="str">
        <x:v>PUBMED-2316739</x:v>
      </x:c>
      <x:c r="B133" s="26" t="n">
        <x:v>1990</x:v>
      </x:c>
      <x:c r="C133" s="26" t="str">
        <x:v>2316739</x:v>
      </x:c>
      <x:c r="D133" s="28" t="str">
        <x:v>Effects of methylphenidate on early adolescent growth.</x:v>
      </x:c>
      <x:c r="E133" s="28" t="str">
        <x:v>Primary/contextual journal article</x:v>
      </x:c>
      <x:c r="F133" s="28" t="str">
        <x:v>Development &amp; presentation; Treatment &amp; support</x:v>
      </x:c>
      <x:c r="G133" s="28" t="str">
        <x:v>Childhood; Adolescence</x:v>
      </x:c>
      <x:c r="H133" s="28" t="str">
        <x:v>Exclude/incidental</x:v>
      </x:c>
      <x:c r="I133" s="28" t="str">
        <x:v>ADHD appears peripheral or insufficiently aligned with the requested corpus scope based on accessible metadata/abstract.</x:v>
      </x:c>
      <x:c r="J133" s="38" t="e">
        <x:f>HYPERLINK("https://pubmed.ncbi.nlm.nih.gov/"&amp;C133&amp;"/","Open PubMed")</x:f>
        <x:v>HYPERLINK is not implemented. linkLocation=https://pubmed.ncbi.nlm.nih.gov/2316739/, friendlyName=Open PubMed</x:v>
      </x:c>
    </x:row>
    <x:row r="134">
      <x:c r="A134" s="26" t="str">
        <x:v>PUBMED-2365831</x:v>
      </x:c>
      <x:c r="B134" s="26" t="n">
        <x:v>1990</x:v>
      </x:c>
      <x:c r="C134" s="26" t="str">
        <x:v>2365831</x:v>
      </x:c>
      <x:c r="D134" s="28" t="str">
        <x:v>Soft neurological signs and impulsivity in children.</x:v>
      </x:c>
      <x:c r="E134" s="28" t="str">
        <x:v>Primary/contextual journal article</x:v>
      </x:c>
      <x:c r="F134" s="28" t="str">
        <x:v>Development &amp; presentation; Recognition &amp; diagnosis; Social &amp; structural; Treatment &amp; support; Life outcomes &amp; lived experience</x:v>
      </x:c>
      <x:c r="G134" s="28" t="str">
        <x:v>Childhood; Adolescence</x:v>
      </x:c>
      <x:c r="H134" s="28" t="str">
        <x:v>Exclude/incidental</x:v>
      </x:c>
      <x:c r="I134" s="28" t="str">
        <x:v>ADHD appears peripheral or insufficiently aligned with the requested corpus scope based on accessible metadata/abstract.</x:v>
      </x:c>
      <x:c r="J134" s="38" t="e">
        <x:f>HYPERLINK("https://pubmed.ncbi.nlm.nih.gov/"&amp;C134&amp;"/","Open PubMed")</x:f>
        <x:v>HYPERLINK is not implemented. linkLocation=https://pubmed.ncbi.nlm.nih.gov/2365831/, friendlyName=Open PubMed</x:v>
      </x:c>
    </x:row>
    <x:row r="135">
      <x:c r="A135" s="26" t="str">
        <x:v>PUBMED-2073256</x:v>
      </x:c>
      <x:c r="B135" s="26" t="n">
        <x:v>1990</x:v>
      </x:c>
      <x:c r="C135" s="26" t="str">
        <x:v>2073256</x:v>
      </x:c>
      <x:c r="D135" s="28" t="str">
        <x:v>Use of methylphenidate for attention deficit hyperactivity disorder.</x:v>
      </x:c>
      <x:c r="E135" s="28" t="str">
        <x:v>Contextual - editorial/comment</x:v>
      </x:c>
      <x:c r="F135" s="28" t="str">
        <x:v>Development &amp; presentation; Family &amp; education; Treatment &amp; support</x:v>
      </x:c>
      <x:c r="G135" s="28" t="str">
        <x:v>Childhood; Adolescence</x:v>
      </x:c>
      <x:c r="H135" s="28" t="str">
        <x:v>Later specialized</x:v>
      </x:c>
      <x:c r="I135" s="28" t="str">
        <x:v>Direct or strongly ADHD-related record retained for later screening; typically narrower treatment, biomarker, mechanistic, or single-comorbidity focus.</x:v>
      </x:c>
      <x:c r="J135" s="38" t="e">
        <x:f>HYPERLINK("https://pubmed.ncbi.nlm.nih.gov/"&amp;C135&amp;"/","Open PubMed")</x:f>
        <x:v>HYPERLINK is not implemented. linkLocation=https://pubmed.ncbi.nlm.nih.gov/2073256/, friendlyName=Open PubMed</x:v>
      </x:c>
    </x:row>
    <x:row r="136">
      <x:c r="A136" s="26" t="str">
        <x:v>PUBMED-2397654</x:v>
      </x:c>
      <x:c r="B136" s="26" t="n">
        <x:v>1990</x:v>
      </x:c>
      <x:c r="C136" s="26" t="str">
        <x:v>2397654</x:v>
      </x:c>
      <x:c r="D136" s="28" t="str">
        <x:v>Predicting substance abuse in juvenile offenders: attention deficit disorder versus aggressivity.</x:v>
      </x:c>
      <x:c r="E136" s="28" t="str">
        <x:v>Primary/contextual journal article</x:v>
      </x:c>
      <x:c r="F136" s="28" t="str">
        <x:v>Development &amp; presentation; Recognition &amp; diagnosis; Life outcomes &amp; lived experience</x:v>
      </x:c>
      <x:c r="G136" s="28" t="str">
        <x:v>Adolescence</x:v>
      </x:c>
      <x:c r="H136" s="28" t="str">
        <x:v>Later specialized</x:v>
      </x:c>
      <x:c r="I136" s="28" t="str">
        <x:v>Direct or strongly ADHD-related record retained for later screening; typically narrower treatment, biomarker, mechanistic, or single-comorbidity focus.</x:v>
      </x:c>
      <x:c r="J136" s="38" t="e">
        <x:f>HYPERLINK("https://pubmed.ncbi.nlm.nih.gov/"&amp;C136&amp;"/","Open PubMed")</x:f>
        <x:v>HYPERLINK is not implemented. linkLocation=https://pubmed.ncbi.nlm.nih.gov/2397654/, friendlyName=Open PubMed</x:v>
      </x:c>
    </x:row>
    <x:row r="137">
      <x:c r="A137" s="26" t="str">
        <x:v>PUBMED-2387799</x:v>
      </x:c>
      <x:c r="B137" s="26" t="n">
        <x:v>1990</x:v>
      </x:c>
      <x:c r="C137" s="26" t="str">
        <x:v>2387799</x:v>
      </x:c>
      <x:c r="D137" s="28" t="str">
        <x:v>Convergence of DSM-III diagnoses and self-reported symptoms in child and adolescent inpatients.</x:v>
      </x:c>
      <x:c r="E137" s="28" t="str">
        <x:v>Primary/contextual journal article</x:v>
      </x:c>
      <x:c r="F137" s="28" t="str">
        <x:v>Development &amp; presentation; Recognition &amp; diagnosis; Life outcomes &amp; lived experience</x:v>
      </x:c>
      <x:c r="G137" s="28" t="str">
        <x:v>Childhood; Adolescence</x:v>
      </x:c>
      <x:c r="H137" s="28" t="str">
        <x:v>Exclude/incidental</x:v>
      </x:c>
      <x:c r="I137" s="28" t="str">
        <x:v>ADHD appears peripheral or insufficiently aligned with the requested corpus scope based on accessible metadata/abstract.</x:v>
      </x:c>
      <x:c r="J137" s="38" t="e">
        <x:f>HYPERLINK("https://pubmed.ncbi.nlm.nih.gov/"&amp;C137&amp;"/","Open PubMed")</x:f>
        <x:v>HYPERLINK is not implemented. linkLocation=https://pubmed.ncbi.nlm.nih.gov/2387799/, friendlyName=Open PubMed</x:v>
      </x:c>
    </x:row>
    <x:row r="138">
      <x:c r="A138" s="26" t="str">
        <x:v>PUBMED-2398122</x:v>
      </x:c>
      <x:c r="B138" s="26" t="n">
        <x:v>1990</x:v>
      </x:c>
      <x:c r="C138" s="26" t="str">
        <x:v>2398122</x:v>
      </x:c>
      <x:c r="D138" s="28" t="str">
        <x:v>The effects of reinforcement and response-cost on a delayed response task in children with attention deficit hyperactivity disorder: a research note.</x:v>
      </x:c>
      <x:c r="E138" s="28" t="str">
        <x:v>Primary/contextual journal article</x:v>
      </x:c>
      <x:c r="F138" s="28" t="str">
        <x:v>Development &amp; presentation; Social &amp; structural</x:v>
      </x:c>
      <x:c r="G138" s="28" t="str">
        <x:v>Childhood</x:v>
      </x:c>
      <x:c r="H138" s="28" t="str">
        <x:v>Later specialized</x:v>
      </x:c>
      <x:c r="I138" s="28" t="str">
        <x:v>Direct or strongly ADHD-related record retained for later screening; typically narrower treatment, biomarker, mechanistic, or single-comorbidity focus.</x:v>
      </x:c>
      <x:c r="J138" s="38" t="e">
        <x:f>HYPERLINK("https://pubmed.ncbi.nlm.nih.gov/"&amp;C138&amp;"/","Open PubMed")</x:f>
        <x:v>HYPERLINK is not implemented. linkLocation=https://pubmed.ncbi.nlm.nih.gov/2398122/, friendlyName=Open PubMed</x:v>
      </x:c>
    </x:row>
    <x:row r="139">
      <x:c r="A139" s="26" t="str">
        <x:v>PUBMED-2348033</x:v>
      </x:c>
      <x:c r="B139" s="26" t="n">
        <x:v>1990</x:v>
      </x:c>
      <x:c r="C139" s="26" t="str">
        <x:v>2348033</x:v>
      </x:c>
      <x:c r="D139" s="28" t="str">
        <x:v>Evidence of difficulties in sustained attention in children with ADDH.</x:v>
      </x:c>
      <x:c r="E139" s="28" t="str">
        <x:v>Primary/contextual journal article</x:v>
      </x:c>
      <x:c r="F139" s="28" t="str">
        <x:v>Development &amp; presentation; Recognition &amp; diagnosis</x:v>
      </x:c>
      <x:c r="G139" s="28" t="str">
        <x:v>Childhood</x:v>
      </x:c>
      <x:c r="H139" s="28" t="str">
        <x:v>Later specialized</x:v>
      </x:c>
      <x:c r="I139" s="28" t="str">
        <x:v>Direct or strongly ADHD-related record retained for later screening; typically narrower treatment, biomarker, mechanistic, or single-comorbidity focus.</x:v>
      </x:c>
      <x:c r="J139" s="38" t="e">
        <x:f>HYPERLINK("https://pubmed.ncbi.nlm.nih.gov/"&amp;C139&amp;"/","Open PubMed")</x:f>
        <x:v>HYPERLINK is not implemented. linkLocation=https://pubmed.ncbi.nlm.nih.gov/2348033/, friendlyName=Open PubMed</x:v>
      </x:c>
    </x:row>
    <x:row r="140">
      <x:c r="A140" s="26" t="str">
        <x:v>PUBMED-2322913</x:v>
      </x:c>
      <x:c r="B140" s="26" t="n">
        <x:v>1990</x:v>
      </x:c>
      <x:c r="C140" s="26" t="str">
        <x:v>2322913</x:v>
      </x:c>
      <x:c r="D140" s="28" t="str">
        <x:v>Use of methylphenidate for attention deficit hyperactivity disorder. Mental Health Committee, Canadian Paediatric Society.</x:v>
      </x:c>
      <x:c r="E140" s="28" t="str">
        <x:v>Primary/contextual journal article</x:v>
      </x:c>
      <x:c r="F140" s="28" t="str">
        <x:v>Development &amp; presentation; Social &amp; structural; Treatment &amp; support</x:v>
      </x:c>
      <x:c r="G140" s="28" t="str">
        <x:v>Childhood; Adolescence</x:v>
      </x:c>
      <x:c r="H140" s="28" t="str">
        <x:v>Later specialized</x:v>
      </x:c>
      <x:c r="I140" s="28" t="str">
        <x:v>Direct or strongly ADHD-related record retained for later screening; typically narrower treatment, biomarker, mechanistic, or single-comorbidity focus.</x:v>
      </x:c>
      <x:c r="J140" s="38" t="e">
        <x:f>HYPERLINK("https://pubmed.ncbi.nlm.nih.gov/"&amp;C140&amp;"/","Open PubMed")</x:f>
        <x:v>HYPERLINK is not implemented. linkLocation=https://pubmed.ncbi.nlm.nih.gov/2322913/, friendlyName=Open PubMed</x:v>
      </x:c>
    </x:row>
    <x:row r="141">
      <x:c r="A141" s="26" t="str">
        <x:v>PUBMED-2399769</x:v>
      </x:c>
      <x:c r="B141" s="26" t="n">
        <x:v>1990</x:v>
      </x:c>
      <x:c r="C141" s="26" t="str">
        <x:v>2399769</x:v>
      </x:c>
      <x:c r="D141" s="28" t="str">
        <x:v>[Psychiatric manifestations in children with speech disorders with and without minimal brain dysfunction].</x:v>
      </x:c>
      <x:c r="E141" s="28" t="str">
        <x:v>Primary/contextual journal article</x:v>
      </x:c>
      <x:c r="F141" s="28" t="str">
        <x:v>Development &amp; presentation; Recognition &amp; diagnosis; Social &amp; structural</x:v>
      </x:c>
      <x:c r="G141" s="28" t="str">
        <x:v>Childhood</x:v>
      </x:c>
      <x:c r="H141" s="28" t="str">
        <x:v>Later specialized</x:v>
      </x:c>
      <x:c r="I141" s="28" t="str">
        <x:v>Direct or strongly ADHD-related record retained for later screening; typically narrower treatment, biomarker, mechanistic, or single-comorbidity focus.</x:v>
      </x:c>
      <x:c r="J141" s="38" t="e">
        <x:f>HYPERLINK("https://pubmed.ncbi.nlm.nih.gov/"&amp;C141&amp;"/","Open PubMed")</x:f>
        <x:v>HYPERLINK is not implemented. linkLocation=https://pubmed.ncbi.nlm.nih.gov/2399769/, friendlyName=Open PubMed</x:v>
      </x:c>
    </x:row>
    <x:row r="142">
      <x:c r="A142" s="26" t="str">
        <x:v>PUBMED-2304804</x:v>
      </x:c>
      <x:c r="B142" s="26" t="n">
        <x:v>1990</x:v>
      </x:c>
      <x:c r="C142" s="26" t="str">
        <x:v>2304804</x:v>
      </x:c>
      <x:c r="D142" s="28" t="str">
        <x:v>Disorders of attention and activity level in a referral population.</x:v>
      </x:c>
      <x:c r="E142" s="28" t="str">
        <x:v>Primary/contextual journal article</x:v>
      </x:c>
      <x:c r="F142" s="28" t="str">
        <x:v>Development &amp; presentation; Recognition &amp; diagnosis; Family &amp; education; Treatment &amp; support</x:v>
      </x:c>
      <x:c r="G142" s="28" t="str">
        <x:v>Childhood; Adolescence</x:v>
      </x:c>
      <x:c r="H142" s="28" t="str">
        <x:v>Later specialized</x:v>
      </x:c>
      <x:c r="I142" s="28" t="str">
        <x:v>Direct or strongly ADHD-related record retained for later screening; typically narrower treatment, biomarker, mechanistic, or single-comorbidity focus.</x:v>
      </x:c>
      <x:c r="J142" s="38" t="e">
        <x:f>HYPERLINK("https://pubmed.ncbi.nlm.nih.gov/"&amp;C142&amp;"/","Open PubMed")</x:f>
        <x:v>HYPERLINK is not implemented. linkLocation=https://pubmed.ncbi.nlm.nih.gov/2304804/, friendlyName=Open PubMed</x:v>
      </x:c>
    </x:row>
    <x:row r="143">
      <x:c r="A143" s="26" t="str">
        <x:v>PUBMED-2124222</x:v>
      </x:c>
      <x:c r="B143" s="26" t="n">
        <x:v>1990</x:v>
      </x:c>
      <x:c r="C143" s="26" t="str">
        <x:v>2124222</x:v>
      </x:c>
      <x:c r="D143" s="28" t="str">
        <x:v>Change from Mg-pemoline to bupropion in a 12-year-old boy with attention-deficit hyperactivity disorder.</x:v>
      </x:c>
      <x:c r="E143" s="28" t="str">
        <x:v>Other/unclear</x:v>
      </x:c>
      <x:c r="F143" s="28" t="str">
        <x:v>Development &amp; presentation; Treatment &amp; support; Life outcomes &amp; lived experience</x:v>
      </x:c>
      <x:c r="G143" s="28" t="str">
        <x:v>Childhood</x:v>
      </x:c>
      <x:c r="H143" s="28" t="str">
        <x:v>Later specialized</x:v>
      </x:c>
      <x:c r="I143" s="28" t="str">
        <x:v>Direct or strongly ADHD-related record retained for later screening; typically narrower treatment, biomarker, mechanistic, or single-comorbidity focus.</x:v>
      </x:c>
      <x:c r="J143" s="38" t="e">
        <x:f>HYPERLINK("https://pubmed.ncbi.nlm.nih.gov/"&amp;C143&amp;"/","Open PubMed")</x:f>
        <x:v>HYPERLINK is not implemented. linkLocation=https://pubmed.ncbi.nlm.nih.gov/2124222/, friendlyName=Open PubMed</x:v>
      </x:c>
    </x:row>
    <x:row r="144">
      <x:c r="A144" s="26" t="str">
        <x:v>PUBMED-2075028</x:v>
      </x:c>
      <x:c r="B144" s="26" t="n">
        <x:v>1990</x:v>
      </x:c>
      <x:c r="C144" s="26" t="str">
        <x:v>2075028</x:v>
      </x:c>
      <x:c r="D144" s="28" t="str">
        <x:v>Auditory stimulus intensity gradients and response to methylphenidate in ADD children.</x:v>
      </x:c>
      <x:c r="E144" s="28" t="str">
        <x:v>Primary/contextual journal article</x:v>
      </x:c>
      <x:c r="F144" s="28" t="str">
        <x:v>Development &amp; presentation; Family &amp; education; Social &amp; structural; Treatment &amp; support; Life outcomes &amp; lived experience</x:v>
      </x:c>
      <x:c r="G144" s="28" t="str">
        <x:v>Childhood</x:v>
      </x:c>
      <x:c r="H144" s="28" t="str">
        <x:v>Later specialized</x:v>
      </x:c>
      <x:c r="I144" s="28" t="str">
        <x:v>Direct or strongly ADHD-related record retained for later screening; typically narrower treatment, biomarker, mechanistic, or single-comorbidity focus.</x:v>
      </x:c>
      <x:c r="J144" s="38" t="e">
        <x:f>HYPERLINK("https://pubmed.ncbi.nlm.nih.gov/"&amp;C144&amp;"/","Open PubMed")</x:f>
        <x:v>HYPERLINK is not implemented. linkLocation=https://pubmed.ncbi.nlm.nih.gov/2075028/, friendlyName=Open PubMed</x:v>
      </x:c>
    </x:row>
    <x:row r="145">
      <x:c r="A145" s="26" t="str">
        <x:v>PUBMED-1691910</x:v>
      </x:c>
      <x:c r="B145" s="26" t="n">
        <x:v>1990</x:v>
      </x:c>
      <x:c r="C145" s="26" t="str">
        <x:v>1691910</x:v>
      </x:c>
      <x:c r="D145" s="28" t="str">
        <x:v>Cerebrospinal fluid monoamine metabolites, aggression, and impulsivity in disruptive behavior disorders of children and adolescents.</x:v>
      </x:c>
      <x:c r="E145" s="28" t="str">
        <x:v>Primary/contextual journal article</x:v>
      </x:c>
      <x:c r="F145" s="28" t="str">
        <x:v>Development &amp; presentation; Recognition &amp; diagnosis; Social &amp; structural; Environmental &amp; lifestyle; Life outcomes &amp; lived experience</x:v>
      </x:c>
      <x:c r="G145" s="28" t="str">
        <x:v>Childhood; Adolescence</x:v>
      </x:c>
      <x:c r="H145" s="28" t="str">
        <x:v>Exclude/incidental</x:v>
      </x:c>
      <x:c r="I145" s="28" t="str">
        <x:v>ADHD appears peripheral or insufficiently aligned with the requested corpus scope based on accessible metadata/abstract.</x:v>
      </x:c>
      <x:c r="J145" s="38" t="e">
        <x:f>HYPERLINK("https://pubmed.ncbi.nlm.nih.gov/"&amp;C145&amp;"/","Open PubMed")</x:f>
        <x:v>HYPERLINK is not implemented. linkLocation=https://pubmed.ncbi.nlm.nih.gov/1691910/, friendlyName=Open PubMed</x:v>
      </x:c>
    </x:row>
    <x:row r="146">
      <x:c r="A146" s="26" t="str">
        <x:v>PUBMED-2324060</x:v>
      </x:c>
      <x:c r="B146" s="26" t="n">
        <x:v>1990</x:v>
      </x:c>
      <x:c r="C146" s="26" t="str">
        <x:v>2324060</x:v>
      </x:c>
      <x:c r="D146" s="28" t="str">
        <x:v>Genetic latent structure analysis of dysmorphology in attention deficit disorder.</x:v>
      </x:c>
      <x:c r="E146" s="28" t="str">
        <x:v>Primary/contextual journal article</x:v>
      </x:c>
      <x:c r="F146" s="28" t="str">
        <x:v>Development &amp; presentation; Recognition &amp; diagnosis; Social &amp; structural</x:v>
      </x:c>
      <x:c r="G146" s="28" t="str">
        <x:v>Childhood</x:v>
      </x:c>
      <x:c r="H146" s="28" t="str">
        <x:v>Later specialized</x:v>
      </x:c>
      <x:c r="I146" s="28" t="str">
        <x:v>Direct or strongly ADHD-related record retained for later screening; typically narrower treatment, biomarker, mechanistic, or single-comorbidity focus.</x:v>
      </x:c>
      <x:c r="J146" s="38" t="e">
        <x:f>HYPERLINK("https://pubmed.ncbi.nlm.nih.gov/"&amp;C146&amp;"/","Open PubMed")</x:f>
        <x:v>HYPERLINK is not implemented. linkLocation=https://pubmed.ncbi.nlm.nih.gov/2324060/, friendlyName=Open PubMed</x:v>
      </x:c>
    </x:row>
    <x:row r="147">
      <x:c r="A147" s="26" t="str">
        <x:v>PUBMED-2348809</x:v>
      </x:c>
      <x:c r="B147" s="26" t="n">
        <x:v>1990</x:v>
      </x:c>
      <x:c r="C147" s="26" t="str">
        <x:v>2348809</x:v>
      </x:c>
      <x:c r="D147" s="28" t="str">
        <x:v>[Evoked potentials and the mode of cognitive development in boys 6 to 8 years of age presenting hyperactivity with attention deficit].</x:v>
      </x:c>
      <x:c r="E147" s="28" t="str">
        <x:v>Primary/contextual journal article</x:v>
      </x:c>
      <x:c r="F147" s="28" t="str">
        <x:v>Development &amp; presentation; Social &amp; structural</x:v>
      </x:c>
      <x:c r="G147" s="28" t="str">
        <x:v>Childhood</x:v>
      </x:c>
      <x:c r="H147" s="28" t="str">
        <x:v>Later specialized</x:v>
      </x:c>
      <x:c r="I147" s="28" t="str">
        <x:v>Direct or strongly ADHD-related record retained for later screening; typically narrower treatment, biomarker, mechanistic, or single-comorbidity focus.</x:v>
      </x:c>
      <x:c r="J147" s="38" t="e">
        <x:f>HYPERLINK("https://pubmed.ncbi.nlm.nih.gov/"&amp;C147&amp;"/","Open PubMed")</x:f>
        <x:v>HYPERLINK is not implemented. linkLocation=https://pubmed.ncbi.nlm.nih.gov/2348809/, friendlyName=Open PubMed</x:v>
      </x:c>
    </x:row>
    <x:row r="148">
      <x:c r="A148" s="26" t="str">
        <x:v>PUBMED-2294852</x:v>
      </x:c>
      <x:c r="B148" s="26" t="n">
        <x:v>1990</x:v>
      </x:c>
      <x:c r="C148" s="26" t="str">
        <x:v>2294852</x:v>
      </x:c>
      <x:c r="D148" s="28" t="str">
        <x:v>Psychiatric correlates of behavioral inhibition in young children of parents with and without psychiatric disorders.</x:v>
      </x:c>
      <x:c r="E148" s="28" t="str">
        <x:v>Primary/contextual journal article</x:v>
      </x:c>
      <x:c r="F148" s="28" t="str">
        <x:v>Development &amp; presentation; Recognition &amp; diagnosis; Family &amp; education; Social &amp; structural; Treatment &amp; support</x:v>
      </x:c>
      <x:c r="G148" s="28" t="str">
        <x:v>Childhood</x:v>
      </x:c>
      <x:c r="H148" s="28" t="str">
        <x:v>Exclude/incidental</x:v>
      </x:c>
      <x:c r="I148" s="28" t="str">
        <x:v>ADHD appears peripheral or insufficiently aligned with the requested corpus scope based on accessible metadata/abstract.</x:v>
      </x:c>
      <x:c r="J148" s="38" t="e">
        <x:f>HYPERLINK("https://pubmed.ncbi.nlm.nih.gov/"&amp;C148&amp;"/","Open PubMed")</x:f>
        <x:v>HYPERLINK is not implemented. linkLocation=https://pubmed.ncbi.nlm.nih.gov/2294852/, friendlyName=Open PubMed</x:v>
      </x:c>
    </x:row>
    <x:row r="149">
      <x:c r="A149" s="26" t="str">
        <x:v>PUBMED-2378920</x:v>
      </x:c>
      <x:c r="B149" s="26" t="n">
        <x:v>1990</x:v>
      </x:c>
      <x:c r="C149" s="26" t="str">
        <x:v>2378920</x:v>
      </x:c>
      <x:c r="D149" s="28" t="str">
        <x:v>Hyperactivity and serum and hair zinc levels in 11-year-old children from the general population.</x:v>
      </x:c>
      <x:c r="E149" s="28" t="str">
        <x:v>Primary/contextual journal article</x:v>
      </x:c>
      <x:c r="F149" s="28" t="str">
        <x:v>Development &amp; presentation</x:v>
      </x:c>
      <x:c r="G149" s="28" t="str">
        <x:v>Childhood</x:v>
      </x:c>
      <x:c r="H149" s="28" t="str">
        <x:v>Later specialized</x:v>
      </x:c>
      <x:c r="I149" s="28" t="str">
        <x:v>Direct or strongly ADHD-related record retained for later screening; typically narrower treatment, biomarker, mechanistic, or single-comorbidity focus.</x:v>
      </x:c>
      <x:c r="J149" s="38" t="e">
        <x:f>HYPERLINK("https://pubmed.ncbi.nlm.nih.gov/"&amp;C149&amp;"/","Open PubMed")</x:f>
        <x:v>HYPERLINK is not implemented. linkLocation=https://pubmed.ncbi.nlm.nih.gov/2378920/, friendlyName=Open PubMed</x:v>
      </x:c>
    </x:row>
    <x:row r="150">
      <x:c r="A150" s="26" t="str">
        <x:v>PUBMED-2347274</x:v>
      </x:c>
      <x:c r="B150" s="26" t="n">
        <x:v>1990</x:v>
      </x:c>
      <x:c r="C150" s="26" t="str">
        <x:v>2347274</x:v>
      </x:c>
      <x:c r="D150" s="28" t="str">
        <x:v>[The effect of intrapartum and neonatal asphyxia on the cognitive and behavioral development of children].</x:v>
      </x:c>
      <x:c r="E150" s="28" t="str">
        <x:v>Primary/contextual journal article</x:v>
      </x:c>
      <x:c r="F150" s="28" t="str">
        <x:v>Development &amp; presentation; Recognition &amp; diagnosis; Social &amp; structural; Treatment &amp; support; Life outcomes &amp; lived experience; Historical &amp; contemporary context</x:v>
      </x:c>
      <x:c r="G150" s="28" t="str">
        <x:v>Childhood</x:v>
      </x:c>
      <x:c r="H150" s="28" t="str">
        <x:v>Later specialized</x:v>
      </x:c>
      <x:c r="I150" s="28" t="str">
        <x:v>Direct or strongly ADHD-related record retained for later screening; typically narrower treatment, biomarker, mechanistic, or single-comorbidity focus.</x:v>
      </x:c>
      <x:c r="J150" s="38" t="e">
        <x:f>HYPERLINK("https://pubmed.ncbi.nlm.nih.gov/"&amp;C150&amp;"/","Open PubMed")</x:f>
        <x:v>HYPERLINK is not implemented. linkLocation=https://pubmed.ncbi.nlm.nih.gov/2347274/, friendlyName=Open PubMed</x:v>
      </x:c>
    </x:row>
    <x:row r="151">
      <x:c r="A151" s="26" t="str">
        <x:v>PUBMED-2246861</x:v>
      </x:c>
      <x:c r="B151" s="26" t="n">
        <x:v>1990</x:v>
      </x:c>
      <x:c r="C151" s="26" t="str">
        <x:v>2246861</x:v>
      </x:c>
      <x:c r="D151" s="28" t="str">
        <x:v>Haloperidol-induced hyperammonaemia in a child with citrullinaemia.</x:v>
      </x:c>
      <x:c r="E151" s="28" t="str">
        <x:v>Primary/contextual journal article</x:v>
      </x:c>
      <x:c r="F151" s="28" t="str">
        <x:v>Development &amp; presentation; Family &amp; education; Treatment &amp; support</x:v>
      </x:c>
      <x:c r="G151" s="28" t="str">
        <x:v>Childhood</x:v>
      </x:c>
      <x:c r="H151" s="28" t="str">
        <x:v>Exclude/incidental</x:v>
      </x:c>
      <x:c r="I151" s="28" t="str">
        <x:v>ADHD appears peripheral or insufficiently aligned with the requested corpus scope based on accessible metadata/abstract.</x:v>
      </x:c>
      <x:c r="J151" s="38" t="e">
        <x:f>HYPERLINK("https://pubmed.ncbi.nlm.nih.gov/"&amp;C151&amp;"/","Open PubMed")</x:f>
        <x:v>HYPERLINK is not implemented. linkLocation=https://pubmed.ncbi.nlm.nih.gov/2246861/, friendlyName=Open PubMed</x:v>
      </x:c>
    </x:row>
    <x:row r="152">
      <x:c r="A152" s="26" t="str">
        <x:v>PUBMED-2079946</x:v>
      </x:c>
      <x:c r="B152" s="26" t="n">
        <x:v>1990</x:v>
      </x:c>
      <x:c r="C152" s="26" t="str">
        <x:v>2079946</x:v>
      </x:c>
      <x:c r="D152" s="28" t="str">
        <x:v>[Dubowitz syndrome: a dysmorphism syndrome with developmental delay, transitory short stature, hyperactive behavior and atopic dermatitis].</x:v>
      </x:c>
      <x:c r="E152" s="28" t="str">
        <x:v>Primary/contextual journal article</x:v>
      </x:c>
      <x:c r="F152" s="28" t="str">
        <x:v>Development &amp; presentation; Family &amp; education; Social &amp; structural; Treatment &amp; support</x:v>
      </x:c>
      <x:c r="G152" s="28" t="str">
        <x:v>Childhood</x:v>
      </x:c>
      <x:c r="H152" s="28" t="str">
        <x:v>Later specialized</x:v>
      </x:c>
      <x:c r="I152" s="28" t="str">
        <x:v>Direct or strongly ADHD-related record retained for later screening; typically narrower treatment, biomarker, mechanistic, or single-comorbidity focus.</x:v>
      </x:c>
      <x:c r="J152" s="38" t="e">
        <x:f>HYPERLINK("https://pubmed.ncbi.nlm.nih.gov/"&amp;C152&amp;"/","Open PubMed")</x:f>
        <x:v>HYPERLINK is not implemented. linkLocation=https://pubmed.ncbi.nlm.nih.gov/2079946/, friendlyName=Open PubMed</x:v>
      </x:c>
    </x:row>
    <x:row r="153">
      <x:c r="A153" s="26" t="str">
        <x:v>PUBMED-2302025</x:v>
      </x:c>
      <x:c r="B153" s="26" t="n">
        <x:v>1990</x:v>
      </x:c>
      <x:c r="C153" s="26" t="str">
        <x:v>2302025</x:v>
      </x:c>
      <x:c r="D153" s="28" t="str">
        <x:v>Children with major depression show reduced rapid eye movement latencies.</x:v>
      </x:c>
      <x:c r="E153" s="28" t="str">
        <x:v>Primary/contextual journal article</x:v>
      </x:c>
      <x:c r="F153" s="28" t="str">
        <x:v>Development &amp; presentation; Recognition &amp; diagnosis; Social &amp; structural; Environmental &amp; lifestyle</x:v>
      </x:c>
      <x:c r="G153" s="28" t="str">
        <x:v>Childhood; Adolescence; Adulthood</x:v>
      </x:c>
      <x:c r="H153" s="28" t="str">
        <x:v>Exclude/incidental</x:v>
      </x:c>
      <x:c r="I153" s="28" t="str">
        <x:v>ADHD appears peripheral or insufficiently aligned with the requested corpus scope based on accessible metadata/abstract.</x:v>
      </x:c>
      <x:c r="J153" s="38" t="e">
        <x:f>HYPERLINK("https://pubmed.ncbi.nlm.nih.gov/"&amp;C153&amp;"/","Open PubMed")</x:f>
        <x:v>HYPERLINK is not implemented. linkLocation=https://pubmed.ncbi.nlm.nih.gov/2302025/, friendlyName=Open PubMed</x:v>
      </x:c>
    </x:row>
    <x:row r="154">
      <x:c r="A154" s="26" t="str">
        <x:v>PUBMED-2288166</x:v>
      </x:c>
      <x:c r="B154" s="26" t="n">
        <x:v>1990</x:v>
      </x:c>
      <x:c r="C154" s="26" t="str">
        <x:v>2288166</x:v>
      </x:c>
      <x:c r="D154" s="28" t="str">
        <x:v>[Are there sex differences in the manifestation of hyperkinetic syndrome?].</x:v>
      </x:c>
      <x:c r="E154" s="28" t="str">
        <x:v>Primary/contextual journal article</x:v>
      </x:c>
      <x:c r="F154" s="28" t="str">
        <x:v>Development &amp; presentation; Recognition &amp; diagnosis; Family &amp; education; Social &amp; structural; Environmental &amp; lifestyle; Treatment &amp; support</x:v>
      </x:c>
      <x:c r="G154" s="28" t="str">
        <x:v>Childhood; Adolescence</x:v>
      </x:c>
      <x:c r="H154" s="28" t="str">
        <x:v>Batch 1 core</x:v>
      </x:c>
      <x:c r="I154" s="28" t="str">
        <x:v>Direct historical-period ADHD/hyperkinesis/minimal-brain-dysfunction focus with human relevance.</x:v>
      </x:c>
      <x:c r="J154" s="38" t="e">
        <x:f>HYPERLINK("https://pubmed.ncbi.nlm.nih.gov/"&amp;C154&amp;"/","Open PubMed")</x:f>
        <x:v>HYPERLINK is not implemented. linkLocation=https://pubmed.ncbi.nlm.nih.gov/2288166/, friendlyName=Open PubMed</x:v>
      </x:c>
    </x:row>
    <x:row r="155">
      <x:c r="A155" s="26" t="str">
        <x:v>PUBMED-2246339</x:v>
      </x:c>
      <x:c r="B155" s="26" t="n">
        <x:v>1990</x:v>
      </x:c>
      <x:c r="C155" s="26" t="str">
        <x:v>2246339</x:v>
      </x:c>
      <x:c r="D155" s="28" t="str">
        <x:v>Follow-up of hard-to-manage preschoolers: adjustment at age 9 and predictors of continuing symptoms.</x:v>
      </x:c>
      <x:c r="E155" s="28" t="str">
        <x:v>Primary/contextual journal article</x:v>
      </x:c>
      <x:c r="F155" s="28" t="str">
        <x:v>Development &amp; presentation; Recognition &amp; diagnosis; Family &amp; education; Social &amp; structural; Environmental &amp; lifestyle</x:v>
      </x:c>
      <x:c r="G155" s="28" t="str">
        <x:v>Childhood</x:v>
      </x:c>
      <x:c r="H155" s="28" t="str">
        <x:v>Exclude/incidental</x:v>
      </x:c>
      <x:c r="I155" s="28" t="str">
        <x:v>ADHD appears peripheral or insufficiently aligned with the requested corpus scope based on accessible metadata/abstract.</x:v>
      </x:c>
      <x:c r="J155" s="38" t="e">
        <x:f>HYPERLINK("https://pubmed.ncbi.nlm.nih.gov/"&amp;C155&amp;"/","Open PubMed")</x:f>
        <x:v>HYPERLINK is not implemented. linkLocation=https://pubmed.ncbi.nlm.nih.gov/2246339/, friendlyName=Open PubMed</x:v>
      </x:c>
    </x:row>
    <x:row r="156">
      <x:c r="A156" s="26" t="str">
        <x:v>PUBMED-2179248</x:v>
      </x:c>
      <x:c r="B156" s="26" t="n">
        <x:v>1990</x:v>
      </x:c>
      <x:c r="C156" s="26" t="str">
        <x:v>2179248</x:v>
      </x:c>
      <x:c r="D156" s="28" t="str">
        <x:v>Genetic factors in child psychiatric disorders--II. Empirical findings.</x:v>
      </x:c>
      <x:c r="E156" s="28" t="str">
        <x:v>Evidence synthesis - review</x:v>
      </x:c>
      <x:c r="F156" s="28" t="str">
        <x:v>Development &amp; presentation; Social &amp; structural</x:v>
      </x:c>
      <x:c r="G156" s="28" t="str">
        <x:v>Childhood; Adolescence</x:v>
      </x:c>
      <x:c r="H156" s="28" t="str">
        <x:v>Exclude/incidental</x:v>
      </x:c>
      <x:c r="I156" s="28" t="str">
        <x:v>ADHD appears peripheral or insufficiently aligned with the requested corpus scope based on accessible metadata/abstract.</x:v>
      </x:c>
      <x:c r="J156" s="38" t="e">
        <x:f>HYPERLINK("https://pubmed.ncbi.nlm.nih.gov/"&amp;C156&amp;"/","Open PubMed")</x:f>
        <x:v>HYPERLINK is not implemented. linkLocation=https://pubmed.ncbi.nlm.nih.gov/2179248/, friendlyName=Open PubMed</x:v>
      </x:c>
    </x:row>
    <x:row r="157">
      <x:c r="A157" s="26" t="str">
        <x:v>PUBMED-2136086</x:v>
      </x:c>
      <x:c r="B157" s="26" t="n">
        <x:v>1990</x:v>
      </x:c>
      <x:c r="C157" s="26" t="str">
        <x:v>2136086</x:v>
      </x:c>
      <x:c r="D157" s="28" t="str">
        <x:v>A survey of Tourette syndrome patients and their families: the 1987 Ohio Tourette Survey.</x:v>
      </x:c>
      <x:c r="E157" s="28" t="str">
        <x:v>Primary/contextual journal article</x:v>
      </x:c>
      <x:c r="F157" s="28" t="str">
        <x:v>Development &amp; presentation; Recognition &amp; diagnosis; Family &amp; education; Social &amp; structural; Environmental &amp; lifestyle; Treatment &amp; support; Historical &amp; contemporary context</x:v>
      </x:c>
      <x:c r="G157" s="28" t="str">
        <x:v>Childhood; Adolescence; Adulthood</x:v>
      </x:c>
      <x:c r="H157" s="28" t="str">
        <x:v>Later specialized</x:v>
      </x:c>
      <x:c r="I157" s="28" t="str">
        <x:v>Direct or strongly ADHD-related record retained for later screening; typically narrower treatment, biomarker, mechanistic, or single-comorbidity focus.</x:v>
      </x:c>
      <x:c r="J157" s="38" t="e">
        <x:f>HYPERLINK("https://pubmed.ncbi.nlm.nih.gov/"&amp;C157&amp;"/","Open PubMed")</x:f>
        <x:v>HYPERLINK is not implemented. linkLocation=https://pubmed.ncbi.nlm.nih.gov/2136086/, friendlyName=Open PubMed</x:v>
      </x:c>
    </x:row>
    <x:row r="158">
      <x:c r="A158" s="26" t="str">
        <x:v>PUBMED-2212053</x:v>
      </x:c>
      <x:c r="B158" s="26" t="n">
        <x:v>1990</x:v>
      </x:c>
      <x:c r="C158" s="26" t="str">
        <x:v>2212053</x:v>
      </x:c>
      <x:c r="D158" s="28" t="str">
        <x:v>Situational variability in boys and girls identified as ADHD.</x:v>
      </x:c>
      <x:c r="E158" s="28" t="str">
        <x:v>Primary/contextual journal article</x:v>
      </x:c>
      <x:c r="F158" s="28" t="str">
        <x:v>Development &amp; presentation; Recognition &amp; diagnosis; Family &amp; education; Social &amp; structural; Environmental &amp; lifestyle</x:v>
      </x:c>
      <x:c r="G158" s="28" t="str">
        <x:v>Childhood</x:v>
      </x:c>
      <x:c r="H158" s="28" t="str">
        <x:v>Batch 1 core</x:v>
      </x:c>
      <x:c r="I158" s="28" t="str">
        <x:v>Direct historical-period ADHD/hyperkinesis/minimal-brain-dysfunction focus with human relevance.</x:v>
      </x:c>
      <x:c r="J158" s="38" t="e">
        <x:f>HYPERLINK("https://pubmed.ncbi.nlm.nih.gov/"&amp;C158&amp;"/","Open PubMed")</x:f>
        <x:v>HYPERLINK is not implemented. linkLocation=https://pubmed.ncbi.nlm.nih.gov/2212053/, friendlyName=Open PubMed</x:v>
      </x:c>
    </x:row>
    <x:row r="159">
      <x:c r="A159" s="26" t="str">
        <x:v>PUBMED-2347850</x:v>
      </x:c>
      <x:c r="B159" s="26" t="n">
        <x:v>1990</x:v>
      </x:c>
      <x:c r="C159" s="26" t="str">
        <x:v>2347850</x:v>
      </x:c>
      <x:c r="D159" s="28" t="str">
        <x:v>Propranolol treatment of akathesia in Tourette's syndrome.</x:v>
      </x:c>
      <x:c r="E159" s="28" t="str">
        <x:v>Primary/contextual journal article</x:v>
      </x:c>
      <x:c r="F159" s="28" t="str">
        <x:v>Development &amp; presentation; Recognition &amp; diagnosis; Social &amp; structural; Treatment &amp; support</x:v>
      </x:c>
      <x:c r="G159" s="28" t="str">
        <x:v>Childhood</x:v>
      </x:c>
      <x:c r="H159" s="28" t="str">
        <x:v>Exclude/incidental</x:v>
      </x:c>
      <x:c r="I159" s="28" t="str">
        <x:v>ADHD appears peripheral or insufficiently aligned with the requested corpus scope based on accessible metadata/abstract.</x:v>
      </x:c>
      <x:c r="J159" s="38" t="e">
        <x:f>HYPERLINK("https://pubmed.ncbi.nlm.nih.gov/"&amp;C159&amp;"/","Open PubMed")</x:f>
        <x:v>HYPERLINK is not implemented. linkLocation=https://pubmed.ncbi.nlm.nih.gov/2347850/, friendlyName=Open PubMed</x:v>
      </x:c>
    </x:row>
    <x:row r="160">
      <x:c r="A160" s="26" t="str">
        <x:v>PUBMED-2363350</x:v>
      </x:c>
      <x:c r="B160" s="26" t="n">
        <x:v>1990</x:v>
      </x:c>
      <x:c r="C160" s="26" t="str">
        <x:v>2363350</x:v>
      </x:c>
      <x:c r="D160" s="28" t="str">
        <x:v>Visual-motor performance in minimal brain dysfunction and normal children.</x:v>
      </x:c>
      <x:c r="E160" s="28" t="str">
        <x:v>Primary/contextual journal article</x:v>
      </x:c>
      <x:c r="F160" s="28" t="str">
        <x:v>Development &amp; presentation</x:v>
      </x:c>
      <x:c r="G160" s="28" t="str">
        <x:v>Childhood</x:v>
      </x:c>
      <x:c r="H160" s="28" t="str">
        <x:v>Later specialized</x:v>
      </x:c>
      <x:c r="I160" s="28" t="str">
        <x:v>Direct or strongly ADHD-related record retained for later screening; typically narrower treatment, biomarker, mechanistic, or single-comorbidity focus.</x:v>
      </x:c>
      <x:c r="J160" s="38" t="e">
        <x:f>HYPERLINK("https://pubmed.ncbi.nlm.nih.gov/"&amp;C160&amp;"/","Open PubMed")</x:f>
        <x:v>HYPERLINK is not implemented. linkLocation=https://pubmed.ncbi.nlm.nih.gov/2363350/, friendlyName=Open PubMed</x:v>
      </x:c>
    </x:row>
    <x:row r="161">
      <x:c r="A161" s="26" t="str">
        <x:v>PUBMED-2395525</x:v>
      </x:c>
      <x:c r="B161" s="26" t="n">
        <x:v>1990</x:v>
      </x:c>
      <x:c r="C161" s="26" t="str">
        <x:v>2395525</x:v>
      </x:c>
      <x:c r="D161" s="28" t="str">
        <x:v>Brain plasticity as a basis for recovery of function in humans.</x:v>
      </x:c>
      <x:c r="E161" s="28" t="str">
        <x:v>Primary/contextual journal article</x:v>
      </x:c>
      <x:c r="F161" s="28" t="str">
        <x:v>Development &amp; presentation; Social &amp; structural; Environmental &amp; lifestyle</x:v>
      </x:c>
      <x:c r="G161" s="28" t="str">
        <x:v>Childhood</x:v>
      </x:c>
      <x:c r="H161" s="28" t="str">
        <x:v>Exclude/incidental</x:v>
      </x:c>
      <x:c r="I161" s="28" t="str">
        <x:v>ADHD appears peripheral or insufficiently aligned with the requested corpus scope based on accessible metadata/abstract.</x:v>
      </x:c>
      <x:c r="J161" s="38" t="e">
        <x:f>HYPERLINK("https://pubmed.ncbi.nlm.nih.gov/"&amp;C161&amp;"/","Open PubMed")</x:f>
        <x:v>HYPERLINK is not implemented. linkLocation=https://pubmed.ncbi.nlm.nih.gov/2395525/, friendlyName=Open PubMed</x:v>
      </x:c>
    </x:row>
    <x:row r="162">
      <x:c r="A162" s="26" t="str">
        <x:v>PUBMED-2312652</x:v>
      </x:c>
      <x:c r="B162" s="26" t="n">
        <x:v>1990</x:v>
      </x:c>
      <x:c r="C162" s="26" t="str">
        <x:v>2312652</x:v>
      </x:c>
      <x:c r="D162" s="28" t="str">
        <x:v>Epidemiology and course of psychiatric disorders in school-age children--results of a longitudinal study.</x:v>
      </x:c>
      <x:c r="E162" s="28" t="str">
        <x:v>Primary study - cross-sectional</x:v>
      </x:c>
      <x:c r="F162" s="28" t="str">
        <x:v>Development &amp; presentation; Family &amp; education; Social &amp; structural; Environmental &amp; lifestyle; Treatment &amp; support</x:v>
      </x:c>
      <x:c r="G162" s="28" t="str">
        <x:v>Childhood; Adolescence</x:v>
      </x:c>
      <x:c r="H162" s="28" t="str">
        <x:v>Exclude/incidental</x:v>
      </x:c>
      <x:c r="I162" s="28" t="str">
        <x:v>ADHD appears peripheral or insufficiently aligned with the requested corpus scope based on accessible metadata/abstract.</x:v>
      </x:c>
      <x:c r="J162" s="38" t="e">
        <x:f>HYPERLINK("https://pubmed.ncbi.nlm.nih.gov/"&amp;C162&amp;"/","Open PubMed")</x:f>
        <x:v>HYPERLINK is not implemented. linkLocation=https://pubmed.ncbi.nlm.nih.gov/2312652/, friendlyName=Open PubMed</x:v>
      </x:c>
    </x:row>
    <x:row r="163">
      <x:c r="A163" s="26" t="str">
        <x:v>PUBMED-2303976</x:v>
      </x:c>
      <x:c r="B163" s="26" t="n">
        <x:v>1990</x:v>
      </x:c>
      <x:c r="C163" s="26" t="str">
        <x:v>2303976</x:v>
      </x:c>
      <x:c r="D163" s="28" t="str">
        <x:v>Hepatotoxicity due to pemoline (Cylert): a report of two cases.</x:v>
      </x:c>
      <x:c r="E163" s="28" t="str">
        <x:v>Primary/contextual journal article</x:v>
      </x:c>
      <x:c r="F163" s="28" t="str">
        <x:v>Development &amp; presentation; Family &amp; education; Social &amp; structural; Environmental &amp; lifestyle; Treatment &amp; support; Historical &amp; contemporary context</x:v>
      </x:c>
      <x:c r="G163" s="28" t="str">
        <x:v>Childhood</x:v>
      </x:c>
      <x:c r="H163" s="28" t="str">
        <x:v>Later specialized</x:v>
      </x:c>
      <x:c r="I163" s="28" t="str">
        <x:v>Direct or strongly ADHD-related record retained for later screening; typically narrower treatment, biomarker, mechanistic, or single-comorbidity focus.</x:v>
      </x:c>
      <x:c r="J163" s="38" t="e">
        <x:f>HYPERLINK("https://pubmed.ncbi.nlm.nih.gov/"&amp;C163&amp;"/","Open PubMed")</x:f>
        <x:v>HYPERLINK is not implemented. linkLocation=https://pubmed.ncbi.nlm.nih.gov/2303976/, friendlyName=Open PubMed</x:v>
      </x:c>
    </x:row>
    <x:row r="164">
      <x:c r="A164" s="26" t="str">
        <x:v>PUBMED-1700858</x:v>
      </x:c>
      <x:c r="B164" s="26" t="n">
        <x:v>1990</x:v>
      </x:c>
      <x:c r="C164" s="26" t="str">
        <x:v>1700858</x:v>
      </x:c>
      <x:c r="D164" s="28" t="str">
        <x:v>CSF somatostatin in childhood psychiatric disorders: a preliminary investigation.</x:v>
      </x:c>
      <x:c r="E164" s="28" t="str">
        <x:v>Primary/contextual journal article</x:v>
      </x:c>
      <x:c r="F164" s="28" t="str">
        <x:v>Development &amp; presentation; Recognition &amp; diagnosis; Social &amp; structural</x:v>
      </x:c>
      <x:c r="G164" s="28" t="str">
        <x:v>Childhood; Adolescence; Adulthood</x:v>
      </x:c>
      <x:c r="H164" s="28" t="str">
        <x:v>Exclude/incidental</x:v>
      </x:c>
      <x:c r="I164" s="28" t="str">
        <x:v>ADHD appears peripheral or insufficiently aligned with the requested corpus scope based on accessible metadata/abstract.</x:v>
      </x:c>
      <x:c r="J164" s="38" t="e">
        <x:f>HYPERLINK("https://pubmed.ncbi.nlm.nih.gov/"&amp;C164&amp;"/","Open PubMed")</x:f>
        <x:v>HYPERLINK is not implemented. linkLocation=https://pubmed.ncbi.nlm.nih.gov/1700858/, friendlyName=Open PubMed</x:v>
      </x:c>
    </x:row>
    <x:row r="165">
      <x:c r="A165" s="26" t="str">
        <x:v>PUBMED-2273037</x:v>
      </x:c>
      <x:c r="B165" s="26" t="n">
        <x:v>1990</x:v>
      </x:c>
      <x:c r="C165" s="26" t="str">
        <x:v>2273037</x:v>
      </x:c>
      <x:c r="D165" s="28" t="str">
        <x:v>TS prognosis and ADD.</x:v>
      </x:c>
      <x:c r="E165" s="28" t="str">
        <x:v>Other/unclear</x:v>
      </x:c>
      <x:c r="F165" s="28" t="str">
        <x:v>Development &amp; presentation; Recognition &amp; diagnosis</x:v>
      </x:c>
      <x:c r="G165" s="28" t="str">
        <x:v>Childhood</x:v>
      </x:c>
      <x:c r="H165" s="28" t="str">
        <x:v>Exclude/incidental</x:v>
      </x:c>
      <x:c r="I165" s="28" t="str">
        <x:v>ADHD appears peripheral or insufficiently aligned with the requested corpus scope based on accessible metadata/abstract.</x:v>
      </x:c>
      <x:c r="J165" s="38" t="e">
        <x:f>HYPERLINK("https://pubmed.ncbi.nlm.nih.gov/"&amp;C165&amp;"/","Open PubMed")</x:f>
        <x:v>HYPERLINK is not implemented. linkLocation=https://pubmed.ncbi.nlm.nih.gov/2273037/, friendlyName=Open PubMed</x:v>
      </x:c>
    </x:row>
    <x:row r="166">
      <x:c r="A166" s="26" t="str">
        <x:v>PUBMED-2228943</x:v>
      </x:c>
      <x:c r="B166" s="26" t="n">
        <x:v>1990</x:v>
      </x:c>
      <x:c r="C166" s="26" t="str">
        <x:v>2228943</x:v>
      </x:c>
      <x:c r="D166" s="28" t="str">
        <x:v>From DSM-III-R to DSM-IV.</x:v>
      </x:c>
      <x:c r="E166" s="28" t="str">
        <x:v>Other/unclear</x:v>
      </x:c>
      <x:c r="F166" s="28" t="str">
        <x:v>Development &amp; presentation; Recognition &amp; diagnosis; Social &amp; structural; Environmental &amp; lifestyle</x:v>
      </x:c>
      <x:c r="G166" s="28" t="str">
        <x:v>Childhood</x:v>
      </x:c>
      <x:c r="H166" s="28" t="str">
        <x:v>Exclude/incidental</x:v>
      </x:c>
      <x:c r="I166" s="28" t="str">
        <x:v>ADHD appears peripheral or insufficiently aligned with the requested corpus scope based on accessible metadata/abstract.</x:v>
      </x:c>
      <x:c r="J166" s="38" t="e">
        <x:f>HYPERLINK("https://pubmed.ncbi.nlm.nih.gov/"&amp;C166&amp;"/","Open PubMed")</x:f>
        <x:v>HYPERLINK is not implemented. linkLocation=https://pubmed.ncbi.nlm.nih.gov/2228943/, friendlyName=Open PubMed</x:v>
      </x:c>
    </x:row>
    <x:row r="167">
      <x:c r="A167" s="26" t="str">
        <x:v>PUBMED-2200937</x:v>
      </x:c>
      <x:c r="B167" s="26" t="n">
        <x:v>1990</x:v>
      </x:c>
      <x:c r="C167" s="26" t="str">
        <x:v>2200937</x:v>
      </x:c>
      <x:c r="D167" s="28" t="str">
        <x:v>[Attention: analysis and clinical implications].</x:v>
      </x:c>
      <x:c r="E167" s="28" t="str">
        <x:v>Evidence synthesis - review</x:v>
      </x:c>
      <x:c r="F167" s="28" t="str">
        <x:v>Development &amp; presentation</x:v>
      </x:c>
      <x:c r="G167" s="28" t="str">
        <x:v>Not specified</x:v>
      </x:c>
      <x:c r="H167" s="28" t="str">
        <x:v>Later specialized</x:v>
      </x:c>
      <x:c r="I167" s="28" t="str">
        <x:v>Direct or strongly ADHD-related record retained for later screening; typically narrower treatment, biomarker, mechanistic, or single-comorbidity focus.</x:v>
      </x:c>
      <x:c r="J167" s="38" t="e">
        <x:f>HYPERLINK("https://pubmed.ncbi.nlm.nih.gov/"&amp;C167&amp;"/","Open PubMed")</x:f>
        <x:v>HYPERLINK is not implemented. linkLocation=https://pubmed.ncbi.nlm.nih.gov/2200937/, friendlyName=Open PubMed</x:v>
      </x:c>
    </x:row>
    <x:row r="168">
      <x:c r="A168" s="26" t="str">
        <x:v>PUBMED-2319047</x:v>
      </x:c>
      <x:c r="B168" s="26" t="n">
        <x:v>1990</x:v>
      </x:c>
      <x:c r="C168" s="26" t="str">
        <x:v>2319047</x:v>
      </x:c>
      <x:c r="D168" s="28" t="str">
        <x:v>Methylphenidate and baseball playing in ADHD children: who's on first?</x:v>
      </x:c>
      <x:c r="E168" s="28" t="str">
        <x:v>Primary study - randomized controlled trial</x:v>
      </x:c>
      <x:c r="F168" s="28" t="str">
        <x:v>Development &amp; presentation; Social &amp; structural; Treatment &amp; support</x:v>
      </x:c>
      <x:c r="G168" s="28" t="str">
        <x:v>Childhood</x:v>
      </x:c>
      <x:c r="H168" s="28" t="str">
        <x:v>Batch 1 core</x:v>
      </x:c>
      <x:c r="I168" s="28" t="str">
        <x:v>Direct historical-period ADHD/hyperkinesis/minimal-brain-dysfunction focus with human relevance.</x:v>
      </x:c>
      <x:c r="J168" s="38" t="e">
        <x:f>HYPERLINK("https://pubmed.ncbi.nlm.nih.gov/"&amp;C168&amp;"/","Open PubMed")</x:f>
        <x:v>HYPERLINK is not implemented. linkLocation=https://pubmed.ncbi.nlm.nih.gov/2319047/, friendlyName=Open PubMed</x:v>
      </x:c>
    </x:row>
    <x:row r="169">
      <x:c r="A169" s="26" t="str">
        <x:v>PUBMED-2136070</x:v>
      </x:c>
      <x:c r="B169" s="26" t="n">
        <x:v>1990</x:v>
      </x:c>
      <x:c r="C169" s="26" t="str">
        <x:v>2136070</x:v>
      </x:c>
      <x:c r="D169" s="28" t="str">
        <x:v>Comparative effectiveness of carbamazepine and propranolol for rage outbursts.</x:v>
      </x:c>
      <x:c r="E169" s="28" t="str">
        <x:v>Primary study - randomized controlled trial</x:v>
      </x:c>
      <x:c r="F169" s="28" t="str">
        <x:v>Development &amp; presentation; Recognition &amp; diagnosis; Social &amp; structural; Treatment &amp; support</x:v>
      </x:c>
      <x:c r="G169" s="28" t="str">
        <x:v>Adolescence; Adulthood</x:v>
      </x:c>
      <x:c r="H169" s="28" t="str">
        <x:v>Later specialized</x:v>
      </x:c>
      <x:c r="I169" s="28" t="str">
        <x:v>Direct or strongly ADHD-related record retained for later screening; typically narrower treatment, biomarker, mechanistic, or single-comorbidity focus.</x:v>
      </x:c>
      <x:c r="J169" s="38" t="e">
        <x:f>HYPERLINK("https://pubmed.ncbi.nlm.nih.gov/"&amp;C169&amp;"/","Open PubMed")</x:f>
        <x:v>HYPERLINK is not implemented. linkLocation=https://pubmed.ncbi.nlm.nih.gov/2136070/, friendlyName=Open PubMed</x:v>
      </x:c>
    </x:row>
    <x:row r="170">
      <x:c r="A170" s="26" t="str">
        <x:v>PUBMED-2189575</x:v>
      </x:c>
      <x:c r="B170" s="26" t="n">
        <x:v>1990</x:v>
      </x:c>
      <x:c r="C170" s="26" t="str">
        <x:v>2189575</x:v>
      </x:c>
      <x:c r="D170" s="28" t="str">
        <x:v>[The concept of minimal brain dysfunction].</x:v>
      </x:c>
      <x:c r="E170" s="28" t="str">
        <x:v>Primary/contextual journal article</x:v>
      </x:c>
      <x:c r="F170" s="28" t="str">
        <x:v>Development &amp; presentation; Recognition &amp; diagnosis; Family &amp; education; Social &amp; structural; Environmental &amp; lifestyle; Historical &amp; contemporary context</x:v>
      </x:c>
      <x:c r="G170" s="28" t="str">
        <x:v>Childhood</x:v>
      </x:c>
      <x:c r="H170" s="28" t="str">
        <x:v>Later specialized</x:v>
      </x:c>
      <x:c r="I170" s="28" t="str">
        <x:v>Direct or strongly ADHD-related record retained for later screening; typically narrower treatment, biomarker, mechanistic, or single-comorbidity focus.</x:v>
      </x:c>
      <x:c r="J170" s="38" t="e">
        <x:f>HYPERLINK("https://pubmed.ncbi.nlm.nih.gov/"&amp;C170&amp;"/","Open PubMed")</x:f>
        <x:v>HYPERLINK is not implemented. linkLocation=https://pubmed.ncbi.nlm.nih.gov/2189575/, friendlyName=Open PubMed</x:v>
      </x:c>
    </x:row>
    <x:row r="171">
      <x:c r="A171" s="26" t="str">
        <x:v>PUBMED-2074345</x:v>
      </x:c>
      <x:c r="B171" s="26" t="n">
        <x:v>1990</x:v>
      </x:c>
      <x:c r="C171" s="26" t="str">
        <x:v>2074345</x:v>
      </x:c>
      <x:c r="D171" s="28" t="str">
        <x:v>The validity of vigilance tasks in differential diagnosis of children referred for attention and learning problems.</x:v>
      </x:c>
      <x:c r="E171" s="28" t="str">
        <x:v>Primary/contextual journal article</x:v>
      </x:c>
      <x:c r="F171" s="28" t="str">
        <x:v>Development &amp; presentation; Recognition &amp; diagnosis; Family &amp; education; Social &amp; structural</x:v>
      </x:c>
      <x:c r="G171" s="28" t="str">
        <x:v>Childhood</x:v>
      </x:c>
      <x:c r="H171" s="28" t="str">
        <x:v>Later specialized</x:v>
      </x:c>
      <x:c r="I171" s="28" t="str">
        <x:v>Direct or strongly ADHD-related record retained for later screening; typically narrower treatment, biomarker, mechanistic, or single-comorbidity focus.</x:v>
      </x:c>
      <x:c r="J171" s="38" t="e">
        <x:f>HYPERLINK("https://pubmed.ncbi.nlm.nih.gov/"&amp;C171&amp;"/","Open PubMed")</x:f>
        <x:v>HYPERLINK is not implemented. linkLocation=https://pubmed.ncbi.nlm.nih.gov/2074345/, friendlyName=Open PubMed</x:v>
      </x:c>
    </x:row>
    <x:row r="172">
      <x:c r="A172" s="26" t="str">
        <x:v>PUBMED-1973018</x:v>
      </x:c>
      <x:c r="B172" s="26" t="n">
        <x:v>1990</x:v>
      </x:c>
      <x:c r="C172" s="26" t="str">
        <x:v>1973018</x:v>
      </x:c>
      <x:c r="D172" s="28" t="str">
        <x:v>Clonidine in hyperkinetic children.</x:v>
      </x:c>
      <x:c r="E172" s="28" t="str">
        <x:v>Primary/contextual journal article</x:v>
      </x:c>
      <x:c r="F172" s="28" t="str">
        <x:v>Development &amp; presentation; Treatment &amp; support</x:v>
      </x:c>
      <x:c r="G172" s="28" t="str">
        <x:v>Childhood</x:v>
      </x:c>
      <x:c r="H172" s="28" t="str">
        <x:v>Later specialized</x:v>
      </x:c>
      <x:c r="I172" s="28" t="str">
        <x:v>Direct or strongly ADHD-related record retained for later screening; typically narrower treatment, biomarker, mechanistic, or single-comorbidity focus.</x:v>
      </x:c>
      <x:c r="J172" s="38" t="e">
        <x:f>HYPERLINK("https://pubmed.ncbi.nlm.nih.gov/"&amp;C172&amp;"/","Open PubMed")</x:f>
        <x:v>HYPERLINK is not implemented. linkLocation=https://pubmed.ncbi.nlm.nih.gov/1973018/, friendlyName=Open PubMed</x:v>
      </x:c>
    </x:row>
    <x:row r="173">
      <x:c r="A173" s="26" t="str">
        <x:v>PUBMED-2228920</x:v>
      </x:c>
      <x:c r="B173" s="26" t="n">
        <x:v>1990</x:v>
      </x:c>
      <x:c r="C173" s="26" t="str">
        <x:v>2228920</x:v>
      </x:c>
      <x:c r="D173" s="28" t="str">
        <x:v>The DSM-III-R field trial of disruptive behavior disorders.</x:v>
      </x:c>
      <x:c r="E173" s="28" t="str">
        <x:v>Primary/contextual journal article</x:v>
      </x:c>
      <x:c r="F173" s="28" t="str">
        <x:v>Development &amp; presentation; Recognition &amp; diagnosis; Social &amp; structural</x:v>
      </x:c>
      <x:c r="G173" s="28" t="str">
        <x:v>Childhood</x:v>
      </x:c>
      <x:c r="H173" s="28" t="str">
        <x:v>Exclude/incidental</x:v>
      </x:c>
      <x:c r="I173" s="28" t="str">
        <x:v>ADHD appears peripheral or insufficiently aligned with the requested corpus scope based on accessible metadata/abstract.</x:v>
      </x:c>
      <x:c r="J173" s="38" t="e">
        <x:f>HYPERLINK("https://pubmed.ncbi.nlm.nih.gov/"&amp;C173&amp;"/","Open PubMed")</x:f>
        <x:v>HYPERLINK is not implemented. linkLocation=https://pubmed.ncbi.nlm.nih.gov/2228920/, friendlyName=Open PubMed</x:v>
      </x:c>
    </x:row>
    <x:row r="174">
      <x:c r="A174" s="26" t="str">
        <x:v>PUBMED-2088337</x:v>
      </x:c>
      <x:c r="B174" s="26" t="n">
        <x:v>1990</x:v>
      </x:c>
      <x:c r="C174" s="26" t="str">
        <x:v>2088337</x:v>
      </x:c>
      <x:c r="D174" s="28" t="str">
        <x:v>The genetic latent structure model.</x:v>
      </x:c>
      <x:c r="E174" s="28" t="str">
        <x:v>Contextual - editorial/comment</x:v>
      </x:c>
      <x:c r="F174" s="28" t="str">
        <x:v>Development &amp; presentation; Recognition &amp; diagnosis</x:v>
      </x:c>
      <x:c r="G174" s="28" t="str">
        <x:v>Childhood</x:v>
      </x:c>
      <x:c r="H174" s="28" t="str">
        <x:v>Exclude/incidental</x:v>
      </x:c>
      <x:c r="I174" s="28" t="str">
        <x:v>ADHD appears peripheral or insufficiently aligned with the requested corpus scope based on accessible metadata/abstract.</x:v>
      </x:c>
      <x:c r="J174" s="38" t="e">
        <x:f>HYPERLINK("https://pubmed.ncbi.nlm.nih.gov/"&amp;C174&amp;"/","Open PubMed")</x:f>
        <x:v>HYPERLINK is not implemented. linkLocation=https://pubmed.ncbi.nlm.nih.gov/2088337/, friendlyName=Open PubMed</x:v>
      </x:c>
    </x:row>
    <x:row r="175">
      <x:c r="A175" s="26" t="str">
        <x:v>PUBMED-2387800</x:v>
      </x:c>
      <x:c r="B175" s="26" t="n">
        <x:v>1990</x:v>
      </x:c>
      <x:c r="C175" s="26" t="str">
        <x:v>2387800</x:v>
      </x:c>
      <x:c r="D175" s="28" t="str">
        <x:v>Internal consistency of DSM-III diagnoses using the symptom scales of the Child Assessment Schedule.</x:v>
      </x:c>
      <x:c r="E175" s="28" t="str">
        <x:v>Primary/contextual journal article</x:v>
      </x:c>
      <x:c r="F175" s="28" t="str">
        <x:v>Development &amp; presentation; Recognition &amp; diagnosis; Social &amp; structural</x:v>
      </x:c>
      <x:c r="G175" s="28" t="str">
        <x:v>Childhood; Adolescence</x:v>
      </x:c>
      <x:c r="H175" s="28" t="str">
        <x:v>Exclude/incidental</x:v>
      </x:c>
      <x:c r="I175" s="28" t="str">
        <x:v>ADHD appears peripheral or insufficiently aligned with the requested corpus scope based on accessible metadata/abstract.</x:v>
      </x:c>
      <x:c r="J175" s="38" t="e">
        <x:f>HYPERLINK("https://pubmed.ncbi.nlm.nih.gov/"&amp;C175&amp;"/","Open PubMed")</x:f>
        <x:v>HYPERLINK is not implemented. linkLocation=https://pubmed.ncbi.nlm.nih.gov/2387800/, friendlyName=Open PubMed</x:v>
      </x:c>
    </x:row>
    <x:row r="176">
      <x:c r="A176" s="26" t="str">
        <x:v>PUBMED-2184874</x:v>
      </x:c>
      <x:c r="B176" s="26" t="n">
        <x:v>1990</x:v>
      </x:c>
      <x:c r="C176" s="26" t="str">
        <x:v>2184874</x:v>
      </x:c>
      <x:c r="D176" s="28" t="str">
        <x:v>Sensory integration and teacher-judged learning problems: a controlled intervention trial.</x:v>
      </x:c>
      <x:c r="E176" s="28" t="str">
        <x:v>Primary study - clinical trial</x:v>
      </x:c>
      <x:c r="F176" s="28" t="str">
        <x:v>Development &amp; presentation; Recognition &amp; diagnosis; Family &amp; education; Social &amp; structural; Treatment &amp; support</x:v>
      </x:c>
      <x:c r="G176" s="28" t="str">
        <x:v>Childhood</x:v>
      </x:c>
      <x:c r="H176" s="28" t="str">
        <x:v>Later specialized</x:v>
      </x:c>
      <x:c r="I176" s="28" t="str">
        <x:v>Direct or strongly ADHD-related record retained for later screening; typically narrower treatment, biomarker, mechanistic, or single-comorbidity focus.</x:v>
      </x:c>
      <x:c r="J176" s="38" t="e">
        <x:f>HYPERLINK("https://pubmed.ncbi.nlm.nih.gov/"&amp;C176&amp;"/","Open PubMed")</x:f>
        <x:v>HYPERLINK is not implemented. linkLocation=https://pubmed.ncbi.nlm.nih.gov/2184874/, friendlyName=Open PubMed</x:v>
      </x:c>
    </x:row>
    <x:row r="177">
      <x:c r="A177" s="26" t="str">
        <x:v>PUBMED-2115936</x:v>
      </x:c>
      <x:c r="B177" s="26" t="n">
        <x:v>1990</x:v>
      </x:c>
      <x:c r="C177" s="26" t="str">
        <x:v>2115936</x:v>
      </x:c>
      <x:c r="D177" s="28" t="str">
        <x:v>[Prognostic value of hyperkinetic syndrome in children with epilepsy].</x:v>
      </x:c>
      <x:c r="E177" s="28" t="str">
        <x:v>Primary/contextual journal article</x:v>
      </x:c>
      <x:c r="F177" s="28" t="str">
        <x:v>Development &amp; presentation; Family &amp; education; Social &amp; structural; Treatment &amp; support; Life outcomes &amp; lived experience</x:v>
      </x:c>
      <x:c r="G177" s="28" t="str">
        <x:v>Childhood</x:v>
      </x:c>
      <x:c r="H177" s="28" t="str">
        <x:v>Later specialized</x:v>
      </x:c>
      <x:c r="I177" s="28" t="str">
        <x:v>Direct or strongly ADHD-related record retained for later screening; typically narrower treatment, biomarker, mechanistic, or single-comorbidity focus.</x:v>
      </x:c>
      <x:c r="J177" s="38" t="e">
        <x:f>HYPERLINK("https://pubmed.ncbi.nlm.nih.gov/"&amp;C177&amp;"/","Open PubMed")</x:f>
        <x:v>HYPERLINK is not implemented. linkLocation=https://pubmed.ncbi.nlm.nih.gov/2115936/, friendlyName=Open PubMed</x:v>
      </x:c>
    </x:row>
    <x:row r="178">
      <x:c r="A178" s="26" t="str">
        <x:v>PUBMED-2254504</x:v>
      </x:c>
      <x:c r="B178" s="26" t="n">
        <x:v>1990</x:v>
      </x:c>
      <x:c r="C178" s="26" t="str">
        <x:v>2254504</x:v>
      </x:c>
      <x:c r="D178" s="28" t="str">
        <x:v>The adolescent outcome of hyperactive children diagnosed by research criteria: II. Academic, attentional, and neuropsychological status.</x:v>
      </x:c>
      <x:c r="E178" s="28" t="str">
        <x:v>Primary/contextual journal article</x:v>
      </x:c>
      <x:c r="F178" s="28" t="str">
        <x:v>Development &amp; presentation; Recognition &amp; diagnosis; Family &amp; education; Social &amp; structural; Treatment &amp; support; Life outcomes &amp; lived experience</x:v>
      </x:c>
      <x:c r="G178" s="28" t="str">
        <x:v>Childhood; Adolescence</x:v>
      </x:c>
      <x:c r="H178" s="28" t="str">
        <x:v>Batch 1 core</x:v>
      </x:c>
      <x:c r="I178" s="28" t="str">
        <x:v>Direct historical-period ADHD/hyperkinesis/minimal-brain-dysfunction focus with human relevance.</x:v>
      </x:c>
      <x:c r="J178" s="38" t="e">
        <x:f>HYPERLINK("https://pubmed.ncbi.nlm.nih.gov/"&amp;C178&amp;"/","Open PubMed")</x:f>
        <x:v>HYPERLINK is not implemented. linkLocation=https://pubmed.ncbi.nlm.nih.gov/2254504/, friendlyName=Open PubMed</x:v>
      </x:c>
    </x:row>
    <x:row r="179">
      <x:c r="A179" s="26" t="str">
        <x:v>PUBMED-2078902</x:v>
      </x:c>
      <x:c r="B179" s="26" t="n">
        <x:v>1990</x:v>
      </x:c>
      <x:c r="C179" s="26" t="str">
        <x:v>2078902</x:v>
      </x:c>
      <x:c r="D179" s="28" t="str">
        <x:v>[The uncontrollable hyperactive child].</x:v>
      </x:c>
      <x:c r="E179" s="28" t="str">
        <x:v>Primary/contextual journal article</x:v>
      </x:c>
      <x:c r="F179" s="28" t="str">
        <x:v>Development &amp; presentation; Recognition &amp; diagnosis; Family &amp; education; Treatment &amp; support</x:v>
      </x:c>
      <x:c r="G179" s="28" t="str">
        <x:v>Childhood</x:v>
      </x:c>
      <x:c r="H179" s="28" t="str">
        <x:v>Later specialized</x:v>
      </x:c>
      <x:c r="I179" s="28" t="str">
        <x:v>Direct or strongly ADHD-related record retained for later screening; typically narrower treatment, biomarker, mechanistic, or single-comorbidity focus.</x:v>
      </x:c>
      <x:c r="J179" s="38" t="e">
        <x:f>HYPERLINK("https://pubmed.ncbi.nlm.nih.gov/"&amp;C179&amp;"/","Open PubMed")</x:f>
        <x:v>HYPERLINK is not implemented. linkLocation=https://pubmed.ncbi.nlm.nih.gov/2078902/, friendlyName=Open PubMed</x:v>
      </x:c>
    </x:row>
    <x:row r="180">
      <x:c r="A180" s="26" t="str">
        <x:v>PUBMED-2252483</x:v>
      </x:c>
      <x:c r="B180" s="26" t="n">
        <x:v>1990</x:v>
      </x:c>
      <x:c r="C180" s="26" t="str">
        <x:v>2252483</x:v>
      </x:c>
      <x:c r="D180" s="28" t="str">
        <x:v>[Hyperkinetic syndrome following premedication with Thalamonal].</x:v>
      </x:c>
      <x:c r="E180" s="28" t="str">
        <x:v>Primary/contextual journal article</x:v>
      </x:c>
      <x:c r="F180" s="28" t="str">
        <x:v>Development &amp; presentation; Family &amp; education; Treatment &amp; support</x:v>
      </x:c>
      <x:c r="G180" s="28" t="str">
        <x:v>Childhood</x:v>
      </x:c>
      <x:c r="H180" s="28" t="str">
        <x:v>Later specialized</x:v>
      </x:c>
      <x:c r="I180" s="28" t="str">
        <x:v>Direct or strongly ADHD-related record retained for later screening; typically narrower treatment, biomarker, mechanistic, or single-comorbidity focus.</x:v>
      </x:c>
      <x:c r="J180" s="38" t="e">
        <x:f>HYPERLINK("https://pubmed.ncbi.nlm.nih.gov/"&amp;C180&amp;"/","Open PubMed")</x:f>
        <x:v>HYPERLINK is not implemented. linkLocation=https://pubmed.ncbi.nlm.nih.gov/2252483/, friendlyName=Open PubMed</x:v>
      </x:c>
    </x:row>
    <x:row r="181">
      <x:c r="A181" s="26" t="str">
        <x:v>PUBMED-2240433</x:v>
      </x:c>
      <x:c r="B181" s="26" t="n">
        <x:v>1990</x:v>
      </x:c>
      <x:c r="C181" s="26" t="str">
        <x:v>2240433</x:v>
      </x:c>
      <x:c r="D181" s="28" t="str">
        <x:v>Non-self-controlled adolescents: applications of cognitive-behavioral therapy.</x:v>
      </x:c>
      <x:c r="E181" s="28" t="str">
        <x:v>Primary/contextual journal article</x:v>
      </x:c>
      <x:c r="F181" s="28" t="str">
        <x:v>Development &amp; presentation; Social &amp; structural; Treatment &amp; support</x:v>
      </x:c>
      <x:c r="G181" s="28" t="str">
        <x:v>Adolescence</x:v>
      </x:c>
      <x:c r="H181" s="28" t="str">
        <x:v>Exclude/incidental</x:v>
      </x:c>
      <x:c r="I181" s="28" t="str">
        <x:v>ADHD appears peripheral or insufficiently aligned with the requested corpus scope based on accessible metadata/abstract.</x:v>
      </x:c>
      <x:c r="J181" s="38" t="e">
        <x:f>HYPERLINK("https://pubmed.ncbi.nlm.nih.gov/"&amp;C181&amp;"/","Open PubMed")</x:f>
        <x:v>HYPERLINK is not implemented. linkLocation=https://pubmed.ncbi.nlm.nih.gov/2240433/, friendlyName=Open PubMed</x:v>
      </x:c>
    </x:row>
    <x:row r="182">
      <x:c r="A182" s="26" t="str">
        <x:v>PUBMED-2372752</x:v>
      </x:c>
      <x:c r="B182" s="26" t="n">
        <x:v>1990</x:v>
      </x:c>
      <x:c r="C182" s="26" t="str">
        <x:v>2372752</x:v>
      </x:c>
      <x:c r="D182" s="28" t="str">
        <x:v>Correlates of emotional disorder from a community survey.</x:v>
      </x:c>
      <x:c r="E182" s="28" t="str">
        <x:v>Primary study - cross-sectional</x:v>
      </x:c>
      <x:c r="F182" s="28" t="str">
        <x:v>Development &amp; presentation; Family &amp; education; Social &amp; structural</x:v>
      </x:c>
      <x:c r="G182" s="28" t="str">
        <x:v>Childhood; Adolescence</x:v>
      </x:c>
      <x:c r="H182" s="28" t="str">
        <x:v>Exclude/incidental</x:v>
      </x:c>
      <x:c r="I182" s="28" t="str">
        <x:v>ADHD appears peripheral or insufficiently aligned with the requested corpus scope based on accessible metadata/abstract.</x:v>
      </x:c>
      <x:c r="J182" s="38" t="e">
        <x:f>HYPERLINK("https://pubmed.ncbi.nlm.nih.gov/"&amp;C182&amp;"/","Open PubMed")</x:f>
        <x:v>HYPERLINK is not implemented. linkLocation=https://pubmed.ncbi.nlm.nih.gov/2372752/, friendlyName=Open PubMed</x:v>
      </x:c>
    </x:row>
    <x:row r="183">
      <x:c r="A183" s="26" t="str">
        <x:v>PUBMED-2144532</x:v>
      </x:c>
      <x:c r="B183" s="26" t="n">
        <x:v>1990</x:v>
      </x:c>
      <x:c r="C183" s="26" t="str">
        <x:v>2144532</x:v>
      </x:c>
      <x:c r="D183" s="28" t="str">
        <x:v>Parent reports of disability among 13-year olds with DSM-III disorders.</x:v>
      </x:c>
      <x:c r="E183" s="28" t="str">
        <x:v>Primary/contextual journal article</x:v>
      </x:c>
      <x:c r="F183" s="28" t="str">
        <x:v>Development &amp; presentation; Recognition &amp; diagnosis; Family &amp; education; Social &amp; structural</x:v>
      </x:c>
      <x:c r="G183" s="28" t="str">
        <x:v>Childhood; Adolescence</x:v>
      </x:c>
      <x:c r="H183" s="28" t="str">
        <x:v>Exclude/incidental</x:v>
      </x:c>
      <x:c r="I183" s="28" t="str">
        <x:v>ADHD appears peripheral or insufficiently aligned with the requested corpus scope based on accessible metadata/abstract.</x:v>
      </x:c>
      <x:c r="J183" s="38" t="e">
        <x:f>HYPERLINK("https://pubmed.ncbi.nlm.nih.gov/"&amp;C183&amp;"/","Open PubMed")</x:f>
        <x:v>HYPERLINK is not implemented. linkLocation=https://pubmed.ncbi.nlm.nih.gov/2144532/, friendlyName=Open PubMed</x:v>
      </x:c>
    </x:row>
    <x:row r="184">
      <x:c r="A184" s="26" t="str">
        <x:v>PUBMED-2246432</x:v>
      </x:c>
      <x:c r="B184" s="26" t="n">
        <x:v>1990</x:v>
      </x:c>
      <x:c r="C184" s="26" t="str">
        <x:v>2246432</x:v>
      </x:c>
      <x:c r="D184" s="28" t="str">
        <x:v>Maternal characteristics, ratings of child behavior, and mother-child interactions in families of children with externalizing disorders.</x:v>
      </x:c>
      <x:c r="E184" s="28" t="str">
        <x:v>Primary/contextual journal article</x:v>
      </x:c>
      <x:c r="F184" s="28" t="str">
        <x:v>Development &amp; presentation; Recognition &amp; diagnosis; Family &amp; education; Social &amp; structural; Environmental &amp; lifestyle; Life outcomes &amp; lived experience</x:v>
      </x:c>
      <x:c r="G184" s="28" t="str">
        <x:v>Childhood; Adulthood</x:v>
      </x:c>
      <x:c r="H184" s="28" t="str">
        <x:v>Later specialized</x:v>
      </x:c>
      <x:c r="I184" s="28" t="str">
        <x:v>Direct or strongly ADHD-related record retained for later screening; typically narrower treatment, biomarker, mechanistic, or single-comorbidity focus.</x:v>
      </x:c>
      <x:c r="J184" s="38" t="e">
        <x:f>HYPERLINK("https://pubmed.ncbi.nlm.nih.gov/"&amp;C184&amp;"/","Open PubMed")</x:f>
        <x:v>HYPERLINK is not implemented. linkLocation=https://pubmed.ncbi.nlm.nih.gov/2246432/, friendlyName=Open PubMed</x:v>
      </x:c>
    </x:row>
    <x:row r="185">
      <x:c r="A185" s="26" t="str">
        <x:v>PUBMED-2090828</x:v>
      </x:c>
      <x:c r="B185" s="26" t="n">
        <x:v>1990</x:v>
      </x:c>
      <x:c r="C185" s="26" t="str">
        <x:v>2090828</x:v>
      </x:c>
      <x:c r="D185" s="28" t="str">
        <x:v>Using signal detection methodology to revise DSM-III-R: re-analysis of the DSM-III-R national field trials for autistic disorder.</x:v>
      </x:c>
      <x:c r="E185" s="28" t="str">
        <x:v>Primary/contextual journal article</x:v>
      </x:c>
      <x:c r="F185" s="28" t="str">
        <x:v>Development &amp; presentation; Recognition &amp; diagnosis; Family &amp; education; Social &amp; structural</x:v>
      </x:c>
      <x:c r="G185" s="28" t="str">
        <x:v>Childhood</x:v>
      </x:c>
      <x:c r="H185" s="28" t="str">
        <x:v>Exclude/incidental</x:v>
      </x:c>
      <x:c r="I185" s="28" t="str">
        <x:v>ADHD appears peripheral or insufficiently aligned with the requested corpus scope based on accessible metadata/abstract.</x:v>
      </x:c>
      <x:c r="J185" s="38" t="e">
        <x:f>HYPERLINK("https://pubmed.ncbi.nlm.nih.gov/"&amp;C185&amp;"/","Open PubMed")</x:f>
        <x:v>HYPERLINK is not implemented. linkLocation=https://pubmed.ncbi.nlm.nih.gov/2090828/, friendlyName=Open PubMed</x:v>
      </x:c>
    </x:row>
    <x:row r="186">
      <x:c r="A186" s="26" t="str">
        <x:v>PUBMED-2144214</x:v>
      </x:c>
      <x:c r="B186" s="26" t="n">
        <x:v>1990</x:v>
      </x:c>
      <x:c r="C186" s="26" t="str">
        <x:v>2144214</x:v>
      </x:c>
      <x:c r="D186" s="28" t="str">
        <x:v>[Remedial and special class groups in elementary schools].</x:v>
      </x:c>
      <x:c r="E186" s="28" t="str">
        <x:v>Primary/contextual journal article</x:v>
      </x:c>
      <x:c r="F186" s="28" t="str">
        <x:v>Development &amp; presentation; Family &amp; education; Social &amp; structural</x:v>
      </x:c>
      <x:c r="G186" s="28" t="str">
        <x:v>Childhood</x:v>
      </x:c>
      <x:c r="H186" s="28" t="str">
        <x:v>Exclude/incidental</x:v>
      </x:c>
      <x:c r="I186" s="28" t="str">
        <x:v>ADHD appears peripheral or insufficiently aligned with the requested corpus scope based on accessible metadata/abstract.</x:v>
      </x:c>
      <x:c r="J186" s="38" t="e">
        <x:f>HYPERLINK("https://pubmed.ncbi.nlm.nih.gov/"&amp;C186&amp;"/","Open PubMed")</x:f>
        <x:v>HYPERLINK is not implemented. linkLocation=https://pubmed.ncbi.nlm.nih.gov/2144214/, friendlyName=Open PubMed</x:v>
      </x:c>
    </x:row>
    <x:row r="187">
      <x:c r="A187" s="26" t="str">
        <x:v>PUBMED-2172573</x:v>
      </x:c>
      <x:c r="B187" s="26" t="n">
        <x:v>1990</x:v>
      </x:c>
      <x:c r="C187" s="26" t="str">
        <x:v>2172573</x:v>
      </x:c>
      <x:c r="D187" s="28" t="str">
        <x:v>From the Alcohol, Drug Abuse, and Mental Health Administration.</x:v>
      </x:c>
      <x:c r="E187" s="28" t="str">
        <x:v>Primary/contextual journal article</x:v>
      </x:c>
      <x:c r="F187" s="28" t="str">
        <x:v>Development &amp; presentation; Social &amp; structural; Environmental &amp; lifestyle; Treatment &amp; support</x:v>
      </x:c>
      <x:c r="G187" s="28" t="str">
        <x:v>Childhood</x:v>
      </x:c>
      <x:c r="H187" s="28" t="str">
        <x:v>Exclude/incidental</x:v>
      </x:c>
      <x:c r="I187" s="28" t="str">
        <x:v>ADHD appears peripheral or insufficiently aligned with the requested corpus scope based on accessible metadata/abstract.</x:v>
      </x:c>
      <x:c r="J187" s="38" t="e">
        <x:f>HYPERLINK("https://pubmed.ncbi.nlm.nih.gov/"&amp;C187&amp;"/","Open PubMed")</x:f>
        <x:v>HYPERLINK is not implemented. linkLocation=https://pubmed.ncbi.nlm.nih.gov/2172573/, friendlyName=Open PubMed</x:v>
      </x:c>
    </x:row>
    <x:row r="188">
      <x:c r="A188" s="26" t="str">
        <x:v>PUBMED-1982332</x:v>
      </x:c>
      <x:c r="B188" s="26" t="n">
        <x:v>1990</x:v>
      </x:c>
      <x:c r="C188" s="26" t="str">
        <x:v>1982332</x:v>
      </x:c>
      <x:c r="D188" s="28" t="str">
        <x:v>Antagonistic effects of growth hormone-releasing factor (GRF) and somatostatin on locomotor activity: GRF-induced hyperkinetic syndrome.</x:v>
      </x:c>
      <x:c r="E188" s="28" t="str">
        <x:v>Primary/contextual journal article</x:v>
      </x:c>
      <x:c r="F188" s="28" t="str">
        <x:v>Development &amp; presentation; Social &amp; structural</x:v>
      </x:c>
      <x:c r="G188" s="28" t="str">
        <x:v>Not specified</x:v>
      </x:c>
      <x:c r="H188" s="28" t="str">
        <x:v>Exclude/incidental</x:v>
      </x:c>
      <x:c r="I188" s="28" t="str">
        <x:v>Animal-only record; retained outside the human-focused core corpus.</x:v>
      </x:c>
      <x:c r="J188" s="38" t="e">
        <x:f>HYPERLINK("https://pubmed.ncbi.nlm.nih.gov/"&amp;C188&amp;"/","Open PubMed")</x:f>
        <x:v>HYPERLINK is not implemented. linkLocation=https://pubmed.ncbi.nlm.nih.gov/1982332/, friendlyName=Open PubMed</x:v>
      </x:c>
    </x:row>
    <x:row r="189">
      <x:c r="A189" s="26" t="str">
        <x:v>PUBMED-2207986</x:v>
      </x:c>
      <x:c r="B189" s="26" t="n">
        <x:v>1990</x:v>
      </x:c>
      <x:c r="C189" s="26" t="str">
        <x:v>2207986</x:v>
      </x:c>
      <x:c r="D189" s="28" t="str">
        <x:v>Evaluation of the effectiveness of a psychodynamically oriented day treatment program for children with behaviour problems: a pilot study.</x:v>
      </x:c>
      <x:c r="E189" s="28" t="str">
        <x:v>Primary/contextual journal article</x:v>
      </x:c>
      <x:c r="F189" s="28" t="str">
        <x:v>Development &amp; presentation; Recognition &amp; diagnosis; Family &amp; education; Social &amp; structural; Environmental &amp; lifestyle; Treatment &amp; support</x:v>
      </x:c>
      <x:c r="G189" s="28" t="str">
        <x:v>Childhood</x:v>
      </x:c>
      <x:c r="H189" s="28" t="str">
        <x:v>Later specialized</x:v>
      </x:c>
      <x:c r="I189" s="28" t="str">
        <x:v>Direct or strongly ADHD-related record retained for later screening; typically narrower treatment, biomarker, mechanistic, or single-comorbidity focus.</x:v>
      </x:c>
      <x:c r="J189" s="38" t="e">
        <x:f>HYPERLINK("https://pubmed.ncbi.nlm.nih.gov/"&amp;C189&amp;"/","Open PubMed")</x:f>
        <x:v>HYPERLINK is not implemented. linkLocation=https://pubmed.ncbi.nlm.nih.gov/2207986/, friendlyName=Open PubMed</x:v>
      </x:c>
    </x:row>
    <x:row r="190">
      <x:c r="A190" s="26" t="str">
        <x:v>PUBMED-2173339</x:v>
      </x:c>
      <x:c r="B190" s="26" t="n">
        <x:v>1990</x:v>
      </x:c>
      <x:c r="C190" s="26" t="str">
        <x:v>2173339</x:v>
      </x:c>
      <x:c r="D190" s="28" t="str">
        <x:v>Indication of different forms of therapy in long-term in-patient treatment.</x:v>
      </x:c>
      <x:c r="E190" s="28" t="str">
        <x:v>Primary/contextual journal article</x:v>
      </x:c>
      <x:c r="F190" s="28" t="str">
        <x:v>Development &amp; presentation; Recognition &amp; diagnosis; Family &amp; education; Social &amp; structural; Treatment &amp; support</x:v>
      </x:c>
      <x:c r="G190" s="28" t="str">
        <x:v>Childhood; Adolescence</x:v>
      </x:c>
      <x:c r="H190" s="28" t="str">
        <x:v>Exclude/incidental</x:v>
      </x:c>
      <x:c r="I190" s="28" t="str">
        <x:v>ADHD appears peripheral or insufficiently aligned with the requested corpus scope based on accessible metadata/abstract.</x:v>
      </x:c>
      <x:c r="J190" s="38" t="e">
        <x:f>HYPERLINK("https://pubmed.ncbi.nlm.nih.gov/"&amp;C190&amp;"/","Open PubMed")</x:f>
        <x:v>HYPERLINK is not implemented. linkLocation=https://pubmed.ncbi.nlm.nih.gov/2173339/, friendlyName=Open PubMed</x:v>
      </x:c>
    </x:row>
    <x:row r="191">
      <x:c r="A191" s="26" t="str">
        <x:v>PUBMED-2399800</x:v>
      </x:c>
      <x:c r="B191" s="26" t="n">
        <x:v>1990</x:v>
      </x:c>
      <x:c r="C191" s="26" t="str">
        <x:v>2399800</x:v>
      </x:c>
      <x:c r="D191" s="28" t="str">
        <x:v>Neurological findings in adolescents showing MBD signs in preschool age.</x:v>
      </x:c>
      <x:c r="E191" s="28" t="str">
        <x:v>Primary/contextual journal article</x:v>
      </x:c>
      <x:c r="F191" s="28" t="str">
        <x:v>Development &amp; presentation; Family &amp; education; Social &amp; structural</x:v>
      </x:c>
      <x:c r="G191" s="28" t="str">
        <x:v>Childhood; Adolescence</x:v>
      </x:c>
      <x:c r="H191" s="28" t="str">
        <x:v>Exclude/incidental</x:v>
      </x:c>
      <x:c r="I191" s="28" t="str">
        <x:v>ADHD appears peripheral or insufficiently aligned with the requested corpus scope based on accessible metadata/abstract.</x:v>
      </x:c>
      <x:c r="J191" s="38" t="e">
        <x:f>HYPERLINK("https://pubmed.ncbi.nlm.nih.gov/"&amp;C191&amp;"/","Open PubMed")</x:f>
        <x:v>HYPERLINK is not implemented. linkLocation=https://pubmed.ncbi.nlm.nih.gov/2399800/, friendlyName=Open PubMed</x:v>
      </x:c>
    </x:row>
    <x:row r="192">
      <x:c r="A192" s="26" t="str">
        <x:v>PUBMED-2376655</x:v>
      </x:c>
      <x:c r="B192" s="26" t="n">
        <x:v>1990</x:v>
      </x:c>
      <x:c r="C192" s="26" t="str">
        <x:v>2376655</x:v>
      </x:c>
      <x:c r="D192" s="28" t="str">
        <x:v>Psychiatric risk in children with speech and language disorders.</x:v>
      </x:c>
      <x:c r="E192" s="28" t="str">
        <x:v>Primary/contextual journal article</x:v>
      </x:c>
      <x:c r="F192" s="28" t="str">
        <x:v>Development &amp; presentation; Family &amp; education; Social &amp; structural</x:v>
      </x:c>
      <x:c r="G192" s="28" t="str">
        <x:v>Childhood</x:v>
      </x:c>
      <x:c r="H192" s="28" t="str">
        <x:v>Exclude/incidental</x:v>
      </x:c>
      <x:c r="I192" s="28" t="str">
        <x:v>ADHD appears peripheral or insufficiently aligned with the requested corpus scope based on accessible metadata/abstract.</x:v>
      </x:c>
      <x:c r="J192" s="38" t="e">
        <x:f>HYPERLINK("https://pubmed.ncbi.nlm.nih.gov/"&amp;C192&amp;"/","Open PubMed")</x:f>
        <x:v>HYPERLINK is not implemented. linkLocation=https://pubmed.ncbi.nlm.nih.gov/2376655/, friendlyName=Open PubMed</x:v>
      </x:c>
    </x:row>
    <x:row r="193">
      <x:c r="A193" s="26" t="str">
        <x:v>PUBMED-2213381</x:v>
      </x:c>
      <x:c r="B193" s="26" t="n">
        <x:v>1990</x:v>
      </x:c>
      <x:c r="C193" s="26" t="str">
        <x:v>2213381</x:v>
      </x:c>
      <x:c r="D193" s="28" t="str">
        <x:v>Acute neurologic dysfunction associated with destructive lesions of the basal ganglia: a benign form of infantile bilateral striatal necrosis.</x:v>
      </x:c>
      <x:c r="E193" s="28" t="str">
        <x:v>Primary/contextual journal article</x:v>
      </x:c>
      <x:c r="F193" s="28" t="str">
        <x:v>Development &amp; presentation; Family &amp; education</x:v>
      </x:c>
      <x:c r="G193" s="28" t="str">
        <x:v>Childhood</x:v>
      </x:c>
      <x:c r="H193" s="28" t="str">
        <x:v>Exclude/incidental</x:v>
      </x:c>
      <x:c r="I193" s="28" t="str">
        <x:v>ADHD appears peripheral or insufficiently aligned with the requested corpus scope based on accessible metadata/abstract.</x:v>
      </x:c>
      <x:c r="J193" s="38" t="e">
        <x:f>HYPERLINK("https://pubmed.ncbi.nlm.nih.gov/"&amp;C193&amp;"/","Open PubMed")</x:f>
        <x:v>HYPERLINK is not implemented. linkLocation=https://pubmed.ncbi.nlm.nih.gov/2213381/, friendlyName=Open PubMed</x:v>
      </x:c>
    </x:row>
    <x:row r="194">
      <x:c r="A194" s="26" t="str">
        <x:v>PUBMED-2389798</x:v>
      </x:c>
      <x:c r="B194" s="26" t="n">
        <x:v>1990</x:v>
      </x:c>
      <x:c r="C194" s="26" t="str">
        <x:v>2389798</x:v>
      </x:c>
      <x:c r="D194" s="28" t="str">
        <x:v>Blood serotonin and tryptophan in Tourette syndrome.</x:v>
      </x:c>
      <x:c r="E194" s="28" t="str">
        <x:v>Primary/contextual journal article</x:v>
      </x:c>
      <x:c r="F194" s="28" t="str">
        <x:v>Development &amp; presentation; Family &amp; education; Social &amp; structural; Treatment &amp; support; Historical &amp; contemporary context</x:v>
      </x:c>
      <x:c r="G194" s="28" t="str">
        <x:v>Childhood; Adulthood</x:v>
      </x:c>
      <x:c r="H194" s="28" t="str">
        <x:v>Later specialized</x:v>
      </x:c>
      <x:c r="I194" s="28" t="str">
        <x:v>Direct or strongly ADHD-related record retained for later screening; typically narrower treatment, biomarker, mechanistic, or single-comorbidity focus.</x:v>
      </x:c>
      <x:c r="J194" s="38" t="e">
        <x:f>HYPERLINK("https://pubmed.ncbi.nlm.nih.gov/"&amp;C194&amp;"/","Open PubMed")</x:f>
        <x:v>HYPERLINK is not implemented. linkLocation=https://pubmed.ncbi.nlm.nih.gov/2389798/, friendlyName=Open PubMed</x:v>
      </x:c>
    </x:row>
    <x:row r="195">
      <x:c r="A195" s="26" t="str">
        <x:v>PUBMED-2093451</x:v>
      </x:c>
      <x:c r="B195" s="26" t="n">
        <x:v>1990</x:v>
      </x:c>
      <x:c r="C195" s="26" t="str">
        <x:v>2093451</x:v>
      </x:c>
      <x:c r="D195" s="28" t="str">
        <x:v>[Minimal brain dysfunction and possibilities of its gynecologic prevention].</x:v>
      </x:c>
      <x:c r="E195" s="28" t="str">
        <x:v>Primary/contextual journal article</x:v>
      </x:c>
      <x:c r="F195" s="28" t="str">
        <x:v>Development &amp; presentation</x:v>
      </x:c>
      <x:c r="G195" s="28" t="str">
        <x:v>Not specified</x:v>
      </x:c>
      <x:c r="H195" s="28" t="str">
        <x:v>Later specialized</x:v>
      </x:c>
      <x:c r="I195" s="28" t="str">
        <x:v>Direct or strongly ADHD-related record retained for later screening; typically narrower treatment, biomarker, mechanistic, or single-comorbidity focus.</x:v>
      </x:c>
      <x:c r="J195" s="38" t="e">
        <x:f>HYPERLINK("https://pubmed.ncbi.nlm.nih.gov/"&amp;C195&amp;"/","Open PubMed")</x:f>
        <x:v>HYPERLINK is not implemented. linkLocation=https://pubmed.ncbi.nlm.nih.gov/2093451/, friendlyName=Open PubMed</x:v>
      </x:c>
    </x:row>
    <x:row r="196">
      <x:c r="A196" s="26" t="str">
        <x:v>PUBMED-2303555</x:v>
      </x:c>
      <x:c r="B196" s="26" t="n">
        <x:v>1990</x:v>
      </x:c>
      <x:c r="C196" s="26" t="str">
        <x:v>2303555</x:v>
      </x:c>
      <x:c r="D196" s="28" t="str">
        <x:v>Increasing difficulties with age in ADHD children.</x:v>
      </x:c>
      <x:c r="E196" s="28" t="str">
        <x:v>Contextual - editorial/comment</x:v>
      </x:c>
      <x:c r="F196" s="28" t="str">
        <x:v>Development &amp; presentation; Family &amp; education</x:v>
      </x:c>
      <x:c r="G196" s="28" t="str">
        <x:v>Childhood</x:v>
      </x:c>
      <x:c r="H196" s="28" t="str">
        <x:v>Later specialized</x:v>
      </x:c>
      <x:c r="I196" s="28" t="str">
        <x:v>Direct or strongly ADHD-related record retained for later screening; typically narrower treatment, biomarker, mechanistic, or single-comorbidity focus.</x:v>
      </x:c>
      <x:c r="J196" s="38" t="e">
        <x:f>HYPERLINK("https://pubmed.ncbi.nlm.nih.gov/"&amp;C196&amp;"/","Open PubMed")</x:f>
        <x:v>HYPERLINK is not implemented. linkLocation=https://pubmed.ncbi.nlm.nih.gov/2303555/, friendlyName=Open PubMed</x:v>
      </x:c>
    </x:row>
    <x:row r="197">
      <x:c r="A197" s="26" t="str">
        <x:v>PUBMED-2342435</x:v>
      </x:c>
      <x:c r="B197" s="26" t="n">
        <x:v>1990</x:v>
      </x:c>
      <x:c r="C197" s="26" t="str">
        <x:v>2342435</x:v>
      </x:c>
      <x:c r="D197" s="28" t="str">
        <x:v>Sudden death in children treated with a tricyclic antidepressant.</x:v>
      </x:c>
      <x:c r="E197" s="28" t="str">
        <x:v>Primary/contextual journal article</x:v>
      </x:c>
      <x:c r="F197" s="28" t="str">
        <x:v>Development &amp; presentation; Treatment &amp; support</x:v>
      </x:c>
      <x:c r="G197" s="28" t="str">
        <x:v>Childhood</x:v>
      </x:c>
      <x:c r="H197" s="28" t="str">
        <x:v>Exclude/incidental</x:v>
      </x:c>
      <x:c r="I197" s="28" t="str">
        <x:v>ADHD appears peripheral or insufficiently aligned with the requested corpus scope based on accessible metadata/abstract.</x:v>
      </x:c>
      <x:c r="J197" s="38" t="e">
        <x:f>HYPERLINK("https://pubmed.ncbi.nlm.nih.gov/"&amp;C197&amp;"/","Open PubMed")</x:f>
        <x:v>HYPERLINK is not implemented. linkLocation=https://pubmed.ncbi.nlm.nih.gov/2342435/, friendlyName=Open PubMed</x:v>
      </x:c>
    </x:row>
    <x:row r="198">
      <x:c r="A198" s="26" t="str">
        <x:v>PUBMED-2124318</x:v>
      </x:c>
      <x:c r="B198" s="26" t="n">
        <x:v>1990</x:v>
      </x:c>
      <x:c r="C198" s="26" t="str">
        <x:v>2124318</x:v>
      </x:c>
      <x:c r="D198" s="28" t="str">
        <x:v>A drug to ease attention deficit-hyperactivity disorder.</x:v>
      </x:c>
      <x:c r="E198" s="28" t="str">
        <x:v>Primary/contextual journal article</x:v>
      </x:c>
      <x:c r="F198" s="28" t="str">
        <x:v>Development &amp; presentation; Recognition &amp; diagnosis; Family &amp; education; Social &amp; structural; Treatment &amp; support</x:v>
      </x:c>
      <x:c r="G198" s="28" t="str">
        <x:v>Childhood; Adulthood</x:v>
      </x:c>
      <x:c r="H198" s="28" t="str">
        <x:v>Later specialized</x:v>
      </x:c>
      <x:c r="I198" s="28" t="str">
        <x:v>Direct or strongly ADHD-related record retained for later screening; typically narrower treatment, biomarker, mechanistic, or single-comorbidity focus.</x:v>
      </x:c>
      <x:c r="J198" s="38" t="e">
        <x:f>HYPERLINK("https://pubmed.ncbi.nlm.nih.gov/"&amp;C198&amp;"/","Open PubMed")</x:f>
        <x:v>HYPERLINK is not implemented. linkLocation=https://pubmed.ncbi.nlm.nih.gov/2124318/, friendlyName=Open PubMed</x:v>
      </x:c>
    </x:row>
    <x:row r="199">
      <x:c r="A199" s="26" t="str">
        <x:v>PUBMED-2266222</x:v>
      </x:c>
      <x:c r="B199" s="26" t="n">
        <x:v>1990</x:v>
      </x:c>
      <x:c r="C199" s="26" t="str">
        <x:v>2266222</x:v>
      </x:c>
      <x:c r="D199" s="28" t="str">
        <x:v>Are hyperactive children deficient in attentional capacity?</x:v>
      </x:c>
      <x:c r="E199" s="28" t="str">
        <x:v>Primary/contextual journal article</x:v>
      </x:c>
      <x:c r="F199" s="28" t="str">
        <x:v>Development &amp; presentation; Recognition &amp; diagnosis; Social &amp; structural</x:v>
      </x:c>
      <x:c r="G199" s="28" t="str">
        <x:v>Childhood</x:v>
      </x:c>
      <x:c r="H199" s="28" t="str">
        <x:v>Later specialized</x:v>
      </x:c>
      <x:c r="I199" s="28" t="str">
        <x:v>Direct or strongly ADHD-related record retained for later screening; typically narrower treatment, biomarker, mechanistic, or single-comorbidity focus.</x:v>
      </x:c>
      <x:c r="J199" s="38" t="e">
        <x:f>HYPERLINK("https://pubmed.ncbi.nlm.nih.gov/"&amp;C199&amp;"/","Open PubMed")</x:f>
        <x:v>HYPERLINK is not implemented. linkLocation=https://pubmed.ncbi.nlm.nih.gov/2266222/, friendlyName=Open PubMed</x:v>
      </x:c>
    </x:row>
    <x:row r="200">
      <x:c r="A200" s="26" t="str">
        <x:v>PUBMED-2346988</x:v>
      </x:c>
      <x:c r="B200" s="26" t="n">
        <x:v>1990</x:v>
      </x:c>
      <x:c r="C200" s="26" t="str">
        <x:v>2346988</x:v>
      </x:c>
      <x:c r="D200" s="28" t="str">
        <x:v>[Incidence of the minimal brain dysfunction syndrome in children].</x:v>
      </x:c>
      <x:c r="E200" s="28" t="str">
        <x:v>Primary/contextual journal article</x:v>
      </x:c>
      <x:c r="F200" s="28" t="str">
        <x:v>Development &amp; presentation; Recognition &amp; diagnosis; Family &amp; education; Social &amp; structural; Treatment &amp; support; Life outcomes &amp; lived experience</x:v>
      </x:c>
      <x:c r="G200" s="28" t="str">
        <x:v>Childhood</x:v>
      </x:c>
      <x:c r="H200" s="28" t="str">
        <x:v>Later specialized</x:v>
      </x:c>
      <x:c r="I200" s="28" t="str">
        <x:v>Direct or strongly ADHD-related record retained for later screening; typically narrower treatment, biomarker, mechanistic, or single-comorbidity focus.</x:v>
      </x:c>
      <x:c r="J200" s="38" t="e">
        <x:f>HYPERLINK("https://pubmed.ncbi.nlm.nih.gov/"&amp;C200&amp;"/","Open PubMed")</x:f>
        <x:v>HYPERLINK is not implemented. linkLocation=https://pubmed.ncbi.nlm.nih.gov/2346988/, friendlyName=Open PubMed</x:v>
      </x:c>
    </x:row>
    <x:row r="201">
      <x:c r="A201" s="26" t="str">
        <x:v>PUBMED-2224381</x:v>
      </x:c>
      <x:c r="B201" s="26" t="n">
        <x:v>1990</x:v>
      </x:c>
      <x:c r="C201" s="26" t="str">
        <x:v>2224381</x:v>
      </x:c>
      <x:c r="D201" s="28" t="str">
        <x:v>A psychiatric study of deviant eating behaviour among mentally handicapped adults.</x:v>
      </x:c>
      <x:c r="E201" s="28" t="str">
        <x:v>Primary/contextual journal article</x:v>
      </x:c>
      <x:c r="F201" s="28" t="str">
        <x:v>Development &amp; presentation; Recognition &amp; diagnosis; Social &amp; structural; Environmental &amp; lifestyle</x:v>
      </x:c>
      <x:c r="G201" s="28" t="str">
        <x:v>Adulthood</x:v>
      </x:c>
      <x:c r="H201" s="28" t="str">
        <x:v>Exclude/incidental</x:v>
      </x:c>
      <x:c r="I201" s="28" t="str">
        <x:v>ADHD appears peripheral or insufficiently aligned with the requested corpus scope based on accessible metadata/abstract.</x:v>
      </x:c>
      <x:c r="J201" s="38" t="e">
        <x:f>HYPERLINK("https://pubmed.ncbi.nlm.nih.gov/"&amp;C201&amp;"/","Open PubMed")</x:f>
        <x:v>HYPERLINK is not implemented. linkLocation=https://pubmed.ncbi.nlm.nih.gov/2224381/, friendlyName=Open PubMed</x:v>
      </x:c>
    </x:row>
    <x:row r="202">
      <x:c r="A202" s="26" t="str">
        <x:v>PUBMED-2290951</x:v>
      </x:c>
      <x:c r="B202" s="26" t="n">
        <x:v>1990</x:v>
      </x:c>
      <x:c r="C202" s="26" t="str">
        <x:v>2290951</x:v>
      </x:c>
      <x:c r="D202" s="28" t="str">
        <x:v>Functional consequences of neocortical transplants in rats with a congenital brain defect: electrophysiology and behavior.</x:v>
      </x:c>
      <x:c r="E202" s="28" t="str">
        <x:v>Primary/contextual journal article</x:v>
      </x:c>
      <x:c r="F202" s="28" t="str">
        <x:v>Development &amp; presentation; Family &amp; education</x:v>
      </x:c>
      <x:c r="G202" s="28" t="str">
        <x:v>Not specified</x:v>
      </x:c>
      <x:c r="H202" s="28" t="str">
        <x:v>Exclude/incidental</x:v>
      </x:c>
      <x:c r="I202" s="28" t="str">
        <x:v>Animal-only record; retained outside the human-focused core corpus.</x:v>
      </x:c>
      <x:c r="J202" s="38" t="e">
        <x:f>HYPERLINK("https://pubmed.ncbi.nlm.nih.gov/"&amp;C202&amp;"/","Open PubMed")</x:f>
        <x:v>HYPERLINK is not implemented. linkLocation=https://pubmed.ncbi.nlm.nih.gov/2290951/, friendlyName=Open PubMed</x:v>
      </x:c>
    </x:row>
    <x:row r="203">
      <x:c r="A203" s="26" t="str">
        <x:v>PUBMED-2376212</x:v>
      </x:c>
      <x:c r="B203" s="26" t="n">
        <x:v>1990</x:v>
      </x:c>
      <x:c r="C203" s="26" t="str">
        <x:v>2376212</x:v>
      </x:c>
      <x:c r="D203" s="28" t="str">
        <x:v>Mothers' views on the ages of onset for four childhood disorders.</x:v>
      </x:c>
      <x:c r="E203" s="28" t="str">
        <x:v>Primary/contextual journal article</x:v>
      </x:c>
      <x:c r="F203" s="28" t="str">
        <x:v>Development &amp; presentation; Recognition &amp; diagnosis; Family &amp; education; Social &amp; structural; Historical &amp; contemporary context</x:v>
      </x:c>
      <x:c r="G203" s="28" t="str">
        <x:v>Childhood</x:v>
      </x:c>
      <x:c r="H203" s="28" t="str">
        <x:v>Later specialized</x:v>
      </x:c>
      <x:c r="I203" s="28" t="str">
        <x:v>Direct or strongly ADHD-related record retained for later screening; typically narrower treatment, biomarker, mechanistic, or single-comorbidity focus.</x:v>
      </x:c>
      <x:c r="J203" s="38" t="e">
        <x:f>HYPERLINK("https://pubmed.ncbi.nlm.nih.gov/"&amp;C203&amp;"/","Open PubMed")</x:f>
        <x:v>HYPERLINK is not implemented. linkLocation=https://pubmed.ncbi.nlm.nih.gov/2376212/, friendlyName=Open PubMed</x:v>
      </x:c>
    </x:row>
    <x:row r="204">
      <x:c r="A204" s="26" t="str">
        <x:v>PUBMED-2346992</x:v>
      </x:c>
      <x:c r="B204" s="26" t="n">
        <x:v>1990</x:v>
      </x:c>
      <x:c r="C204" s="26" t="str">
        <x:v>2346992</x:v>
      </x:c>
      <x:c r="D204" s="28" t="str">
        <x:v>[The importance of nonverbal motor examination methods in screening for minimal brain dysfunction].</x:v>
      </x:c>
      <x:c r="E204" s="28" t="str">
        <x:v>Primary/contextual journal article</x:v>
      </x:c>
      <x:c r="F204" s="28" t="str">
        <x:v>Development &amp; presentation; Recognition &amp; diagnosis; Family &amp; education; Social &amp; structural; Life outcomes &amp; lived experience</x:v>
      </x:c>
      <x:c r="G204" s="28" t="str">
        <x:v>Childhood</x:v>
      </x:c>
      <x:c r="H204" s="28" t="str">
        <x:v>Batch 1 core</x:v>
      </x:c>
      <x:c r="I204" s="28" t="str">
        <x:v>Direct historical-period ADHD/hyperkinesis/minimal-brain-dysfunction focus with human relevance.</x:v>
      </x:c>
      <x:c r="J204" s="38" t="e">
        <x:f>HYPERLINK("https://pubmed.ncbi.nlm.nih.gov/"&amp;C204&amp;"/","Open PubMed")</x:f>
        <x:v>HYPERLINK is not implemented. linkLocation=https://pubmed.ncbi.nlm.nih.gov/2346992/, friendlyName=Open PubMed</x:v>
      </x:c>
    </x:row>
    <x:row r="205">
      <x:c r="A205" s="26" t="str">
        <x:v>PUBMED-2295479</x:v>
      </x:c>
      <x:c r="B205" s="26" t="n">
        <x:v>1990</x:v>
      </x:c>
      <x:c r="C205" s="26" t="str">
        <x:v>2295479</x:v>
      </x:c>
      <x:c r="D205" s="28" t="str">
        <x:v>Reliability of DSM-III diagnoses of hospitalized children.</x:v>
      </x:c>
      <x:c r="E205" s="28" t="str">
        <x:v>Primary/contextual journal article</x:v>
      </x:c>
      <x:c r="F205" s="28" t="str">
        <x:v>Development &amp; presentation; Recognition &amp; diagnosis; Family &amp; education; Social &amp; structural</x:v>
      </x:c>
      <x:c r="G205" s="28" t="str">
        <x:v>Childhood; Adolescence</x:v>
      </x:c>
      <x:c r="H205" s="28" t="str">
        <x:v>Exclude/incidental</x:v>
      </x:c>
      <x:c r="I205" s="28" t="str">
        <x:v>ADHD appears peripheral or insufficiently aligned with the requested corpus scope based on accessible metadata/abstract.</x:v>
      </x:c>
      <x:c r="J205" s="38" t="e">
        <x:f>HYPERLINK("https://pubmed.ncbi.nlm.nih.gov/"&amp;C205&amp;"/","Open PubMed")</x:f>
        <x:v>HYPERLINK is not implemented. linkLocation=https://pubmed.ncbi.nlm.nih.gov/2295479/, friendlyName=Open PubMed</x:v>
      </x:c>
    </x:row>
    <x:row r="206">
      <x:c r="A206" s="26" t="str">
        <x:v>PUBMED-2336426</x:v>
      </x:c>
      <x:c r="B206" s="26" t="n">
        <x:v>1990</x:v>
      </x:c>
      <x:c r="C206" s="26" t="str">
        <x:v>2336426</x:v>
      </x:c>
      <x:c r="D206" s="28" t="str">
        <x:v>[Intelligence structure of hyperkinetic children: comparative study of 2,229 profiles of the Hamburg Wechsler Intelligence Test for Children].</x:v>
      </x:c>
      <x:c r="E206" s="28" t="str">
        <x:v>Primary/contextual journal article</x:v>
      </x:c>
      <x:c r="F206" s="28" t="str">
        <x:v>Development &amp; presentation; Recognition &amp; diagnosis; Social &amp; structural</x:v>
      </x:c>
      <x:c r="G206" s="28" t="str">
        <x:v>Childhood</x:v>
      </x:c>
      <x:c r="H206" s="28" t="str">
        <x:v>Later specialized</x:v>
      </x:c>
      <x:c r="I206" s="28" t="str">
        <x:v>Direct or strongly ADHD-related record retained for later screening; typically narrower treatment, biomarker, mechanistic, or single-comorbidity focus.</x:v>
      </x:c>
      <x:c r="J206" s="38" t="e">
        <x:f>HYPERLINK("https://pubmed.ncbi.nlm.nih.gov/"&amp;C206&amp;"/","Open PubMed")</x:f>
        <x:v>HYPERLINK is not implemented. linkLocation=https://pubmed.ncbi.nlm.nih.gov/2336426/, friendlyName=Open PubMed</x:v>
      </x:c>
    </x:row>
    <x:row r="207">
      <x:c r="A207" s="26" t="str">
        <x:v>PUBMED-2304803</x:v>
      </x:c>
      <x:c r="B207" s="26" t="n">
        <x:v>1990</x:v>
      </x:c>
      <x:c r="C207" s="26" t="str">
        <x:v>2304803</x:v>
      </x:c>
      <x:c r="D207" s="28" t="str">
        <x:v>Integration of soft signs in academically normal and academically at-risk children.</x:v>
      </x:c>
      <x:c r="E207" s="28" t="str">
        <x:v>Primary/contextual journal article</x:v>
      </x:c>
      <x:c r="F207" s="28" t="str">
        <x:v>Development &amp; presentation; Family &amp; education; Social &amp; structural</x:v>
      </x:c>
      <x:c r="G207" s="28" t="str">
        <x:v>Childhood</x:v>
      </x:c>
      <x:c r="H207" s="28" t="str">
        <x:v>Exclude/incidental</x:v>
      </x:c>
      <x:c r="I207" s="28" t="str">
        <x:v>ADHD appears peripheral or insufficiently aligned with the requested corpus scope based on accessible metadata/abstract.</x:v>
      </x:c>
      <x:c r="J207" s="38" t="e">
        <x:f>HYPERLINK("https://pubmed.ncbi.nlm.nih.gov/"&amp;C207&amp;"/","Open PubMed")</x:f>
        <x:v>HYPERLINK is not implemented. linkLocation=https://pubmed.ncbi.nlm.nih.gov/2304803/, friendlyName=Open PubMed</x:v>
      </x:c>
    </x:row>
    <x:row r="208">
      <x:c r="A208" s="26" t="str">
        <x:v>PUBMED-2309958</x:v>
      </x:c>
      <x:c r="B208" s="26" t="n">
        <x:v>1990</x:v>
      </x:c>
      <x:c r="C208" s="26" t="str">
        <x:v>2309958</x:v>
      </x:c>
      <x:c r="D208" s="28" t="str">
        <x:v>Change in response to pemoline at puberty.</x:v>
      </x:c>
      <x:c r="E208" s="28" t="str">
        <x:v>Other/unclear</x:v>
      </x:c>
      <x:c r="F208" s="28" t="str">
        <x:v>Development &amp; presentation; Treatment &amp; support</x:v>
      </x:c>
      <x:c r="G208" s="28" t="str">
        <x:v>Adolescence</x:v>
      </x:c>
      <x:c r="H208" s="28" t="str">
        <x:v>Exclude/incidental</x:v>
      </x:c>
      <x:c r="I208" s="28" t="str">
        <x:v>ADHD appears peripheral or insufficiently aligned with the requested corpus scope based on accessible metadata/abstract.</x:v>
      </x:c>
      <x:c r="J208" s="38" t="e">
        <x:f>HYPERLINK("https://pubmed.ncbi.nlm.nih.gov/"&amp;C208&amp;"/","Open PubMed")</x:f>
        <x:v>HYPERLINK is not implemented. linkLocation=https://pubmed.ncbi.nlm.nih.gov/2309958/, friendlyName=Open PubMed</x:v>
      </x:c>
    </x:row>
    <x:row r="209">
      <x:c r="A209" s="26" t="str">
        <x:v>PUBMED-2244614</x:v>
      </x:c>
      <x:c r="B209" s="26" t="n">
        <x:v>1990</x:v>
      </x:c>
      <x:c r="C209" s="26" t="str">
        <x:v>2244614</x:v>
      </x:c>
      <x:c r="D209" s="28" t="str">
        <x:v>Reported practices of pediatric residents in the management of attention-deficit hyperactivity disorder.</x:v>
      </x:c>
      <x:c r="E209" s="28" t="str">
        <x:v>Primary/contextual journal article</x:v>
      </x:c>
      <x:c r="F209" s="28" t="str">
        <x:v>Development &amp; presentation; Recognition &amp; diagnosis; Family &amp; education; Social &amp; structural; Treatment &amp; support</x:v>
      </x:c>
      <x:c r="G209" s="28" t="str">
        <x:v>Childhood</x:v>
      </x:c>
      <x:c r="H209" s="28" t="str">
        <x:v>Later specialized</x:v>
      </x:c>
      <x:c r="I209" s="28" t="str">
        <x:v>Direct or strongly ADHD-related record retained for later screening; typically narrower treatment, biomarker, mechanistic, or single-comorbidity focus.</x:v>
      </x:c>
      <x:c r="J209" s="38" t="e">
        <x:f>HYPERLINK("https://pubmed.ncbi.nlm.nih.gov/"&amp;C209&amp;"/","Open PubMed")</x:f>
        <x:v>HYPERLINK is not implemented. linkLocation=https://pubmed.ncbi.nlm.nih.gov/2244614/, friendlyName=Open PubMed</x:v>
      </x:c>
    </x:row>
    <x:row r="210">
      <x:c r="A210" s="26" t="str">
        <x:v>PUBMED-2175109</x:v>
      </x:c>
      <x:c r="B210" s="26" t="n">
        <x:v>1990</x:v>
      </x:c>
      <x:c r="C210" s="26" t="str">
        <x:v>2175109</x:v>
      </x:c>
      <x:c r="D210" s="28" t="str">
        <x:v>[Correlation between altered granulocytes and visualized brain anti gens in newborn infants with pathology of the central nervous system].</x:v>
      </x:c>
      <x:c r="E210" s="28" t="str">
        <x:v>Primary/contextual journal article</x:v>
      </x:c>
      <x:c r="F210" s="28" t="str">
        <x:v>Development &amp; presentation</x:v>
      </x:c>
      <x:c r="G210" s="28" t="str">
        <x:v>Childhood</x:v>
      </x:c>
      <x:c r="H210" s="28" t="str">
        <x:v>Exclude/incidental</x:v>
      </x:c>
      <x:c r="I210" s="28" t="str">
        <x:v>ADHD appears peripheral or insufficiently aligned with the requested corpus scope based on accessible metadata/abstract.</x:v>
      </x:c>
      <x:c r="J210" s="38" t="e">
        <x:f>HYPERLINK("https://pubmed.ncbi.nlm.nih.gov/"&amp;C210&amp;"/","Open PubMed")</x:f>
        <x:v>HYPERLINK is not implemented. linkLocation=https://pubmed.ncbi.nlm.nih.gov/2175109/, friendlyName=Open PubMed</x:v>
      </x:c>
    </x:row>
    <x:row r="211">
      <x:c r="A211" s="26" t="str">
        <x:v>PUBMED-2175127</x:v>
      </x:c>
      <x:c r="B211" s="26" t="n">
        <x:v>1990</x:v>
      </x:c>
      <x:c r="C211" s="26" t="str">
        <x:v>2175127</x:v>
      </x:c>
      <x:c r="D211" s="28" t="str">
        <x:v>[Clinico-phenomenologic characteristics of trichotillomania in children and adolescents].</x:v>
      </x:c>
      <x:c r="E211" s="28" t="str">
        <x:v>Primary/contextual journal article</x:v>
      </x:c>
      <x:c r="F211" s="28" t="str">
        <x:v>Development &amp; presentation; Family &amp; education; Social &amp; structural; Environmental &amp; lifestyle; Treatment &amp; support</x:v>
      </x:c>
      <x:c r="G211" s="28" t="str">
        <x:v>Childhood; Adolescence</x:v>
      </x:c>
      <x:c r="H211" s="28" t="str">
        <x:v>Exclude/incidental</x:v>
      </x:c>
      <x:c r="I211" s="28" t="str">
        <x:v>ADHD appears peripheral or insufficiently aligned with the requested corpus scope based on accessible metadata/abstract.</x:v>
      </x:c>
      <x:c r="J211" s="38" t="e">
        <x:f>HYPERLINK("https://pubmed.ncbi.nlm.nih.gov/"&amp;C211&amp;"/","Open PubMed")</x:f>
        <x:v>HYPERLINK is not implemented. linkLocation=https://pubmed.ncbi.nlm.nih.gov/2175127/, friendlyName=Open PubMed</x:v>
      </x:c>
    </x:row>
    <x:row r="212">
      <x:c r="A212" s="26" t="str">
        <x:v>PUBMED-2342841</x:v>
      </x:c>
      <x:c r="B212" s="26" t="n">
        <x:v>1990</x:v>
      </x:c>
      <x:c r="C212" s="26" t="str">
        <x:v>2342841</x:v>
      </x:c>
      <x:c r="D212" s="28" t="str">
        <x:v>On development of visual-motor performance in normal boys and boys with minimal brain dysfunction.</x:v>
      </x:c>
      <x:c r="E212" s="28" t="str">
        <x:v>Primary/contextual journal article</x:v>
      </x:c>
      <x:c r="F212" s="28" t="str">
        <x:v>Development &amp; presentation; Recognition &amp; diagnosis; Social &amp; structural</x:v>
      </x:c>
      <x:c r="G212" s="28" t="str">
        <x:v>Childhood</x:v>
      </x:c>
      <x:c r="H212" s="28" t="str">
        <x:v>Later specialized</x:v>
      </x:c>
      <x:c r="I212" s="28" t="str">
        <x:v>Direct or strongly ADHD-related record retained for later screening; typically narrower treatment, biomarker, mechanistic, or single-comorbidity focus.</x:v>
      </x:c>
      <x:c r="J212" s="38" t="e">
        <x:f>HYPERLINK("https://pubmed.ncbi.nlm.nih.gov/"&amp;C212&amp;"/","Open PubMed")</x:f>
        <x:v>HYPERLINK is not implemented. linkLocation=https://pubmed.ncbi.nlm.nih.gov/2342841/, friendlyName=Open PubMed</x:v>
      </x:c>
    </x:row>
    <x:row r="213">
      <x:c r="A213" s="26" t="str">
        <x:v>PUBMED-2373770</x:v>
      </x:c>
      <x:c r="B213" s="26" t="n">
        <x:v>1990</x:v>
      </x:c>
      <x:c r="C213" s="26" t="str">
        <x:v>2373770</x:v>
      </x:c>
      <x:c r="D213" s="28" t="str">
        <x:v>Management of a hyperactive-conduct disordered child through correspondence training: a preliminary study.</x:v>
      </x:c>
      <x:c r="E213" s="28" t="str">
        <x:v>Primary/contextual journal article</x:v>
      </x:c>
      <x:c r="F213" s="28" t="str">
        <x:v>Development &amp; presentation; Family &amp; education; Social &amp; structural; Environmental &amp; lifestyle; Treatment &amp; support</x:v>
      </x:c>
      <x:c r="G213" s="28" t="str">
        <x:v>Childhood</x:v>
      </x:c>
      <x:c r="H213" s="28" t="str">
        <x:v>Later specialized</x:v>
      </x:c>
      <x:c r="I213" s="28" t="str">
        <x:v>Direct or strongly ADHD-related record retained for later screening; typically narrower treatment, biomarker, mechanistic, or single-comorbidity focus.</x:v>
      </x:c>
      <x:c r="J213" s="38" t="e">
        <x:f>HYPERLINK("https://pubmed.ncbi.nlm.nih.gov/"&amp;C213&amp;"/","Open PubMed")</x:f>
        <x:v>HYPERLINK is not implemented. linkLocation=https://pubmed.ncbi.nlm.nih.gov/2373770/, friendlyName=Open PubMed</x:v>
      </x:c>
    </x:row>
    <x:row r="214">
      <x:c r="A214" s="26" t="str">
        <x:v>PUBMED-2397543</x:v>
      </x:c>
      <x:c r="B214" s="26" t="n">
        <x:v>1990</x:v>
      </x:c>
      <x:c r="C214" s="26" t="str">
        <x:v>2397543</x:v>
      </x:c>
      <x:c r="D214" s="28" t="str">
        <x:v>[Preliminary study of traditional Chinese medicine treatment of minimal brain dysfunction: analysis of 100 cases].</x:v>
      </x:c>
      <x:c r="E214" s="28" t="str">
        <x:v>Primary study - randomized controlled trial</x:v>
      </x:c>
      <x:c r="F214" s="28" t="str">
        <x:v>Development &amp; presentation; Recognition &amp; diagnosis; Social &amp; structural; Treatment &amp; support</x:v>
      </x:c>
      <x:c r="G214" s="28" t="str">
        <x:v>Childhood; Adolescence</x:v>
      </x:c>
      <x:c r="H214" s="28" t="str">
        <x:v>Batch 1 core</x:v>
      </x:c>
      <x:c r="I214" s="28" t="str">
        <x:v>Direct historical-period ADHD/hyperkinesis/minimal-brain-dysfunction focus with human relevance.</x:v>
      </x:c>
      <x:c r="J214" s="38" t="e">
        <x:f>HYPERLINK("https://pubmed.ncbi.nlm.nih.gov/"&amp;C214&amp;"/","Open PubMed")</x:f>
        <x:v>HYPERLINK is not implemented. linkLocation=https://pubmed.ncbi.nlm.nih.gov/2397543/, friendlyName=Open PubMed</x:v>
      </x:c>
    </x:row>
    <x:row r="215">
      <x:c r="A215" s="26" t="str">
        <x:v>PUBMED-21258430</x:v>
      </x:c>
      <x:c r="B215" s="26" t="n">
        <x:v>2010</x:v>
      </x:c>
      <x:c r="C215" s="26" t="str">
        <x:v>21258430</x:v>
      </x:c>
      <x:c r="D215" s="28" t="str">
        <x:v>The history of attention deficit hyperactivity disorder.</x:v>
      </x:c>
      <x:c r="E215" s="28" t="str">
        <x:v>Primary/contextual journal article</x:v>
      </x:c>
      <x:c r="F215" s="28" t="str">
        <x:v>Development &amp; presentation; Recognition &amp; diagnosis; Social &amp; structural; Treatment &amp; support; Historical &amp; contemporary context</x:v>
      </x:c>
      <x:c r="G215" s="28" t="str">
        <x:v>Childhood</x:v>
      </x:c>
      <x:c r="H215" s="28" t="str">
        <x:v>Later specialized</x:v>
      </x:c>
      <x:c r="I215" s="28" t="str">
        <x:v>Direct or strongly ADHD-related record retained for later screening; typically narrower treatment, biomarker, mechanistic, or single-comorbidity focus.</x:v>
      </x:c>
      <x:c r="J215" s="38" t="e">
        <x:f>HYPERLINK("https://pubmed.ncbi.nlm.nih.gov/"&amp;C215&amp;"/","Open PubMed")</x:f>
        <x:v>HYPERLINK is not implemented. linkLocation=https://pubmed.ncbi.nlm.nih.gov/21258430/, friendlyName=Open PubMed</x:v>
      </x:c>
    </x:row>
    <x:row r="216">
      <x:c r="A216" s="26" t="str">
        <x:v>PUBMED-20814706</x:v>
      </x:c>
      <x:c r="B216" s="26" t="n">
        <x:v>2010</x:v>
      </x:c>
      <x:c r="C216" s="26" t="str">
        <x:v>20814706</x:v>
      </x:c>
      <x:c r="D216" s="28" t="str">
        <x:v>Attention-deficit/hyperactivity disorder in perspective.</x:v>
      </x:c>
      <x:c r="E216" s="28" t="str">
        <x:v>Contextual - editorial/comment</x:v>
      </x:c>
      <x:c r="F216" s="28" t="str">
        <x:v>Development &amp; presentation; Recognition &amp; diagnosis</x:v>
      </x:c>
      <x:c r="G216" s="28" t="str">
        <x:v>Not specified</x:v>
      </x:c>
      <x:c r="H216" s="28" t="str">
        <x:v>Later specialized</x:v>
      </x:c>
      <x:c r="I216" s="28" t="str">
        <x:v>Direct or strongly ADHD-related record retained for later screening; typically narrower treatment, biomarker, mechanistic, or single-comorbidity focus.</x:v>
      </x:c>
      <x:c r="J216" s="38" t="e">
        <x:f>HYPERLINK("https://pubmed.ncbi.nlm.nih.gov/"&amp;C216&amp;"/","Open PubMed")</x:f>
        <x:v>HYPERLINK is not implemented. linkLocation=https://pubmed.ncbi.nlm.nih.gov/20814706/, friendlyName=Open PubMed</x:v>
      </x:c>
    </x:row>
    <x:row r="217">
      <x:c r="A217" s="26" t="str">
        <x:v>PUBMED-20925473</x:v>
      </x:c>
      <x:c r="B217" s="26" t="n">
        <x:v>2010</x:v>
      </x:c>
      <x:c r="C217" s="26" t="str">
        <x:v>20925473</x:v>
      </x:c>
      <x:c r="D217" s="28" t="str">
        <x:v>Aggression in children with attention-deficit/hyperactivity disorder.</x:v>
      </x:c>
      <x:c r="E217" s="28" t="str">
        <x:v>Evidence synthesis - review</x:v>
      </x:c>
      <x:c r="F217" s="28" t="str">
        <x:v>Development &amp; presentation; Family &amp; education; Social &amp; structural; Treatment &amp; support</x:v>
      </x:c>
      <x:c r="G217" s="28" t="str">
        <x:v>Childhood</x:v>
      </x:c>
      <x:c r="H217" s="28" t="str">
        <x:v>Later specialized</x:v>
      </x:c>
      <x:c r="I217" s="28" t="str">
        <x:v>Direct or strongly ADHD-related record retained for later screening; typically narrower treatment, biomarker, mechanistic, or single-comorbidity focus.</x:v>
      </x:c>
      <x:c r="J217" s="38" t="e">
        <x:f>HYPERLINK("https://pubmed.ncbi.nlm.nih.gov/"&amp;C217&amp;"/","Open PubMed")</x:f>
        <x:v>HYPERLINK is not implemented. linkLocation=https://pubmed.ncbi.nlm.nih.gov/20925473/, friendlyName=Open PubMed</x:v>
      </x:c>
    </x:row>
    <x:row r="218">
      <x:c r="A218" s="26" t="str">
        <x:v>PUBMED-20925472</x:v>
      </x:c>
      <x:c r="B218" s="26" t="n">
        <x:v>2010</x:v>
      </x:c>
      <x:c r="C218" s="26" t="str">
        <x:v>20925472</x:v>
      </x:c>
      <x:c r="D218" s="28" t="str">
        <x:v>Clinical assessment and diagnosis of adults with attention-deficit/hyperactivity disorder.</x:v>
      </x:c>
      <x:c r="E218" s="28" t="str">
        <x:v>Evidence synthesis - review</x:v>
      </x:c>
      <x:c r="F218" s="28" t="str">
        <x:v>Development &amp; presentation; Recognition &amp; diagnosis; Social &amp; structural; Environmental &amp; lifestyle; Treatment &amp; support</x:v>
      </x:c>
      <x:c r="G218" s="28" t="str">
        <x:v>Childhood; Adolescence; Adulthood</x:v>
      </x:c>
      <x:c r="H218" s="28" t="str">
        <x:v>Later specialized</x:v>
      </x:c>
      <x:c r="I218" s="28" t="str">
        <x:v>Direct or strongly ADHD-related record retained for later screening; typically narrower treatment, biomarker, mechanistic, or single-comorbidity focus.</x:v>
      </x:c>
      <x:c r="J218" s="38" t="e">
        <x:f>HYPERLINK("https://pubmed.ncbi.nlm.nih.gov/"&amp;C218&amp;"/","Open PubMed")</x:f>
        <x:v>HYPERLINK is not implemented. linkLocation=https://pubmed.ncbi.nlm.nih.gov/20925472/, friendlyName=Open PubMed</x:v>
      </x:c>
    </x:row>
    <x:row r="219">
      <x:c r="A219" s="26" t="str">
        <x:v>PUBMED-21432612</x:v>
      </x:c>
      <x:c r="B219" s="26" t="n">
        <x:v>2010</x:v>
      </x:c>
      <x:c r="C219" s="26" t="str">
        <x:v>21432612</x:v>
      </x:c>
      <x:c r="D219" s="28" t="str">
        <x:v>Developmental comorbidity in attention-deficit/hyperactivity disorder.</x:v>
      </x:c>
      <x:c r="E219" s="28" t="str">
        <x:v>Evidence synthesis - review</x:v>
      </x:c>
      <x:c r="F219" s="28" t="str">
        <x:v>Development &amp; presentation; Social &amp; structural; Environmental &amp; lifestyle; Treatment &amp; support; Life outcomes &amp; lived experience</x:v>
      </x:c>
      <x:c r="G219" s="28" t="str">
        <x:v>Childhood; Adolescence; Adulthood</x:v>
      </x:c>
      <x:c r="H219" s="28" t="str">
        <x:v>Later specialized</x:v>
      </x:c>
      <x:c r="I219" s="28" t="str">
        <x:v>Direct or strongly ADHD-related record retained for later screening; typically narrower treatment, biomarker, mechanistic, or single-comorbidity focus.</x:v>
      </x:c>
      <x:c r="J219" s="38" t="e">
        <x:f>HYPERLINK("https://pubmed.ncbi.nlm.nih.gov/"&amp;C219&amp;"/","Open PubMed")</x:f>
        <x:v>HYPERLINK is not implemented. linkLocation=https://pubmed.ncbi.nlm.nih.gov/21432612/, friendlyName=Open PubMed</x:v>
      </x:c>
    </x:row>
    <x:row r="220">
      <x:c r="A220" s="26" t="str">
        <x:v>PUBMED-21054633</x:v>
      </x:c>
      <x:c r="B220" s="26" t="n">
        <x:v>2010</x:v>
      </x:c>
      <x:c r="C220" s="26" t="str">
        <x:v>21054633</x:v>
      </x:c>
      <x:c r="D220" s="28" t="str">
        <x:v>Adult attention-deficit/hyperactivity disorder: a survey of diagnosis and treatment practices.</x:v>
      </x:c>
      <x:c r="E220" s="28" t="str">
        <x:v>Primary/contextual journal article</x:v>
      </x:c>
      <x:c r="F220" s="28" t="str">
        <x:v>Development &amp; presentation; Recognition &amp; diagnosis; Family &amp; education; Social &amp; structural; Treatment &amp; support; Historical &amp; contemporary context</x:v>
      </x:c>
      <x:c r="G220" s="28" t="str">
        <x:v>Adulthood</x:v>
      </x:c>
      <x:c r="H220" s="28" t="str">
        <x:v>Later specialized</x:v>
      </x:c>
      <x:c r="I220" s="28" t="str">
        <x:v>Direct or strongly ADHD-related record retained for later screening; typically narrower treatment, biomarker, mechanistic, or single-comorbidity focus.</x:v>
      </x:c>
      <x:c r="J220" s="38" t="e">
        <x:f>HYPERLINK("https://pubmed.ncbi.nlm.nih.gov/"&amp;C220&amp;"/","Open PubMed")</x:f>
        <x:v>HYPERLINK is not implemented. linkLocation=https://pubmed.ncbi.nlm.nih.gov/21054633/, friendlyName=Open PubMed</x:v>
      </x:c>
    </x:row>
    <x:row r="221">
      <x:c r="A221" s="26" t="str">
        <x:v>PUBMED-20862396</x:v>
      </x:c>
      <x:c r="B221" s="26" t="n">
        <x:v>2010</x:v>
      </x:c>
      <x:c r="C221" s="26" t="str">
        <x:v>20862396</x:v>
      </x:c>
      <x:c r="D221" s="28" t="str">
        <x:v>The search for biomarkers for attention deficit/hyperactivity disorder.</x:v>
      </x:c>
      <x:c r="E221" s="28" t="str">
        <x:v>Evidence synthesis - review</x:v>
      </x:c>
      <x:c r="F221" s="28" t="str">
        <x:v>Development &amp; presentation; Recognition &amp; diagnosis; Family &amp; education; Social &amp; structural; Treatment &amp; support</x:v>
      </x:c>
      <x:c r="G221" s="28" t="str">
        <x:v>Childhood; Adolescence; Adulthood</x:v>
      </x:c>
      <x:c r="H221" s="28" t="str">
        <x:v>Later specialized</x:v>
      </x:c>
      <x:c r="I221" s="28" t="str">
        <x:v>Direct or strongly ADHD-related record retained for later screening; typically narrower treatment, biomarker, mechanistic, or single-comorbidity focus.</x:v>
      </x:c>
      <x:c r="J221" s="38" t="e">
        <x:f>HYPERLINK("https://pubmed.ncbi.nlm.nih.gov/"&amp;C221&amp;"/","Open PubMed")</x:f>
        <x:v>HYPERLINK is not implemented. linkLocation=https://pubmed.ncbi.nlm.nih.gov/20862396/, friendlyName=Open PubMed</x:v>
      </x:c>
    </x:row>
    <x:row r="222">
      <x:c r="A222" s="26" t="str">
        <x:v>PUBMED-20861584</x:v>
      </x:c>
      <x:c r="B222" s="26" t="n">
        <x:v>2010</x:v>
      </x:c>
      <x:c r="C222" s="26" t="str">
        <x:v>20861584</x:v>
      </x:c>
      <x:c r="D222" s="28" t="str">
        <x:v>Migraine, tension-type headache, and attention-deficit/hyperactivity disorder in childhood: a population-based study.</x:v>
      </x:c>
      <x:c r="E222" s="28" t="str">
        <x:v>Primary study - cross-sectional</x:v>
      </x:c>
      <x:c r="F222" s="28" t="str">
        <x:v>Development &amp; presentation; Family &amp; education; Social &amp; structural; Life outcomes &amp; lived experience</x:v>
      </x:c>
      <x:c r="G222" s="28" t="str">
        <x:v>Childhood</x:v>
      </x:c>
      <x:c r="H222" s="28" t="str">
        <x:v>Later specialized</x:v>
      </x:c>
      <x:c r="I222" s="28" t="str">
        <x:v>Direct or strongly ADHD-related record retained for later screening; typically narrower treatment, biomarker, mechanistic, or single-comorbidity focus.</x:v>
      </x:c>
      <x:c r="J222" s="38" t="e">
        <x:f>HYPERLINK("https://pubmed.ncbi.nlm.nih.gov/"&amp;C222&amp;"/","Open PubMed")</x:f>
        <x:v>HYPERLINK is not implemented. linkLocation=https://pubmed.ncbi.nlm.nih.gov/20861584/, friendlyName=Open PubMed</x:v>
      </x:c>
    </x:row>
    <x:row r="223">
      <x:c r="A223" s="26" t="str">
        <x:v>PUBMED-20855042</x:v>
      </x:c>
      <x:c r="B223" s="26" t="n">
        <x:v>2010</x:v>
      </x:c>
      <x:c r="C223" s="26" t="str">
        <x:v>20855042</x:v>
      </x:c>
      <x:c r="D223" s="28" t="str">
        <x:v>Catecholamine modulators: lessons from nonhuman primates.</x:v>
      </x:c>
      <x:c r="E223" s="28" t="str">
        <x:v>Contextual - editorial/comment</x:v>
      </x:c>
      <x:c r="F223" s="28" t="str">
        <x:v>Development &amp; presentation; Treatment &amp; support</x:v>
      </x:c>
      <x:c r="G223" s="28" t="str">
        <x:v>Not specified</x:v>
      </x:c>
      <x:c r="H223" s="28" t="str">
        <x:v>Exclude/incidental</x:v>
      </x:c>
      <x:c r="I223" s="28" t="str">
        <x:v>ADHD appears peripheral or insufficiently aligned with the requested corpus scope based on accessible metadata/abstract.</x:v>
      </x:c>
      <x:c r="J223" s="38" t="e">
        <x:f>HYPERLINK("https://pubmed.ncbi.nlm.nih.gov/"&amp;C223&amp;"/","Open PubMed")</x:f>
        <x:v>HYPERLINK is not implemented. linkLocation=https://pubmed.ncbi.nlm.nih.gov/20855042/, friendlyName=Open PubMed</x:v>
      </x:c>
    </x:row>
    <x:row r="224">
      <x:c r="A224" s="26" t="str">
        <x:v>PUBMED-21176172</x:v>
      </x:c>
      <x:c r="B224" s="26" t="n">
        <x:v>2010</x:v>
      </x:c>
      <x:c r="C224" s="26" t="str">
        <x:v>21176172</x:v>
      </x:c>
      <x:c r="D224" s="28" t="str">
        <x:v>The neurobiological basis of ADHD.</x:v>
      </x:c>
      <x:c r="E224" s="28" t="str">
        <x:v>Evidence synthesis - review</x:v>
      </x:c>
      <x:c r="F224" s="28" t="str">
        <x:v>Development &amp; presentation; Family &amp; education; Social &amp; structural; Environmental &amp; lifestyle; Treatment &amp; support; Life outcomes &amp; lived experience</x:v>
      </x:c>
      <x:c r="G224" s="28" t="str">
        <x:v>Childhood</x:v>
      </x:c>
      <x:c r="H224" s="28" t="str">
        <x:v>Later specialized</x:v>
      </x:c>
      <x:c r="I224" s="28" t="str">
        <x:v>Direct or strongly ADHD-related record retained for later screening; typically narrower treatment, biomarker, mechanistic, or single-comorbidity focus.</x:v>
      </x:c>
      <x:c r="J224" s="38" t="e">
        <x:f>HYPERLINK("https://pubmed.ncbi.nlm.nih.gov/"&amp;C224&amp;"/","Open PubMed")</x:f>
        <x:v>HYPERLINK is not implemented. linkLocation=https://pubmed.ncbi.nlm.nih.gov/21176172/, friendlyName=Open PubMed</x:v>
      </x:c>
    </x:row>
    <x:row r="225">
      <x:c r="A225" s="26" t="str">
        <x:v>PUBMED-21117844</x:v>
      </x:c>
      <x:c r="B225" s="26" t="n">
        <x:v>2010</x:v>
      </x:c>
      <x:c r="C225" s="26" t="str">
        <x:v>21117844</x:v>
      </x:c>
      <x:c r="D225" s="28" t="str">
        <x:v>Review of attention-deficit/hyperactivity disorder comorbid with oppositional defiant disorder.</x:v>
      </x:c>
      <x:c r="E225" s="28" t="str">
        <x:v>Evidence synthesis - review</x:v>
      </x:c>
      <x:c r="F225" s="28" t="str">
        <x:v>Development &amp; presentation; Recognition &amp; diagnosis; Social &amp; structural; Treatment &amp; support; Life outcomes &amp; lived experience</x:v>
      </x:c>
      <x:c r="G225" s="28" t="str">
        <x:v>Adolescence</x:v>
      </x:c>
      <x:c r="H225" s="28" t="str">
        <x:v>Batch 1 core</x:v>
      </x:c>
      <x:c r="I225" s="28" t="str">
        <x:v>Direct ADHD evidence synthesis/guideline with broad multi-topic relevance.</x:v>
      </x:c>
      <x:c r="J225" s="38" t="e">
        <x:f>HYPERLINK("https://pubmed.ncbi.nlm.nih.gov/"&amp;C225&amp;"/","Open PubMed")</x:f>
        <x:v>HYPERLINK is not implemented. linkLocation=https://pubmed.ncbi.nlm.nih.gov/21117844/, friendlyName=Open PubMed</x:v>
      </x:c>
    </x:row>
    <x:row r="226">
      <x:c r="A226" s="26" t="str">
        <x:v>PUBMED-20733252</x:v>
      </x:c>
      <x:c r="B226" s="26" t="n">
        <x:v>2010</x:v>
      </x:c>
      <x:c r="C226" s="26" t="str">
        <x:v>20733252</x:v>
      </x:c>
      <x:c r="D226" s="28" t="str">
        <x:v>Tourette's syndrome: a review from a developmental perspective.</x:v>
      </x:c>
      <x:c r="E226" s="28" t="str">
        <x:v>Evidence synthesis - review</x:v>
      </x:c>
      <x:c r="F226" s="28" t="str">
        <x:v>Development &amp; presentation; Social &amp; structural</x:v>
      </x:c>
      <x:c r="G226" s="28" t="str">
        <x:v>Childhood; Adulthood</x:v>
      </x:c>
      <x:c r="H226" s="28" t="str">
        <x:v>Exclude/incidental</x:v>
      </x:c>
      <x:c r="I226" s="28" t="str">
        <x:v>ADHD appears peripheral or insufficiently aligned with the requested corpus scope based on accessible metadata/abstract.</x:v>
      </x:c>
      <x:c r="J226" s="38" t="e">
        <x:f>HYPERLINK("https://pubmed.ncbi.nlm.nih.gov/"&amp;C226&amp;"/","Open PubMed")</x:f>
        <x:v>HYPERLINK is not implemented. linkLocation=https://pubmed.ncbi.nlm.nih.gov/20733252/, friendlyName=Open PubMed</x:v>
      </x:c>
    </x:row>
    <x:row r="227">
      <x:c r="A227" s="26" t="str">
        <x:v>PUBMED-20831361</x:v>
      </x:c>
      <x:c r="B227" s="26" t="n">
        <x:v>2010</x:v>
      </x:c>
      <x:c r="C227" s="26" t="str">
        <x:v>20831361</x:v>
      </x:c>
      <x:c r="D227" s="28" t="str">
        <x:v>Guanfacine extended-release for attention-deficit/hyperactivity disorder (ADHD).</x:v>
      </x:c>
      <x:c r="E227" s="28" t="str">
        <x:v>Evidence synthesis - review</x:v>
      </x:c>
      <x:c r="F227" s="28" t="str">
        <x:v>Development &amp; presentation; Family &amp; education; Social &amp; structural; Treatment &amp; support; Life outcomes &amp; lived experience</x:v>
      </x:c>
      <x:c r="G227" s="28" t="str">
        <x:v>Childhood; Adolescence</x:v>
      </x:c>
      <x:c r="H227" s="28" t="str">
        <x:v>Later specialized</x:v>
      </x:c>
      <x:c r="I227" s="28" t="str">
        <x:v>Direct or strongly ADHD-related record retained for later screening; typically narrower treatment, biomarker, mechanistic, or single-comorbidity focus.</x:v>
      </x:c>
      <x:c r="J227" s="38" t="e">
        <x:f>HYPERLINK("https://pubmed.ncbi.nlm.nih.gov/"&amp;C227&amp;"/","Open PubMed")</x:f>
        <x:v>HYPERLINK is not implemented. linkLocation=https://pubmed.ncbi.nlm.nih.gov/20831361/, friendlyName=Open PubMed</x:v>
      </x:c>
    </x:row>
    <x:row r="228">
      <x:c r="A228" s="26" t="str">
        <x:v>PUBMED-20839894</x:v>
      </x:c>
      <x:c r="B228" s="26" t="n">
        <x:v>2010</x:v>
      </x:c>
      <x:c r="C228" s="26" t="str">
        <x:v>20839894</x:v>
      </x:c>
      <x:c r="D228" s="28" t="str">
        <x:v>Sleep problems in the child with attention-deficit hyperactivity disorder: defining aetiology and appropriate treatments.</x:v>
      </x:c>
      <x:c r="E228" s="28" t="str">
        <x:v>Evidence synthesis - review</x:v>
      </x:c>
      <x:c r="F228" s="28" t="str">
        <x:v>Development &amp; presentation; Recognition &amp; diagnosis; Family &amp; education; Social &amp; structural; Environmental &amp; lifestyle; Treatment &amp; support</x:v>
      </x:c>
      <x:c r="G228" s="28" t="str">
        <x:v>Childhood; Adolescence</x:v>
      </x:c>
      <x:c r="H228" s="28" t="str">
        <x:v>Later specialized</x:v>
      </x:c>
      <x:c r="I228" s="28" t="str">
        <x:v>Direct or strongly ADHD-related record retained for later screening; typically narrower treatment, biomarker, mechanistic, or single-comorbidity focus.</x:v>
      </x:c>
      <x:c r="J228" s="38" t="e">
        <x:f>HYPERLINK("https://pubmed.ncbi.nlm.nih.gov/"&amp;C228&amp;"/","Open PubMed")</x:f>
        <x:v>HYPERLINK is not implemented. linkLocation=https://pubmed.ncbi.nlm.nih.gov/20839894/, friendlyName=Open PubMed</x:v>
      </x:c>
    </x:row>
    <x:row r="229">
      <x:c r="A229" s="26" t="str">
        <x:v>PUBMED-20971344</x:v>
      </x:c>
      <x:c r="B229" s="26" t="n">
        <x:v>2010</x:v>
      </x:c>
      <x:c r="C229" s="26" t="str">
        <x:v>20971344</x:v>
      </x:c>
      <x:c r="D229" s="28" t="str">
        <x:v>Reflections on ADHD.</x:v>
      </x:c>
      <x:c r="E229" s="28" t="str">
        <x:v>Contextual - editorial/comment</x:v>
      </x:c>
      <x:c r="F229" s="28" t="str">
        <x:v>Development &amp; presentation</x:v>
      </x:c>
      <x:c r="G229" s="28" t="str">
        <x:v>Childhood</x:v>
      </x:c>
      <x:c r="H229" s="28" t="str">
        <x:v>Later specialized</x:v>
      </x:c>
      <x:c r="I229" s="28" t="str">
        <x:v>Direct or strongly ADHD-related record retained for later screening; typically narrower treatment, biomarker, mechanistic, or single-comorbidity focus.</x:v>
      </x:c>
      <x:c r="J229" s="38" t="e">
        <x:f>HYPERLINK("https://pubmed.ncbi.nlm.nih.gov/"&amp;C229&amp;"/","Open PubMed")</x:f>
        <x:v>HYPERLINK is not implemented. linkLocation=https://pubmed.ncbi.nlm.nih.gov/20971344/, friendlyName=Open PubMed</x:v>
      </x:c>
    </x:row>
    <x:row r="230">
      <x:c r="A230" s="26" t="str">
        <x:v>PUBMED-20819403</x:v>
      </x:c>
      <x:c r="B230" s="26" t="n">
        <x:v>2010</x:v>
      </x:c>
      <x:c r="C230" s="26" t="str">
        <x:v>20819403</x:v>
      </x:c>
      <x:c r="D230" s="28" t="str">
        <x:v>Dental care in children with developmental disabilities: attention deficit disorder, intellectual disabilities, and autism.</x:v>
      </x:c>
      <x:c r="E230" s="28" t="str">
        <x:v>Evidence synthesis - review</x:v>
      </x:c>
      <x:c r="F230" s="28" t="str">
        <x:v>Development &amp; presentation; Family &amp; education; Social &amp; structural; Environmental &amp; lifestyle; Treatment &amp; support</x:v>
      </x:c>
      <x:c r="G230" s="28" t="str">
        <x:v>Childhood; Adolescence; Adulthood</x:v>
      </x:c>
      <x:c r="H230" s="28" t="str">
        <x:v>Later specialized</x:v>
      </x:c>
      <x:c r="I230" s="28" t="str">
        <x:v>Direct or strongly ADHD-related record retained for later screening; typically narrower treatment, biomarker, mechanistic, or single-comorbidity focus.</x:v>
      </x:c>
      <x:c r="J230" s="38" t="e">
        <x:f>HYPERLINK("https://pubmed.ncbi.nlm.nih.gov/"&amp;C230&amp;"/","Open PubMed")</x:f>
        <x:v>HYPERLINK is not implemented. linkLocation=https://pubmed.ncbi.nlm.nih.gov/20819403/, friendlyName=Open PubMed</x:v>
      </x:c>
    </x:row>
    <x:row r="231">
      <x:c r="A231" s="26" t="str">
        <x:v>PUBMED-20981777</x:v>
      </x:c>
      <x:c r="B231" s="26" t="n">
        <x:v>2010</x:v>
      </x:c>
      <x:c r="C231" s="26" t="str">
        <x:v>20981777</x:v>
      </x:c>
      <x:c r="D231" s="28" t="str">
        <x:v>The behavioral phenotype of FMR1 mutations.</x:v>
      </x:c>
      <x:c r="E231" s="28" t="str">
        <x:v>Evidence synthesis - review</x:v>
      </x:c>
      <x:c r="F231" s="28" t="str">
        <x:v>Development &amp; presentation; Social &amp; structural; Treatment &amp; support</x:v>
      </x:c>
      <x:c r="G231" s="28" t="str">
        <x:v>Childhood; Adulthood</x:v>
      </x:c>
      <x:c r="H231" s="28" t="str">
        <x:v>Exclude/incidental</x:v>
      </x:c>
      <x:c r="I231" s="28" t="str">
        <x:v>ADHD appears peripheral or insufficiently aligned with the requested corpus scope based on accessible metadata/abstract.</x:v>
      </x:c>
      <x:c r="J231" s="38" t="e">
        <x:f>HYPERLINK("https://pubmed.ncbi.nlm.nih.gov/"&amp;C231&amp;"/","Open PubMed")</x:f>
        <x:v>HYPERLINK is not implemented. linkLocation=https://pubmed.ncbi.nlm.nih.gov/20981777/, friendlyName=Open PubMed</x:v>
      </x:c>
    </x:row>
    <x:row r="232">
      <x:c r="A232" s="26" t="str">
        <x:v>PUBMED-20861593</x:v>
      </x:c>
      <x:c r="B232" s="26" t="n">
        <x:v>2010</x:v>
      </x:c>
      <x:c r="C232" s="26" t="str">
        <x:v>20861593</x:v>
      </x:c>
      <x:c r="D232" s="28" t="str">
        <x:v>Understanding attention-deficit/hyperactivity disorder from childhood to adulthood.</x:v>
      </x:c>
      <x:c r="E232" s="28" t="str">
        <x:v>Evidence synthesis - review</x:v>
      </x:c>
      <x:c r="F232" s="28" t="str">
        <x:v>Development &amp; presentation; Recognition &amp; diagnosis; Family &amp; education; Social &amp; structural; Treatment &amp; support</x:v>
      </x:c>
      <x:c r="G232" s="28" t="str">
        <x:v>Childhood; Adolescence; Adulthood</x:v>
      </x:c>
      <x:c r="H232" s="28" t="str">
        <x:v>Later specialized</x:v>
      </x:c>
      <x:c r="I232" s="28" t="str">
        <x:v>Direct or strongly ADHD-related record retained for later screening; typically narrower treatment, biomarker, mechanistic, or single-comorbidity focus.</x:v>
      </x:c>
      <x:c r="J232" s="38" t="e">
        <x:f>HYPERLINK("https://pubmed.ncbi.nlm.nih.gov/"&amp;C232&amp;"/","Open PubMed")</x:f>
        <x:v>HYPERLINK is not implemented. linkLocation=https://pubmed.ncbi.nlm.nih.gov/20861593/, friendlyName=Open PubMed</x:v>
      </x:c>
    </x:row>
    <x:row r="233">
      <x:c r="A233" s="26" t="str">
        <x:v>PUBMED-20943059</x:v>
      </x:c>
      <x:c r="B233" s="26" t="n">
        <x:v>2010</x:v>
      </x:c>
      <x:c r="C233" s="26" t="str">
        <x:v>20943059</x:v>
      </x:c>
      <x:c r="D233" s="28" t="str">
        <x:v>Attention-deficit hyperactivity disorder and intellectual disability: a study of association with brain-derived neurotrophic factor gene polymorphisms.</x:v>
      </x:c>
      <x:c r="E233" s="28" t="str">
        <x:v>Primary/contextual journal article</x:v>
      </x:c>
      <x:c r="F233" s="28" t="str">
        <x:v>Development &amp; presentation; Recognition &amp; diagnosis; Family &amp; education; Social &amp; structural</x:v>
      </x:c>
      <x:c r="G233" s="28" t="str">
        <x:v>Childhood; Adolescence; Adulthood</x:v>
      </x:c>
      <x:c r="H233" s="28" t="str">
        <x:v>Later specialized</x:v>
      </x:c>
      <x:c r="I233" s="28" t="str">
        <x:v>Direct or strongly ADHD-related record retained for later screening; typically narrower treatment, biomarker, mechanistic, or single-comorbidity focus.</x:v>
      </x:c>
      <x:c r="J233" s="38" t="e">
        <x:f>HYPERLINK("https://pubmed.ncbi.nlm.nih.gov/"&amp;C233&amp;"/","Open PubMed")</x:f>
        <x:v>HYPERLINK is not implemented. linkLocation=https://pubmed.ncbi.nlm.nih.gov/20943059/, friendlyName=Open PubMed</x:v>
      </x:c>
    </x:row>
    <x:row r="234">
      <x:c r="A234" s="26" t="str">
        <x:v>PUBMED-20829149</x:v>
      </x:c>
      <x:c r="B234" s="26" t="n">
        <x:v>2010</x:v>
      </x:c>
      <x:c r="C234" s="26" t="str">
        <x:v>20829149</x:v>
      </x:c>
      <x:c r="D234" s="28" t="str">
        <x:v>Lead and PCBs as risk factors for attention deficit/hyperactivity disorder.</x:v>
      </x:c>
      <x:c r="E234" s="28" t="str">
        <x:v>Evidence synthesis - review</x:v>
      </x:c>
      <x:c r="F234" s="28" t="str">
        <x:v>Development &amp; presentation; Recognition &amp; diagnosis; Social &amp; structural; Environmental &amp; lifestyle; Treatment &amp; support</x:v>
      </x:c>
      <x:c r="G234" s="28" t="str">
        <x:v>Childhood; Adolescence</x:v>
      </x:c>
      <x:c r="H234" s="28" t="str">
        <x:v>Later specialized</x:v>
      </x:c>
      <x:c r="I234" s="28" t="str">
        <x:v>Direct or strongly ADHD-related record retained for later screening; typically narrower treatment, biomarker, mechanistic, or single-comorbidity focus.</x:v>
      </x:c>
      <x:c r="J234" s="38" t="e">
        <x:f>HYPERLINK("https://pubmed.ncbi.nlm.nih.gov/"&amp;C234&amp;"/","Open PubMed")</x:f>
        <x:v>HYPERLINK is not implemented. linkLocation=https://pubmed.ncbi.nlm.nih.gov/20829149/, friendlyName=Open PubMed</x:v>
      </x:c>
    </x:row>
    <x:row r="235">
      <x:c r="A235" s="26" t="str">
        <x:v>PUBMED-21142600</x:v>
      </x:c>
      <x:c r="B235" s="26" t="n">
        <x:v>2010</x:v>
      </x:c>
      <x:c r="C235" s="26" t="str">
        <x:v>21142600</x:v>
      </x:c>
      <x:c r="D235" s="28" t="str">
        <x:v>A model for parental ADHD: help-seeking and readiness to change.</x:v>
      </x:c>
      <x:c r="E235" s="28" t="str">
        <x:v>Evidence synthesis - review</x:v>
      </x:c>
      <x:c r="F235" s="28" t="str">
        <x:v>Development &amp; presentation; Family &amp; education; Social &amp; structural; Treatment &amp; support</x:v>
      </x:c>
      <x:c r="G235" s="28" t="str">
        <x:v>Childhood; Adulthood</x:v>
      </x:c>
      <x:c r="H235" s="28" t="str">
        <x:v>Later specialized</x:v>
      </x:c>
      <x:c r="I235" s="28" t="str">
        <x:v>Direct or strongly ADHD-related record retained for later screening; typically narrower treatment, biomarker, mechanistic, or single-comorbidity focus.</x:v>
      </x:c>
      <x:c r="J235" s="38" t="e">
        <x:f>HYPERLINK("https://pubmed.ncbi.nlm.nih.gov/"&amp;C235&amp;"/","Open PubMed")</x:f>
        <x:v>HYPERLINK is not implemented. linkLocation=https://pubmed.ncbi.nlm.nih.gov/21142600/, friendlyName=Open PubMed</x:v>
      </x:c>
    </x:row>
    <x:row r="236">
      <x:c r="A236" s="26" t="str">
        <x:v>PUBMED-20970703</x:v>
      </x:c>
      <x:c r="B236" s="26" t="n">
        <x:v>2010</x:v>
      </x:c>
      <x:c r="C236" s="26" t="str">
        <x:v>20970703</x:v>
      </x:c>
      <x:c r="D236" s="28" t="str">
        <x:v>Neuropsychological functioning in children with Tourette syndrome with and without attention-deficit/hyperactivity disorder.</x:v>
      </x:c>
      <x:c r="E236" s="28" t="str">
        <x:v>Primary study - clinical trial</x:v>
      </x:c>
      <x:c r="F236" s="28" t="str">
        <x:v>Development &amp; presentation; Recognition &amp; diagnosis; Social &amp; structural; Life outcomes &amp; lived experience</x:v>
      </x:c>
      <x:c r="G236" s="28" t="str">
        <x:v>Childhood; Adolescence</x:v>
      </x:c>
      <x:c r="H236" s="28" t="str">
        <x:v>Later specialized</x:v>
      </x:c>
      <x:c r="I236" s="28" t="str">
        <x:v>Direct or strongly ADHD-related record retained for later screening; typically narrower treatment, biomarker, mechanistic, or single-comorbidity focus.</x:v>
      </x:c>
      <x:c r="J236" s="38" t="e">
        <x:f>HYPERLINK("https://pubmed.ncbi.nlm.nih.gov/"&amp;C236&amp;"/","Open PubMed")</x:f>
        <x:v>HYPERLINK is not implemented. linkLocation=https://pubmed.ncbi.nlm.nih.gov/20970703/, friendlyName=Open PubMed</x:v>
      </x:c>
    </x:row>
    <x:row r="237">
      <x:c r="A237" s="26" t="str">
        <x:v>PUBMED-20812768</x:v>
      </x:c>
      <x:c r="B237" s="26" t="n">
        <x:v>2010</x:v>
      </x:c>
      <x:c r="C237" s="26" t="str">
        <x:v>20812768</x:v>
      </x:c>
      <x:c r="D237" s="28" t="str">
        <x:v>Cardiovascular effects of methylphenidate, amphetamines and atomoxetine in the treatment of attention-deficit hyperactivity disorder.</x:v>
      </x:c>
      <x:c r="E237" s="28" t="str">
        <x:v>Evidence synthesis - review</x:v>
      </x:c>
      <x:c r="F237" s="28" t="str">
        <x:v>Development &amp; presentation; Social &amp; structural; Treatment &amp; support</x:v>
      </x:c>
      <x:c r="G237" s="28" t="str">
        <x:v>Childhood; Adulthood</x:v>
      </x:c>
      <x:c r="H237" s="28" t="str">
        <x:v>Later specialized</x:v>
      </x:c>
      <x:c r="I237" s="28" t="str">
        <x:v>Direct or strongly ADHD-related record retained for later screening; typically narrower treatment, biomarker, mechanistic, or single-comorbidity focus.</x:v>
      </x:c>
      <x:c r="J237" s="38" t="e">
        <x:f>HYPERLINK("https://pubmed.ncbi.nlm.nih.gov/"&amp;C237&amp;"/","Open PubMed")</x:f>
        <x:v>HYPERLINK is not implemented. linkLocation=https://pubmed.ncbi.nlm.nih.gov/20812768/, friendlyName=Open PubMed</x:v>
      </x:c>
    </x:row>
    <x:row r="238">
      <x:c r="A238" s="26" t="str">
        <x:v>PUBMED-21041619</x:v>
      </x:c>
      <x:c r="B238" s="26" t="n">
        <x:v>2010</x:v>
      </x:c>
      <x:c r="C238" s="26" t="str">
        <x:v>21041619</x:v>
      </x:c>
      <x:c r="D238" s="28" t="str">
        <x:v>Attention-deficit/hyperactivity disorder, conduct disorder, and young adult intimate partner violence.</x:v>
      </x:c>
      <x:c r="E238" s="28" t="str">
        <x:v>Primary/contextual journal article</x:v>
      </x:c>
      <x:c r="F238" s="28" t="str">
        <x:v>Development &amp; presentation; Recognition &amp; diagnosis; Social &amp; structural; Treatment &amp; support; Life outcomes &amp; lived experience</x:v>
      </x:c>
      <x:c r="G238" s="28" t="str">
        <x:v>Childhood; Adolescence; Adulthood</x:v>
      </x:c>
      <x:c r="H238" s="28" t="str">
        <x:v>Later specialized</x:v>
      </x:c>
      <x:c r="I238" s="28" t="str">
        <x:v>Direct or strongly ADHD-related record retained for later screening; typically narrower treatment, biomarker, mechanistic, or single-comorbidity focus.</x:v>
      </x:c>
      <x:c r="J238" s="38" t="e">
        <x:f>HYPERLINK("https://pubmed.ncbi.nlm.nih.gov/"&amp;C238&amp;"/","Open PubMed")</x:f>
        <x:v>HYPERLINK is not implemented. linkLocation=https://pubmed.ncbi.nlm.nih.gov/21041619/, friendlyName=Open PubMed</x:v>
      </x:c>
    </x:row>
    <x:row r="239">
      <x:c r="A239" s="26" t="str">
        <x:v>PUBMED-20861589</x:v>
      </x:c>
      <x:c r="B239" s="26" t="n">
        <x:v>2010</x:v>
      </x:c>
      <x:c r="C239" s="26" t="str">
        <x:v>20861589</x:v>
      </x:c>
      <x:c r="D239" s="28" t="str">
        <x:v>The association of bullying and health complaints in children with attention-deficit/hyperactivity disorder.</x:v>
      </x:c>
      <x:c r="E239" s="28" t="str">
        <x:v>Primary study - cohort</x:v>
      </x:c>
      <x:c r="F239" s="28" t="str">
        <x:v>Development &amp; presentation; Recognition &amp; diagnosis; Family &amp; education; Social &amp; structural; Environmental &amp; lifestyle; Treatment &amp; support; Life outcomes &amp; lived experience</x:v>
      </x:c>
      <x:c r="G239" s="28" t="str">
        <x:v>Childhood</x:v>
      </x:c>
      <x:c r="H239" s="28" t="str">
        <x:v>Later specialized</x:v>
      </x:c>
      <x:c r="I239" s="28" t="str">
        <x:v>Direct or strongly ADHD-related record retained for later screening; typically narrower treatment, biomarker, mechanistic, or single-comorbidity focus.</x:v>
      </x:c>
      <x:c r="J239" s="38" t="e">
        <x:f>HYPERLINK("https://pubmed.ncbi.nlm.nih.gov/"&amp;C239&amp;"/","Open PubMed")</x:f>
        <x:v>HYPERLINK is not implemented. linkLocation=https://pubmed.ncbi.nlm.nih.gov/20861589/, friendlyName=Open PubMed</x:v>
      </x:c>
    </x:row>
    <x:row r="240">
      <x:c r="A240" s="26" t="str">
        <x:v>PUBMED-20829148</x:v>
      </x:c>
      <x:c r="B240" s="26" t="n">
        <x:v>2010</x:v>
      </x:c>
      <x:c r="C240" s="26" t="str">
        <x:v>20829148</x:v>
      </x:c>
      <x:c r="D240" s="28" t="str">
        <x:v>Attention deficit/hyperactivity disorder: a focused overview for children's environmental health researchers.</x:v>
      </x:c>
      <x:c r="E240" s="28" t="str">
        <x:v>Evidence synthesis - meta-analysis</x:v>
      </x:c>
      <x:c r="F240" s="28" t="str">
        <x:v>Development &amp; presentation; Recognition &amp; diagnosis; Social &amp; structural; Environmental &amp; lifestyle; Treatment &amp; support</x:v>
      </x:c>
      <x:c r="G240" s="28" t="str">
        <x:v>Childhood; Adolescence</x:v>
      </x:c>
      <x:c r="H240" s="28" t="str">
        <x:v>Later specialized</x:v>
      </x:c>
      <x:c r="I240" s="28" t="str">
        <x:v>Direct or strongly ADHD-related record retained for later screening; typically narrower treatment, biomarker, mechanistic, or single-comorbidity focus.</x:v>
      </x:c>
      <x:c r="J240" s="38" t="e">
        <x:f>HYPERLINK("https://pubmed.ncbi.nlm.nih.gov/"&amp;C240&amp;"/","Open PubMed")</x:f>
        <x:v>HYPERLINK is not implemented. linkLocation=https://pubmed.ncbi.nlm.nih.gov/20829148/, friendlyName=Open PubMed</x:v>
      </x:c>
    </x:row>
    <x:row r="241">
      <x:c r="A241" s="26" t="str">
        <x:v>PUBMED-21432598</x:v>
      </x:c>
      <x:c r="B241" s="26" t="n">
        <x:v>2010</x:v>
      </x:c>
      <x:c r="C241" s="26" t="str">
        <x:v>21432598</x:v>
      </x:c>
      <x:c r="D241" s="28" t="str">
        <x:v>Prevalence of attention deficit hyperactivity disorder in schoolchildren in Athens, Greece. Association of ADHD subtypes with social and academic impairment.</x:v>
      </x:c>
      <x:c r="E241" s="28" t="str">
        <x:v>Primary/contextual journal article</x:v>
      </x:c>
      <x:c r="F241" s="28" t="str">
        <x:v>Development &amp; presentation; Recognition &amp; diagnosis; Family &amp; education; Social &amp; structural; Life outcomes &amp; lived experience</x:v>
      </x:c>
      <x:c r="G241" s="28" t="str">
        <x:v>Childhood</x:v>
      </x:c>
      <x:c r="H241" s="28" t="str">
        <x:v>Later specialized</x:v>
      </x:c>
      <x:c r="I241" s="28" t="str">
        <x:v>Direct or strongly ADHD-related record retained for later screening; typically narrower treatment, biomarker, mechanistic, or single-comorbidity focus.</x:v>
      </x:c>
      <x:c r="J241" s="38" t="e">
        <x:f>HYPERLINK("https://pubmed.ncbi.nlm.nih.gov/"&amp;C241&amp;"/","Open PubMed")</x:f>
        <x:v>HYPERLINK is not implemented. linkLocation=https://pubmed.ncbi.nlm.nih.gov/21432598/, friendlyName=Open PubMed</x:v>
      </x:c>
    </x:row>
    <x:row r="242">
      <x:c r="A242" s="26" t="str">
        <x:v>PUBMED-21090837</x:v>
      </x:c>
      <x:c r="B242" s="26" t="n">
        <x:v>2010</x:v>
      </x:c>
      <x:c r="C242" s="26" t="str">
        <x:v>21090837</x:v>
      </x:c>
      <x:c r="D242" s="28" t="str">
        <x:v>Pharmacokinetic variability of long-acting stimulants in the treatment of children and adults with attention-deficit hyperactivity disorder.</x:v>
      </x:c>
      <x:c r="E242" s="28" t="str">
        <x:v>Evidence synthesis - review</x:v>
      </x:c>
      <x:c r="F242" s="28" t="str">
        <x:v>Development &amp; presentation; Social &amp; structural; Environmental &amp; lifestyle; Treatment &amp; support; Life outcomes &amp; lived experience</x:v>
      </x:c>
      <x:c r="G242" s="28" t="str">
        <x:v>Childhood; Adulthood</x:v>
      </x:c>
      <x:c r="H242" s="28" t="str">
        <x:v>Later specialized</x:v>
      </x:c>
      <x:c r="I242" s="28" t="str">
        <x:v>Direct or strongly ADHD-related record retained for later screening; typically narrower treatment, biomarker, mechanistic, or single-comorbidity focus.</x:v>
      </x:c>
      <x:c r="J242" s="38" t="e">
        <x:f>HYPERLINK("https://pubmed.ncbi.nlm.nih.gov/"&amp;C242&amp;"/","Open PubMed")</x:f>
        <x:v>HYPERLINK is not implemented. linkLocation=https://pubmed.ncbi.nlm.nih.gov/21090837/, friendlyName=Open PubMed</x:v>
      </x:c>
    </x:row>
    <x:row r="243">
      <x:c r="A243" s="26" t="str">
        <x:v>PUBMED-20946717</x:v>
      </x:c>
      <x:c r="B243" s="26" t="n">
        <x:v>2010</x:v>
      </x:c>
      <x:c r="C243" s="26" t="str">
        <x:v>20946717</x:v>
      </x:c>
      <x:c r="D243" s="28" t="str">
        <x:v>Attention deficit hyperactivity disorder and eating disorders.</x:v>
      </x:c>
      <x:c r="E243" s="28" t="str">
        <x:v>Evidence synthesis - review</x:v>
      </x:c>
      <x:c r="F243" s="28" t="str">
        <x:v>Development &amp; presentation; Recognition &amp; diagnosis; Environmental &amp; lifestyle</x:v>
      </x:c>
      <x:c r="G243" s="28" t="str">
        <x:v>Childhood</x:v>
      </x:c>
      <x:c r="H243" s="28" t="str">
        <x:v>Later specialized</x:v>
      </x:c>
      <x:c r="I243" s="28" t="str">
        <x:v>Direct or strongly ADHD-related record retained for later screening; typically narrower treatment, biomarker, mechanistic, or single-comorbidity focus.</x:v>
      </x:c>
      <x:c r="J243" s="38" t="e">
        <x:f>HYPERLINK("https://pubmed.ncbi.nlm.nih.gov/"&amp;C243&amp;"/","Open PubMed")</x:f>
        <x:v>HYPERLINK is not implemented. linkLocation=https://pubmed.ncbi.nlm.nih.gov/20946717/, friendlyName=Open PubMed</x:v>
      </x:c>
    </x:row>
    <x:row r="244">
      <x:c r="A244" s="26" t="str">
        <x:v>PUBMED-20981766</x:v>
      </x:c>
      <x:c r="B244" s="26" t="n">
        <x:v>2010</x:v>
      </x:c>
      <x:c r="C244" s="26" t="str">
        <x:v>20981766</x:v>
      </x:c>
      <x:c r="D244" s="28" t="str">
        <x:v>Review of pharmacotherapy options for the treatment of attention-deficit/hyperactivity disorder (ADHD) and ADHD-like symptoms in children and adolescents with developmental disorders.</x:v>
      </x:c>
      <x:c r="E244" s="28" t="str">
        <x:v>Evidence synthesis - review</x:v>
      </x:c>
      <x:c r="F244" s="28" t="str">
        <x:v>Development &amp; presentation; Recognition &amp; diagnosis; Family &amp; education; Social &amp; structural; Environmental &amp; lifestyle; Treatment &amp; support; Life outcomes &amp; lived experience</x:v>
      </x:c>
      <x:c r="G244" s="28" t="str">
        <x:v>Childhood; Adolescence</x:v>
      </x:c>
      <x:c r="H244" s="28" t="str">
        <x:v>Batch 1 core</x:v>
      </x:c>
      <x:c r="I244" s="28" t="str">
        <x:v>Direct ADHD evidence synthesis/guideline with broad multi-topic relevance.</x:v>
      </x:c>
      <x:c r="J244" s="38" t="e">
        <x:f>HYPERLINK("https://pubmed.ncbi.nlm.nih.gov/"&amp;C244&amp;"/","Open PubMed")</x:f>
        <x:v>HYPERLINK is not implemented. linkLocation=https://pubmed.ncbi.nlm.nih.gov/20981766/, friendlyName=Open PubMed</x:v>
      </x:c>
    </x:row>
    <x:row r="245">
      <x:c r="A245" s="26" t="str">
        <x:v>PUBMED-20921119</x:v>
      </x:c>
      <x:c r="B245" s="26" t="n">
        <x:v>2010</x:v>
      </x:c>
      <x:c r="C245" s="26" t="str">
        <x:v>20921119</x:v>
      </x:c>
      <x:c r="D245" s="28" t="str">
        <x:v>Attention-deficit/hyperactivity disorder symptoms in offspring of mothers with impaired serotonin production.</x:v>
      </x:c>
      <x:c r="E245" s="28" t="str">
        <x:v>Primary study - case-control</x:v>
      </x:c>
      <x:c r="F245" s="28" t="str">
        <x:v>Development &amp; presentation; Recognition &amp; diagnosis; Family &amp; education; Social &amp; structural; Environmental &amp; lifestyle; Treatment &amp; support; Life outcomes &amp; lived experience</x:v>
      </x:c>
      <x:c r="G245" s="28" t="str">
        <x:v>Childhood; Adolescence; Adulthood</x:v>
      </x:c>
      <x:c r="H245" s="28" t="str">
        <x:v>Later specialized</x:v>
      </x:c>
      <x:c r="I245" s="28" t="str">
        <x:v>Direct or strongly ADHD-related record retained for later screening; typically narrower treatment, biomarker, mechanistic, or single-comorbidity focus.</x:v>
      </x:c>
      <x:c r="J245" s="38" t="e">
        <x:f>HYPERLINK("https://pubmed.ncbi.nlm.nih.gov/"&amp;C245&amp;"/","Open PubMed")</x:f>
        <x:v>HYPERLINK is not implemented. linkLocation=https://pubmed.ncbi.nlm.nih.gov/20921119/, friendlyName=Open PubMed</x:v>
      </x:c>
    </x:row>
    <x:row r="246">
      <x:c r="A246" s="26" t="str">
        <x:v>PUBMED-20956839</x:v>
      </x:c>
      <x:c r="B246" s="26" t="n">
        <x:v>2010</x:v>
      </x:c>
      <x:c r="C246" s="26" t="str">
        <x:v>20956839</x:v>
      </x:c>
      <x:c r="D246" s="28" t="str">
        <x:v>Fitness level and gross motor performance of children with attention-deficit hyperactivity disorder.</x:v>
      </x:c>
      <x:c r="E246" s="28" t="str">
        <x:v>Primary study - case-control</x:v>
      </x:c>
      <x:c r="F246" s="28" t="str">
        <x:v>Development &amp; presentation; Social &amp; structural; Environmental &amp; lifestyle; Treatment &amp; support</x:v>
      </x:c>
      <x:c r="G246" s="28" t="str">
        <x:v>Childhood</x:v>
      </x:c>
      <x:c r="H246" s="28" t="str">
        <x:v>Later specialized</x:v>
      </x:c>
      <x:c r="I246" s="28" t="str">
        <x:v>Direct or strongly ADHD-related record retained for later screening; typically narrower treatment, biomarker, mechanistic, or single-comorbidity focus.</x:v>
      </x:c>
      <x:c r="J246" s="38" t="e">
        <x:f>HYPERLINK("https://pubmed.ncbi.nlm.nih.gov/"&amp;C246&amp;"/","Open PubMed")</x:f>
        <x:v>HYPERLINK is not implemented. linkLocation=https://pubmed.ncbi.nlm.nih.gov/20956839/, friendlyName=Open PubMed</x:v>
      </x:c>
    </x:row>
    <x:row r="247">
      <x:c r="A247" s="26" t="str">
        <x:v>PUBMED-20697849</x:v>
      </x:c>
      <x:c r="B247" s="26" t="n">
        <x:v>2010</x:v>
      </x:c>
      <x:c r="C247" s="26" t="str">
        <x:v>20697849</x:v>
      </x:c>
      <x:c r="D247" s="28" t="str">
        <x:v>Attention-deficit/hyperactivity disorder in African American youth.</x:v>
      </x:c>
      <x:c r="E247" s="28" t="str">
        <x:v>Evidence synthesis - review</x:v>
      </x:c>
      <x:c r="F247" s="28" t="str">
        <x:v>Development &amp; presentation; Recognition &amp; diagnosis; Social &amp; structural; Treatment &amp; support; Historical &amp; contemporary context</x:v>
      </x:c>
      <x:c r="G247" s="28" t="str">
        <x:v>Childhood; Adolescence</x:v>
      </x:c>
      <x:c r="H247" s="28" t="str">
        <x:v>Later specialized</x:v>
      </x:c>
      <x:c r="I247" s="28" t="str">
        <x:v>Direct or strongly ADHD-related record retained for later screening; typically narrower treatment, biomarker, mechanistic, or single-comorbidity focus.</x:v>
      </x:c>
      <x:c r="J247" s="38" t="e">
        <x:f>HYPERLINK("https://pubmed.ncbi.nlm.nih.gov/"&amp;C247&amp;"/","Open PubMed")</x:f>
        <x:v>HYPERLINK is not implemented. linkLocation=https://pubmed.ncbi.nlm.nih.gov/20697849/, friendlyName=Open PubMed</x:v>
      </x:c>
    </x:row>
    <x:row r="248">
      <x:c r="A248" s="26" t="str">
        <x:v>PUBMED-21186968</x:v>
      </x:c>
      <x:c r="B248" s="26" t="n">
        <x:v>2010</x:v>
      </x:c>
      <x:c r="C248" s="26" t="str">
        <x:v>21186968</x:v>
      </x:c>
      <x:c r="D248" s="28" t="str">
        <x:v>Serum ferritin and amphetamine response in youth with attention-deficit/hyperactivity disorder.</x:v>
      </x:c>
      <x:c r="E248" s="28" t="str">
        <x:v>Primary study - randomized controlled trial</x:v>
      </x:c>
      <x:c r="F248" s="28" t="str">
        <x:v>Development &amp; presentation; Recognition &amp; diagnosis; Social &amp; structural; Treatment &amp; support; Life outcomes &amp; lived experience; Historical &amp; contemporary context</x:v>
      </x:c>
      <x:c r="G248" s="28" t="str">
        <x:v>Childhood; Adolescence</x:v>
      </x:c>
      <x:c r="H248" s="28" t="str">
        <x:v>Later specialized</x:v>
      </x:c>
      <x:c r="I248" s="28" t="str">
        <x:v>Direct or strongly ADHD-related record retained for later screening; typically narrower treatment, biomarker, mechanistic, or single-comorbidity focus.</x:v>
      </x:c>
      <x:c r="J248" s="38" t="e">
        <x:f>HYPERLINK("https://pubmed.ncbi.nlm.nih.gov/"&amp;C248&amp;"/","Open PubMed")</x:f>
        <x:v>HYPERLINK is not implemented. linkLocation=https://pubmed.ncbi.nlm.nih.gov/21186968/, friendlyName=Open PubMed</x:v>
      </x:c>
    </x:row>
    <x:row r="249">
      <x:c r="A249" s="26" t="str">
        <x:v>PUBMED-20820066</x:v>
      </x:c>
      <x:c r="B249" s="26" t="n">
        <x:v>2010</x:v>
      </x:c>
      <x:c r="C249" s="26" t="str">
        <x:v>20820066</x:v>
      </x:c>
      <x:c r="D249" s="28" t="str">
        <x:v>[Ritalin for better or worse[Editorial]].</x:v>
      </x:c>
      <x:c r="E249" s="28" t="str">
        <x:v>Contextual - editorial/comment</x:v>
      </x:c>
      <x:c r="F249" s="28" t="str">
        <x:v>Development &amp; presentation; Treatment &amp; support</x:v>
      </x:c>
      <x:c r="G249" s="28" t="str">
        <x:v>Not specified</x:v>
      </x:c>
      <x:c r="H249" s="28" t="str">
        <x:v>Exclude/incidental</x:v>
      </x:c>
      <x:c r="I249" s="28" t="str">
        <x:v>ADHD appears peripheral or insufficiently aligned with the requested corpus scope based on accessible metadata/abstract.</x:v>
      </x:c>
      <x:c r="J249" s="38" t="e">
        <x:f>HYPERLINK("https://pubmed.ncbi.nlm.nih.gov/"&amp;C249&amp;"/","Open PubMed")</x:f>
        <x:v>HYPERLINK is not implemented. linkLocation=https://pubmed.ncbi.nlm.nih.gov/20820066/, friendlyName=Open PubMed</x:v>
      </x:c>
    </x:row>
    <x:row r="250">
      <x:c r="A250" s="26" t="str">
        <x:v>PUBMED-20861588</x:v>
      </x:c>
      <x:c r="B250" s="26" t="n">
        <x:v>2010</x:v>
      </x:c>
      <x:c r="C250" s="26" t="str">
        <x:v>20861588</x:v>
      </x:c>
      <x:c r="D250" s="28" t="str">
        <x:v>Does placebo response differ between objective and subjective measures in children with attention-deficit/hyperactivity disorder?</x:v>
      </x:c>
      <x:c r="E250" s="28" t="str">
        <x:v>Primary study - randomized controlled trial</x:v>
      </x:c>
      <x:c r="F250" s="28" t="str">
        <x:v>Development &amp; presentation; Recognition &amp; diagnosis; Family &amp; education; Social &amp; structural; Treatment &amp; support; Life outcomes &amp; lived experience</x:v>
      </x:c>
      <x:c r="G250" s="28" t="str">
        <x:v>Childhood; Adolescence</x:v>
      </x:c>
      <x:c r="H250" s="28" t="str">
        <x:v>Later specialized</x:v>
      </x:c>
      <x:c r="I250" s="28" t="str">
        <x:v>Direct or strongly ADHD-related record retained for later screening; typically narrower treatment, biomarker, mechanistic, or single-comorbidity focus.</x:v>
      </x:c>
      <x:c r="J250" s="38" t="e">
        <x:f>HYPERLINK("https://pubmed.ncbi.nlm.nih.gov/"&amp;C250&amp;"/","Open PubMed")</x:f>
        <x:v>HYPERLINK is not implemented. linkLocation=https://pubmed.ncbi.nlm.nih.gov/20861588/, friendlyName=Open PubMed</x:v>
      </x:c>
    </x:row>
    <x:row r="251">
      <x:c r="A251" s="26" t="str">
        <x:v>PUBMED-21312290</x:v>
      </x:c>
      <x:c r="B251" s="26" t="n">
        <x:v>2010</x:v>
      </x:c>
      <x:c r="C251" s="26" t="str">
        <x:v>21312290</x:v>
      </x:c>
      <x:c r="D251" s="28" t="str">
        <x:v>Amantadine versus methylphenidate in children and adolescents with attention deficit/hyperactivity disorder: a randomized, double-blind trial.</x:v>
      </x:c>
      <x:c r="E251" s="28" t="str">
        <x:v>Primary study - randomized controlled trial</x:v>
      </x:c>
      <x:c r="F251" s="28" t="str">
        <x:v>Development &amp; presentation; Recognition &amp; diagnosis; Family &amp; education; Social &amp; structural; Treatment &amp; support; Life outcomes &amp; lived experience</x:v>
      </x:c>
      <x:c r="G251" s="28" t="str">
        <x:v>Childhood; Adolescence</x:v>
      </x:c>
      <x:c r="H251" s="28" t="str">
        <x:v>Later specialized</x:v>
      </x:c>
      <x:c r="I251" s="28" t="str">
        <x:v>Direct or strongly ADHD-related record retained for later screening; typically narrower treatment, biomarker, mechanistic, or single-comorbidity focus.</x:v>
      </x:c>
      <x:c r="J251" s="38" t="e">
        <x:f>HYPERLINK("https://pubmed.ncbi.nlm.nih.gov/"&amp;C251&amp;"/","Open PubMed")</x:f>
        <x:v>HYPERLINK is not implemented. linkLocation=https://pubmed.ncbi.nlm.nih.gov/21312290/, friendlyName=Open PubMed</x:v>
      </x:c>
    </x:row>
    <x:row r="252">
      <x:c r="A252" s="26" t="str">
        <x:v>PUBMED-21432586</x:v>
      </x:c>
      <x:c r="B252" s="26" t="n">
        <x:v>2010</x:v>
      </x:c>
      <x:c r="C252" s="26" t="str">
        <x:v>21432586</x:v>
      </x:c>
      <x:c r="D252" s="28" t="str">
        <x:v>Animal models of attention deficit/hyperactivity disorder (ADHD): a critical review.</x:v>
      </x:c>
      <x:c r="E252" s="28" t="str">
        <x:v>Evidence synthesis - review</x:v>
      </x:c>
      <x:c r="F252" s="28" t="str">
        <x:v>Development &amp; presentation; Social &amp; structural; Treatment &amp; support</x:v>
      </x:c>
      <x:c r="G252" s="28" t="str">
        <x:v>Not specified</x:v>
      </x:c>
      <x:c r="H252" s="28" t="str">
        <x:v>Batch 1 core</x:v>
      </x:c>
      <x:c r="I252" s="28" t="str">
        <x:v>Direct ADHD evidence synthesis/guideline with broad multi-topic relevance.</x:v>
      </x:c>
      <x:c r="J252" s="38" t="e">
        <x:f>HYPERLINK("https://pubmed.ncbi.nlm.nih.gov/"&amp;C252&amp;"/","Open PubMed")</x:f>
        <x:v>HYPERLINK is not implemented. linkLocation=https://pubmed.ncbi.nlm.nih.gov/21432586/, friendlyName=Open PubMed</x:v>
      </x:c>
    </x:row>
    <x:row r="253">
      <x:c r="A253" s="26" t="str">
        <x:v>PUBMED-21432601</x:v>
      </x:c>
      <x:c r="B253" s="26" t="n">
        <x:v>2010</x:v>
      </x:c>
      <x:c r="C253" s="26" t="str">
        <x:v>21432601</x:v>
      </x:c>
      <x:c r="D253" s="28" t="str">
        <x:v>Drug policy and treatment bias due to the dopamine-deficit theory of child attention-deficit hyperactivity disorder.</x:v>
      </x:c>
      <x:c r="E253" s="28" t="str">
        <x:v>Evidence synthesis - review</x:v>
      </x:c>
      <x:c r="F253" s="28" t="str">
        <x:v>Development &amp; presentation; Social &amp; structural; Environmental &amp; lifestyle; Treatment &amp; support; Life outcomes &amp; lived experience</x:v>
      </x:c>
      <x:c r="G253" s="28" t="str">
        <x:v>Childhood</x:v>
      </x:c>
      <x:c r="H253" s="28" t="str">
        <x:v>Later specialized</x:v>
      </x:c>
      <x:c r="I253" s="28" t="str">
        <x:v>Direct or strongly ADHD-related record retained for later screening; typically narrower treatment, biomarker, mechanistic, or single-comorbidity focus.</x:v>
      </x:c>
      <x:c r="J253" s="38" t="e">
        <x:f>HYPERLINK("https://pubmed.ncbi.nlm.nih.gov/"&amp;C253&amp;"/","Open PubMed")</x:f>
        <x:v>HYPERLINK is not implemented. linkLocation=https://pubmed.ncbi.nlm.nih.gov/21432601/, friendlyName=Open PubMed</x:v>
      </x:c>
    </x:row>
    <x:row r="254">
      <x:c r="A254" s="26" t="str">
        <x:v>PUBMED-20806985</x:v>
      </x:c>
      <x:c r="B254" s="26" t="n">
        <x:v>2010</x:v>
      </x:c>
      <x:c r="C254" s="26" t="str">
        <x:v>20806985</x:v>
      </x:c>
      <x:c r="D254" s="28" t="str">
        <x:v>Role of zinc in the pathogenesis of attention-deficit hyperactivity disorder: implications for research and treatment.</x:v>
      </x:c>
      <x:c r="E254" s="28" t="str">
        <x:v>Evidence synthesis - review</x:v>
      </x:c>
      <x:c r="F254" s="28" t="str">
        <x:v>Development &amp; presentation; Social &amp; structural; Environmental &amp; lifestyle; Treatment &amp; support; Life outcomes &amp; lived experience</x:v>
      </x:c>
      <x:c r="G254" s="28" t="str">
        <x:v>Not specified</x:v>
      </x:c>
      <x:c r="H254" s="28" t="str">
        <x:v>Later specialized</x:v>
      </x:c>
      <x:c r="I254" s="28" t="str">
        <x:v>Direct or strongly ADHD-related record retained for later screening; typically narrower treatment, biomarker, mechanistic, or single-comorbidity focus.</x:v>
      </x:c>
      <x:c r="J254" s="38" t="e">
        <x:f>HYPERLINK("https://pubmed.ncbi.nlm.nih.gov/"&amp;C254&amp;"/","Open PubMed")</x:f>
        <x:v>HYPERLINK is not implemented. linkLocation=https://pubmed.ncbi.nlm.nih.gov/20806985/, friendlyName=Open PubMed</x:v>
      </x:c>
    </x:row>
    <x:row r="255">
      <x:c r="A255" s="26" t="str">
        <x:v>PUBMED-20869322</x:v>
      </x:c>
      <x:c r="B255" s="26" t="n">
        <x:v>2010</x:v>
      </x:c>
      <x:c r="C255" s="26" t="str">
        <x:v>20869322</x:v>
      </x:c>
      <x:c r="D255" s="28" t="str">
        <x:v>Epileptiform abnormalities in children diagnosed with attention deficit/hyperactivity disorder.</x:v>
      </x:c>
      <x:c r="E255" s="28" t="str">
        <x:v>Primary/contextual journal article</x:v>
      </x:c>
      <x:c r="F255" s="28" t="str">
        <x:v>Development &amp; presentation; Recognition &amp; diagnosis; Family &amp; education; Social &amp; structural; Treatment &amp; support; Historical &amp; contemporary context</x:v>
      </x:c>
      <x:c r="G255" s="28" t="str">
        <x:v>Childhood; Adolescence</x:v>
      </x:c>
      <x:c r="H255" s="28" t="str">
        <x:v>Later specialized</x:v>
      </x:c>
      <x:c r="I255" s="28" t="str">
        <x:v>Direct or strongly ADHD-related record retained for later screening; typically narrower treatment, biomarker, mechanistic, or single-comorbidity focus.</x:v>
      </x:c>
      <x:c r="J255" s="38" t="e">
        <x:f>HYPERLINK("https://pubmed.ncbi.nlm.nih.gov/"&amp;C255&amp;"/","Open PubMed")</x:f>
        <x:v>HYPERLINK is not implemented. linkLocation=https://pubmed.ncbi.nlm.nih.gov/20869322/, friendlyName=Open PubMed</x:v>
      </x:c>
    </x:row>
    <x:row r="256">
      <x:c r="A256" s="26" t="str">
        <x:v>PUBMED-20876182</x:v>
      </x:c>
      <x:c r="B256" s="26" t="n">
        <x:v>2010</x:v>
      </x:c>
      <x:c r="C256" s="26" t="str">
        <x:v>20876182</x:v>
      </x:c>
      <x:c r="D256" s="28" t="str">
        <x:v>Gender, attention-deficit/hyperactivity disorder, and reading disability in a population-based birth cohort.</x:v>
      </x:c>
      <x:c r="E256" s="28" t="str">
        <x:v>Primary study - cohort</x:v>
      </x:c>
      <x:c r="F256" s="28" t="str">
        <x:v>Development &amp; presentation; Recognition &amp; diagnosis; Family &amp; education; Social &amp; structural; Environmental &amp; lifestyle</x:v>
      </x:c>
      <x:c r="G256" s="28" t="str">
        <x:v>Childhood</x:v>
      </x:c>
      <x:c r="H256" s="28" t="str">
        <x:v>Batch 1 core</x:v>
      </x:c>
      <x:c r="I256" s="28" t="str">
        <x:v>Direct ADHD primary study on diagnosis, family/education, structural conditions, lived experience/outcomes, or environment/lifestyle.</x:v>
      </x:c>
      <x:c r="J256" s="38" t="e">
        <x:f>HYPERLINK("https://pubmed.ncbi.nlm.nih.gov/"&amp;C256&amp;"/","Open PubMed")</x:f>
        <x:v>HYPERLINK is not implemented. linkLocation=https://pubmed.ncbi.nlm.nih.gov/20876182/, friendlyName=Open PubMed</x:v>
      </x:c>
    </x:row>
    <x:row r="257">
      <x:c r="A257" s="26" t="str">
        <x:v>PUBMED-20925465</x:v>
      </x:c>
      <x:c r="B257" s="26" t="n">
        <x:v>2010</x:v>
      </x:c>
      <x:c r="C257" s="26" t="str">
        <x:v>20925465</x:v>
      </x:c>
      <x:c r="D257" s="28" t="str">
        <x:v>Attention-deficit/hyperactivity disorder in persistent criminal offenders: the need for specialist treatment programs.</x:v>
      </x:c>
      <x:c r="E257" s="28" t="str">
        <x:v>Contextual - editorial/comment</x:v>
      </x:c>
      <x:c r="F257" s="28" t="str">
        <x:v>Development &amp; presentation; Social &amp; structural; Treatment &amp; support; Life outcomes &amp; lived experience</x:v>
      </x:c>
      <x:c r="G257" s="28" t="str">
        <x:v>Not specified</x:v>
      </x:c>
      <x:c r="H257" s="28" t="str">
        <x:v>Later specialized</x:v>
      </x:c>
      <x:c r="I257" s="28" t="str">
        <x:v>Direct or strongly ADHD-related record retained for later screening; typically narrower treatment, biomarker, mechanistic, or single-comorbidity focus.</x:v>
      </x:c>
      <x:c r="J257" s="38" t="e">
        <x:f>HYPERLINK("https://pubmed.ncbi.nlm.nih.gov/"&amp;C257&amp;"/","Open PubMed")</x:f>
        <x:v>HYPERLINK is not implemented. linkLocation=https://pubmed.ncbi.nlm.nih.gov/20925465/, friendlyName=Open PubMed</x:v>
      </x:c>
    </x:row>
    <x:row r="258">
      <x:c r="A258" s="26" t="str">
        <x:v>PUBMED-21206547</x:v>
      </x:c>
      <x:c r="B258" s="26" t="n">
        <x:v>2010</x:v>
      </x:c>
      <x:c r="C258" s="26" t="str">
        <x:v>21206547</x:v>
      </x:c>
      <x:c r="D258" s="28" t="str">
        <x:v>Eczema, sleep, and behavior in children.</x:v>
      </x:c>
      <x:c r="E258" s="28" t="str">
        <x:v>Primary study - case-control</x:v>
      </x:c>
      <x:c r="F258" s="28" t="str">
        <x:v>Development &amp; presentation; Recognition &amp; diagnosis; Family &amp; education; Social &amp; structural; Environmental &amp; lifestyle; Treatment &amp; support; Life outcomes &amp; lived experience</x:v>
      </x:c>
      <x:c r="G258" s="28" t="str">
        <x:v>Childhood; Adolescence</x:v>
      </x:c>
      <x:c r="H258" s="28" t="str">
        <x:v>Later specialized</x:v>
      </x:c>
      <x:c r="I258" s="28" t="str">
        <x:v>Direct or strongly ADHD-related record retained for later screening; typically narrower treatment, biomarker, mechanistic, or single-comorbidity focus.</x:v>
      </x:c>
      <x:c r="J258" s="38" t="e">
        <x:f>HYPERLINK("https://pubmed.ncbi.nlm.nih.gov/"&amp;C258&amp;"/","Open PubMed")</x:f>
        <x:v>HYPERLINK is not implemented. linkLocation=https://pubmed.ncbi.nlm.nih.gov/21206547/, friendlyName=Open PubMed</x:v>
      </x:c>
    </x:row>
    <x:row r="259">
      <x:c r="A259" s="26" t="str">
        <x:v>PUBMED-21206548</x:v>
      </x:c>
      <x:c r="B259" s="26" t="n">
        <x:v>2010</x:v>
      </x:c>
      <x:c r="C259" s="26" t="str">
        <x:v>21206548</x:v>
      </x:c>
      <x:c r="D259" s="28" t="str">
        <x:v>Differences between objective and subjective sleep measures in children with attention deficit hyperactivity disorder.</x:v>
      </x:c>
      <x:c r="E259" s="28" t="str">
        <x:v>Primary study - case-control</x:v>
      </x:c>
      <x:c r="F259" s="28" t="str">
        <x:v>Development &amp; presentation; Recognition &amp; diagnosis; Family &amp; education; Social &amp; structural; Environmental &amp; lifestyle; Treatment &amp; support; Life outcomes &amp; lived experience</x:v>
      </x:c>
      <x:c r="G259" s="28" t="str">
        <x:v>Childhood</x:v>
      </x:c>
      <x:c r="H259" s="28" t="str">
        <x:v>Batch 1 core</x:v>
      </x:c>
      <x:c r="I259" s="28" t="str">
        <x:v>Direct ADHD primary study on diagnosis, family/education, structural conditions, lived experience/outcomes, or environment/lifestyle.</x:v>
      </x:c>
      <x:c r="J259" s="38" t="e">
        <x:f>HYPERLINK("https://pubmed.ncbi.nlm.nih.gov/"&amp;C259&amp;"/","Open PubMed")</x:f>
        <x:v>HYPERLINK is not implemented. linkLocation=https://pubmed.ncbi.nlm.nih.gov/21206548/, friendlyName=Open PubMed</x:v>
      </x:c>
    </x:row>
    <x:row r="260">
      <x:c r="A260" s="26" t="str">
        <x:v>PUBMED-21282836</x:v>
      </x:c>
      <x:c r="B260" s="26" t="n">
        <x:v>2010</x:v>
      </x:c>
      <x:c r="C260" s="26" t="str">
        <x:v>21282836</x:v>
      </x:c>
      <x:c r="D260" s="28" t="str">
        <x:v>The relationship between physical activity and executive function performance in children with attention-deficit hyperactivity disorder.</x:v>
      </x:c>
      <x:c r="E260" s="28" t="str">
        <x:v>Primary/contextual journal article</x:v>
      </x:c>
      <x:c r="F260" s="28" t="str">
        <x:v>Development &amp; presentation; Social &amp; structural; Environmental &amp; lifestyle; Life outcomes &amp; lived experience</x:v>
      </x:c>
      <x:c r="G260" s="28" t="str">
        <x:v>Childhood</x:v>
      </x:c>
      <x:c r="H260" s="28" t="str">
        <x:v>Later specialized</x:v>
      </x:c>
      <x:c r="I260" s="28" t="str">
        <x:v>Direct or strongly ADHD-related record retained for later screening; typically narrower treatment, biomarker, mechanistic, or single-comorbidity focus.</x:v>
      </x:c>
      <x:c r="J260" s="38" t="e">
        <x:f>HYPERLINK("https://pubmed.ncbi.nlm.nih.gov/"&amp;C260&amp;"/","Open PubMed")</x:f>
        <x:v>HYPERLINK is not implemented. linkLocation=https://pubmed.ncbi.nlm.nih.gov/21282836/, friendlyName=Open PubMed</x:v>
      </x:c>
    </x:row>
    <x:row r="261">
      <x:c r="A261" s="26" t="str">
        <x:v>PUBMED-20861590</x:v>
      </x:c>
      <x:c r="B261" s="26" t="n">
        <x:v>2010</x:v>
      </x:c>
      <x:c r="C261" s="26" t="str">
        <x:v>20861590</x:v>
      </x:c>
      <x:c r="D261" s="28" t="str">
        <x:v>Clinical practice guidelines for attention-deficit/hyperactivity disorder: a review.</x:v>
      </x:c>
      <x:c r="E261" s="28" t="str">
        <x:v>Evidence synthesis - review</x:v>
      </x:c>
      <x:c r="F261" s="28" t="str">
        <x:v>Development &amp; presentation; Recognition &amp; diagnosis; Social &amp; structural; Treatment &amp; support</x:v>
      </x:c>
      <x:c r="G261" s="28" t="str">
        <x:v>Not specified</x:v>
      </x:c>
      <x:c r="H261" s="28" t="str">
        <x:v>Batch 1 core</x:v>
      </x:c>
      <x:c r="I261" s="28" t="str">
        <x:v>Direct ADHD evidence synthesis/guideline with broad multi-topic relevance.</x:v>
      </x:c>
      <x:c r="J261" s="38" t="e">
        <x:f>HYPERLINK("https://pubmed.ncbi.nlm.nih.gov/"&amp;C261&amp;"/","Open PubMed")</x:f>
        <x:v>HYPERLINK is not implemented. linkLocation=https://pubmed.ncbi.nlm.nih.gov/20861590/, friendlyName=Open PubMed</x:v>
      </x:c>
    </x:row>
    <x:row r="262">
      <x:c r="A262" s="26" t="str">
        <x:v>PUBMED-20888040</x:v>
      </x:c>
      <x:c r="B262" s="26" t="n">
        <x:v>2010</x:v>
      </x:c>
      <x:c r="C262" s="26" t="str">
        <x:v>20888040</x:v>
      </x:c>
      <x:c r="D262" s="28" t="str">
        <x:v>Rare chromosomal deletions and duplications in attention-deficit hyperactivity disorder: a genome-wide analysis.</x:v>
      </x:c>
      <x:c r="E262" s="28" t="str">
        <x:v>Primary study - cohort</x:v>
      </x:c>
      <x:c r="F262" s="28" t="str">
        <x:v>Development &amp; presentation; Recognition &amp; diagnosis; Family &amp; education; Social &amp; structural; Environmental &amp; lifestyle</x:v>
      </x:c>
      <x:c r="G262" s="28" t="str">
        <x:v>Childhood; Adolescence</x:v>
      </x:c>
      <x:c r="H262" s="28" t="str">
        <x:v>Later specialized</x:v>
      </x:c>
      <x:c r="I262" s="28" t="str">
        <x:v>Direct or strongly ADHD-related record retained for later screening; typically narrower treatment, biomarker, mechanistic, or single-comorbidity focus.</x:v>
      </x:c>
      <x:c r="J262" s="38" t="e">
        <x:f>HYPERLINK("https://pubmed.ncbi.nlm.nih.gov/"&amp;C262&amp;"/","Open PubMed")</x:f>
        <x:v>HYPERLINK is not implemented. linkLocation=https://pubmed.ncbi.nlm.nih.gov/20888040/, friendlyName=Open PubMed</x:v>
      </x:c>
    </x:row>
    <x:row r="263">
      <x:c r="A263" s="26" t="str">
        <x:v>PUBMED-20732623</x:v>
      </x:c>
      <x:c r="B263" s="26" t="n">
        <x:v>2010</x:v>
      </x:c>
      <x:c r="C263" s="26" t="str">
        <x:v>20732623</x:v>
      </x:c>
      <x:c r="D263" s="28" t="str">
        <x:v>Measured gene-by-environment interaction in relation to attention-deficit/hyperactivity disorder.</x:v>
      </x:c>
      <x:c r="E263" s="28" t="str">
        <x:v>Evidence synthesis - review</x:v>
      </x:c>
      <x:c r="F263" s="28" t="str">
        <x:v>Development &amp; presentation; Family &amp; education; Social &amp; structural; Environmental &amp; lifestyle; Life outcomes &amp; lived experience</x:v>
      </x:c>
      <x:c r="G263" s="28" t="str">
        <x:v>Childhood; Adolescence</x:v>
      </x:c>
      <x:c r="H263" s="28" t="str">
        <x:v>Later specialized</x:v>
      </x:c>
      <x:c r="I263" s="28" t="str">
        <x:v>Direct or strongly ADHD-related record retained for later screening; typically narrower treatment, biomarker, mechanistic, or single-comorbidity focus.</x:v>
      </x:c>
      <x:c r="J263" s="38" t="e">
        <x:f>HYPERLINK("https://pubmed.ncbi.nlm.nih.gov/"&amp;C263&amp;"/","Open PubMed")</x:f>
        <x:v>HYPERLINK is not implemented. linkLocation=https://pubmed.ncbi.nlm.nih.gov/20732623/, friendlyName=Open PubMed</x:v>
      </x:c>
    </x:row>
    <x:row r="264">
      <x:c r="A264" s="26" t="str">
        <x:v>PUBMED-20863165</x:v>
      </x:c>
      <x:c r="B264" s="26" t="n">
        <x:v>2010</x:v>
      </x:c>
      <x:c r="C264" s="26" t="str">
        <x:v>20863165</x:v>
      </x:c>
      <x:c r="D264" s="28" t="str">
        <x:v>Treatment stabilization in children and adolescents with attention-deficit/hyperactivity disorder: data from the Netherlands.</x:v>
      </x:c>
      <x:c r="E264" s="28" t="str">
        <x:v>Primary study - cohort</x:v>
      </x:c>
      <x:c r="F264" s="28" t="str">
        <x:v>Development &amp; presentation; Recognition &amp; diagnosis; Social &amp; structural; Treatment &amp; support; Life outcomes &amp; lived experience</x:v>
      </x:c>
      <x:c r="G264" s="28" t="str">
        <x:v>Childhood; Adolescence</x:v>
      </x:c>
      <x:c r="H264" s="28" t="str">
        <x:v>Later specialized</x:v>
      </x:c>
      <x:c r="I264" s="28" t="str">
        <x:v>Direct or strongly ADHD-related record retained for later screening; typically narrower treatment, biomarker, mechanistic, or single-comorbidity focus.</x:v>
      </x:c>
      <x:c r="J264" s="38" t="e">
        <x:f>HYPERLINK("https://pubmed.ncbi.nlm.nih.gov/"&amp;C264&amp;"/","Open PubMed")</x:f>
        <x:v>HYPERLINK is not implemented. linkLocation=https://pubmed.ncbi.nlm.nih.gov/20863165/, friendlyName=Open PubMed</x:v>
      </x:c>
    </x:row>
    <x:row r="265">
      <x:c r="A265" s="26" t="str">
        <x:v>PUBMED-20824967</x:v>
      </x:c>
      <x:c r="B265" s="26" t="n">
        <x:v>2010</x:v>
      </x:c>
      <x:c r="C265" s="26" t="str">
        <x:v>20824967</x:v>
      </x:c>
      <x:c r="D265" s="28" t="str">
        <x:v>[Psychiatric comorbidity in bipolar disorders].</x:v>
      </x:c>
      <x:c r="E265" s="28" t="str">
        <x:v>Evidence synthesis - review</x:v>
      </x:c>
      <x:c r="F265" s="28" t="str">
        <x:v>Development &amp; presentation; Social &amp; structural; Treatment &amp; support; Life outcomes &amp; lived experience</x:v>
      </x:c>
      <x:c r="G265" s="28" t="str">
        <x:v>Not specified</x:v>
      </x:c>
      <x:c r="H265" s="28" t="str">
        <x:v>Exclude/incidental</x:v>
      </x:c>
      <x:c r="I265" s="28" t="str">
        <x:v>ADHD appears peripheral or insufficiently aligned with the requested corpus scope based on accessible metadata/abstract.</x:v>
      </x:c>
      <x:c r="J265" s="38" t="e">
        <x:f>HYPERLINK("https://pubmed.ncbi.nlm.nih.gov/"&amp;C265&amp;"/","Open PubMed")</x:f>
        <x:v>HYPERLINK is not implemented. linkLocation=https://pubmed.ncbi.nlm.nih.gov/20824967/, friendlyName=Open PubMed</x:v>
      </x:c>
    </x:row>
    <x:row r="266">
      <x:c r="A266" s="26" t="str">
        <x:v>PUBMED-21432611</x:v>
      </x:c>
      <x:c r="B266" s="26" t="n">
        <x:v>2010</x:v>
      </x:c>
      <x:c r="C266" s="26" t="str">
        <x:v>21432611</x:v>
      </x:c>
      <x:c r="D266" s="28" t="str">
        <x:v>Inflammation: good or bad for ADHD?</x:v>
      </x:c>
      <x:c r="E266" s="28" t="str">
        <x:v>Evidence synthesis - review</x:v>
      </x:c>
      <x:c r="F266" s="28" t="str">
        <x:v>Development &amp; presentation; Recognition &amp; diagnosis; Social &amp; structural; Environmental &amp; lifestyle; Treatment &amp; support; Life outcomes &amp; lived experience; Historical &amp; contemporary context</x:v>
      </x:c>
      <x:c r="G266" s="28" t="str">
        <x:v>Childhood</x:v>
      </x:c>
      <x:c r="H266" s="28" t="str">
        <x:v>Later specialized</x:v>
      </x:c>
      <x:c r="I266" s="28" t="str">
        <x:v>Direct or strongly ADHD-related record retained for later screening; typically narrower treatment, biomarker, mechanistic, or single-comorbidity focus.</x:v>
      </x:c>
      <x:c r="J266" s="38" t="e">
        <x:f>HYPERLINK("https://pubmed.ncbi.nlm.nih.gov/"&amp;C266&amp;"/","Open PubMed")</x:f>
        <x:v>HYPERLINK is not implemented. linkLocation=https://pubmed.ncbi.nlm.nih.gov/21432611/, friendlyName=Open PubMed</x:v>
      </x:c>
    </x:row>
    <x:row r="267">
      <x:c r="A267" s="26" t="str">
        <x:v>PUBMED-20921350</x:v>
      </x:c>
      <x:c r="B267" s="26" t="n">
        <x:v>2010</x:v>
      </x:c>
      <x:c r="C267" s="26" t="str">
        <x:v>20921350</x:v>
      </x:c>
      <x:c r="D267" s="28" t="str">
        <x:v>Association between attention-deficit/hyperactivity disorder in adolescence and substance use disorders in adulthood.</x:v>
      </x:c>
      <x:c r="E267" s="28" t="str">
        <x:v>Primary/contextual journal article</x:v>
      </x:c>
      <x:c r="F267" s="28" t="str">
        <x:v>Development &amp; presentation; Recognition &amp; diagnosis; Social &amp; structural; Life outcomes &amp; lived experience</x:v>
      </x:c>
      <x:c r="G267" s="28" t="str">
        <x:v>Childhood; Adolescence; Adulthood</x:v>
      </x:c>
      <x:c r="H267" s="28" t="str">
        <x:v>Later specialized</x:v>
      </x:c>
      <x:c r="I267" s="28" t="str">
        <x:v>Direct or strongly ADHD-related record retained for later screening; typically narrower treatment, biomarker, mechanistic, or single-comorbidity focus.</x:v>
      </x:c>
      <x:c r="J267" s="38" t="e">
        <x:f>HYPERLINK("https://pubmed.ncbi.nlm.nih.gov/"&amp;C267&amp;"/","Open PubMed")</x:f>
        <x:v>HYPERLINK is not implemented. linkLocation=https://pubmed.ncbi.nlm.nih.gov/20921350/, friendlyName=Open PubMed</x:v>
      </x:c>
    </x:row>
    <x:row r="268">
      <x:c r="A268" s="26" t="str">
        <x:v>PUBMED-20923606</x:v>
      </x:c>
      <x:c r="B268" s="26" t="n">
        <x:v>2010</x:v>
      </x:c>
      <x:c r="C268" s="26" t="str">
        <x:v>20923606</x:v>
      </x:c>
      <x:c r="D268" s="28" t="str">
        <x:v>Event-related potentials study in attention deficit hyperactivity disorder.</x:v>
      </x:c>
      <x:c r="E268" s="28" t="str">
        <x:v>Primary study - case-control</x:v>
      </x:c>
      <x:c r="F268" s="28" t="str">
        <x:v>Development &amp; presentation; Social &amp; structural</x:v>
      </x:c>
      <x:c r="G268" s="28" t="str">
        <x:v>Childhood; Adolescence</x:v>
      </x:c>
      <x:c r="H268" s="28" t="str">
        <x:v>Later specialized</x:v>
      </x:c>
      <x:c r="I268" s="28" t="str">
        <x:v>Direct or strongly ADHD-related record retained for later screening; typically narrower treatment, biomarker, mechanistic, or single-comorbidity focus.</x:v>
      </x:c>
      <x:c r="J268" s="38" t="e">
        <x:f>HYPERLINK("https://pubmed.ncbi.nlm.nih.gov/"&amp;C268&amp;"/","Open PubMed")</x:f>
        <x:v>HYPERLINK is not implemented. linkLocation=https://pubmed.ncbi.nlm.nih.gov/20923606/, friendlyName=Open PubMed</x:v>
      </x:c>
    </x:row>
    <x:row r="269">
      <x:c r="A269" s="26" t="str">
        <x:v>PUBMED-21093767</x:v>
      </x:c>
      <x:c r="B269" s="26" t="n">
        <x:v>2010</x:v>
      </x:c>
      <x:c r="C269" s="26" t="str">
        <x:v>21093767</x:v>
      </x:c>
      <x:c r="D269" s="28" t="str">
        <x:v>Evaluating the quality of community care for attention-deficit/hyperactivity disorder.</x:v>
      </x:c>
      <x:c r="E269" s="28" t="str">
        <x:v>Contextual - editorial/comment</x:v>
      </x:c>
      <x:c r="F269" s="28" t="str">
        <x:v>Development &amp; presentation; Recognition &amp; diagnosis; Social &amp; structural; Treatment &amp; support; Life outcomes &amp; lived experience</x:v>
      </x:c>
      <x:c r="G269" s="28" t="str">
        <x:v>Childhood; Adulthood</x:v>
      </x:c>
      <x:c r="H269" s="28" t="str">
        <x:v>Later specialized</x:v>
      </x:c>
      <x:c r="I269" s="28" t="str">
        <x:v>Direct or strongly ADHD-related record retained for later screening; typically narrower treatment, biomarker, mechanistic, or single-comorbidity focus.</x:v>
      </x:c>
      <x:c r="J269" s="38" t="e">
        <x:f>HYPERLINK("https://pubmed.ncbi.nlm.nih.gov/"&amp;C269&amp;"/","Open PubMed")</x:f>
        <x:v>HYPERLINK is not implemented. linkLocation=https://pubmed.ncbi.nlm.nih.gov/21093767/, friendlyName=Open PubMed</x:v>
      </x:c>
    </x:row>
    <x:row r="270">
      <x:c r="A270" s="26" t="str">
        <x:v>PUBMED-20921120</x:v>
      </x:c>
      <x:c r="B270" s="26" t="n">
        <x:v>2010</x:v>
      </x:c>
      <x:c r="C270" s="26" t="str">
        <x:v>20921120</x:v>
      </x:c>
      <x:c r="D270" s="28" t="str">
        <x:v>Very early predictors of adolescent depression and suicide attempts in children with attention-deficit/hyperactivity disorder.</x:v>
      </x:c>
      <x:c r="E270" s="28" t="str">
        <x:v>Primary study - cohort</x:v>
      </x:c>
      <x:c r="F270" s="28" t="str">
        <x:v>Development &amp; presentation; Recognition &amp; diagnosis; Family &amp; education; Social &amp; structural; Environmental &amp; lifestyle; Treatment &amp; support; Life outcomes &amp; lived experience</x:v>
      </x:c>
      <x:c r="G270" s="28" t="str">
        <x:v>Childhood; Adolescence</x:v>
      </x:c>
      <x:c r="H270" s="28" t="str">
        <x:v>Later specialized</x:v>
      </x:c>
      <x:c r="I270" s="28" t="str">
        <x:v>Direct or strongly ADHD-related record retained for later screening; typically narrower treatment, biomarker, mechanistic, or single-comorbidity focus.</x:v>
      </x:c>
      <x:c r="J270" s="38" t="e">
        <x:f>HYPERLINK("https://pubmed.ncbi.nlm.nih.gov/"&amp;C270&amp;"/","Open PubMed")</x:f>
        <x:v>HYPERLINK is not implemented. linkLocation=https://pubmed.ncbi.nlm.nih.gov/20921120/, friendlyName=Open PubMed</x:v>
      </x:c>
    </x:row>
    <x:row r="271">
      <x:c r="A271" s="26" t="str">
        <x:v>PUBMED-20925474</x:v>
      </x:c>
      <x:c r="B271" s="26" t="n">
        <x:v>2010</x:v>
      </x:c>
      <x:c r="C271" s="26" t="str">
        <x:v>20925474</x:v>
      </x:c>
      <x:c r="D271" s="28" t="str">
        <x:v>The use of &amp;#x03B1;-2A adrenergic agonists for the treatment of attention-deficit/hyperactivity disorder.</x:v>
      </x:c>
      <x:c r="E271" s="28" t="str">
        <x:v>Evidence synthesis - review</x:v>
      </x:c>
      <x:c r="F271" s="28" t="str">
        <x:v>Development &amp; presentation; Social &amp; structural; Treatment &amp; support; Life outcomes &amp; lived experience</x:v>
      </x:c>
      <x:c r="G271" s="28" t="str">
        <x:v>Not specified</x:v>
      </x:c>
      <x:c r="H271" s="28" t="str">
        <x:v>Later specialized</x:v>
      </x:c>
      <x:c r="I271" s="28" t="str">
        <x:v>Direct or strongly ADHD-related record retained for later screening; typically narrower treatment, biomarker, mechanistic, or single-comorbidity focus.</x:v>
      </x:c>
      <x:c r="J271" s="38" t="e">
        <x:f>HYPERLINK("https://pubmed.ncbi.nlm.nih.gov/"&amp;C271&amp;"/","Open PubMed")</x:f>
        <x:v>HYPERLINK is not implemented. linkLocation=https://pubmed.ncbi.nlm.nih.gov/20925474/, friendlyName=Open PubMed</x:v>
      </x:c>
    </x:row>
    <x:row r="272">
      <x:c r="A272" s="26" t="str">
        <x:v>PUBMED-21186969</x:v>
      </x:c>
      <x:c r="B272" s="26" t="n">
        <x:v>2010</x:v>
      </x:c>
      <x:c r="C272" s="26" t="str">
        <x:v>21186969</x:v>
      </x:c>
      <x:c r="D272" s="28" t="str">
        <x:v>Executive function deficits in children with attention-deficit/hyperactivity disorder and improvement with lisdexamfetamine dimesylate in an open-label study.</x:v>
      </x:c>
      <x:c r="E272" s="28" t="str">
        <x:v>Primary study - clinical trial</x:v>
      </x:c>
      <x:c r="F272" s="28" t="str">
        <x:v>Development &amp; presentation; Recognition &amp; diagnosis; Social &amp; structural; Treatment &amp; support; Life outcomes &amp; lived experience</x:v>
      </x:c>
      <x:c r="G272" s="28" t="str">
        <x:v>Childhood</x:v>
      </x:c>
      <x:c r="H272" s="28" t="str">
        <x:v>Later specialized</x:v>
      </x:c>
      <x:c r="I272" s="28" t="str">
        <x:v>Direct or strongly ADHD-related record retained for later screening; typically narrower treatment, biomarker, mechanistic, or single-comorbidity focus.</x:v>
      </x:c>
      <x:c r="J272" s="38" t="e">
        <x:f>HYPERLINK("https://pubmed.ncbi.nlm.nih.gov/"&amp;C272&amp;"/","Open PubMed")</x:f>
        <x:v>HYPERLINK is not implemented. linkLocation=https://pubmed.ncbi.nlm.nih.gov/21186969/, friendlyName=Open PubMed</x:v>
      </x:c>
    </x:row>
    <x:row r="273">
      <x:c r="A273" s="26" t="str">
        <x:v>PUBMED-20933178</x:v>
      </x:c>
      <x:c r="B273" s="26" t="n">
        <x:v>2010</x:v>
      </x:c>
      <x:c r="C273" s="26" t="str">
        <x:v>20933178</x:v>
      </x:c>
      <x:c r="D273" s="28" t="str">
        <x:v>Atomoxetine for attention deficit hyperactivity disorder in mental retardation.</x:v>
      </x:c>
      <x:c r="E273" s="28" t="str">
        <x:v>Primary study - clinical trial</x:v>
      </x:c>
      <x:c r="F273" s="28" t="str">
        <x:v>Development &amp; presentation; Recognition &amp; diagnosis; Family &amp; education; Social &amp; structural; Treatment &amp; support; Life outcomes &amp; lived experience</x:v>
      </x:c>
      <x:c r="G273" s="28" t="str">
        <x:v>Childhood; Adolescence; Adulthood</x:v>
      </x:c>
      <x:c r="H273" s="28" t="str">
        <x:v>Later specialized</x:v>
      </x:c>
      <x:c r="I273" s="28" t="str">
        <x:v>Direct or strongly ADHD-related record retained for later screening; typically narrower treatment, biomarker, mechanistic, or single-comorbidity focus.</x:v>
      </x:c>
      <x:c r="J273" s="38" t="e">
        <x:f>HYPERLINK("https://pubmed.ncbi.nlm.nih.gov/"&amp;C273&amp;"/","Open PubMed")</x:f>
        <x:v>HYPERLINK is not implemented. linkLocation=https://pubmed.ncbi.nlm.nih.gov/20933178/, friendlyName=Open PubMed</x:v>
      </x:c>
    </x:row>
    <x:row r="274">
      <x:c r="A274" s="26" t="str">
        <x:v>PUBMED-21432592</x:v>
      </x:c>
      <x:c r="B274" s="26" t="n">
        <x:v>2010</x:v>
      </x:c>
      <x:c r="C274" s="26" t="str">
        <x:v>21432592</x:v>
      </x:c>
      <x:c r="D274" s="28" t="str">
        <x:v>Minor differences in ADHD-related difficulties between boys and girls treated with atomoxetine for attention-deficit/hyperactivity disorder.</x:v>
      </x:c>
      <x:c r="E274" s="28" t="str">
        <x:v>Primary study - clinical trial</x:v>
      </x:c>
      <x:c r="F274" s="28" t="str">
        <x:v>Development &amp; presentation; Family &amp; education; Social &amp; structural; Treatment &amp; support; Life outcomes &amp; lived experience</x:v>
      </x:c>
      <x:c r="G274" s="28" t="str">
        <x:v>Childhood; Adolescence</x:v>
      </x:c>
      <x:c r="H274" s="28" t="str">
        <x:v>Later specialized</x:v>
      </x:c>
      <x:c r="I274" s="28" t="str">
        <x:v>Direct or strongly ADHD-related record retained for later screening; typically narrower treatment, biomarker, mechanistic, or single-comorbidity focus.</x:v>
      </x:c>
      <x:c r="J274" s="38" t="e">
        <x:f>HYPERLINK("https://pubmed.ncbi.nlm.nih.gov/"&amp;C274&amp;"/","Open PubMed")</x:f>
        <x:v>HYPERLINK is not implemented. linkLocation=https://pubmed.ncbi.nlm.nih.gov/21432592/, friendlyName=Open PubMed</x:v>
      </x:c>
    </x:row>
    <x:row r="275">
      <x:c r="A275" s="26" t="str">
        <x:v>PUBMED-21183129</x:v>
      </x:c>
      <x:c r="B275" s="26" t="n">
        <x:v>2010</x:v>
      </x:c>
      <x:c r="C275" s="26" t="str">
        <x:v>21183129</x:v>
      </x:c>
      <x:c r="D275" s="28" t="str">
        <x:v>Advances in the treatment of attention-deficit/hyperactivity disorder: a guide for pediatric neurologists.</x:v>
      </x:c>
      <x:c r="E275" s="28" t="str">
        <x:v>Evidence synthesis - review</x:v>
      </x:c>
      <x:c r="F275" s="28" t="str">
        <x:v>Development &amp; presentation; Recognition &amp; diagnosis; Family &amp; education; Social &amp; structural; Treatment &amp; support</x:v>
      </x:c>
      <x:c r="G275" s="28" t="str">
        <x:v>Childhood</x:v>
      </x:c>
      <x:c r="H275" s="28" t="str">
        <x:v>Later specialized</x:v>
      </x:c>
      <x:c r="I275" s="28" t="str">
        <x:v>Direct or strongly ADHD-related record retained for later screening; typically narrower treatment, biomarker, mechanistic, or single-comorbidity focus.</x:v>
      </x:c>
      <x:c r="J275" s="38" t="e">
        <x:f>HYPERLINK("https://pubmed.ncbi.nlm.nih.gov/"&amp;C275&amp;"/","Open PubMed")</x:f>
        <x:v>HYPERLINK is not implemented. linkLocation=https://pubmed.ncbi.nlm.nih.gov/21183129/, friendlyName=Open PubMed</x:v>
      </x:c>
    </x:row>
    <x:row r="276">
      <x:c r="A276" s="26" t="str">
        <x:v>PUBMED-20973706</x:v>
      </x:c>
      <x:c r="B276" s="26" t="n">
        <x:v>2010</x:v>
      </x:c>
      <x:c r="C276" s="26" t="str">
        <x:v>20973706</x:v>
      </x:c>
      <x:c r="D276" s="28" t="str">
        <x:v>Time course and predictors of health-related quality of life improvement and medication satisfaction in children diagnosed with attention-deficit/hyperactivity disorder treated with the methylphenidate transdermal system.</x:v>
      </x:c>
      <x:c r="E276" s="28" t="str">
        <x:v>Primary study - randomized controlled trial</x:v>
      </x:c>
      <x:c r="F276" s="28" t="str">
        <x:v>Development &amp; presentation; Recognition &amp; diagnosis; Family &amp; education; Social &amp; structural; Treatment &amp; support; Life outcomes &amp; lived experience</x:v>
      </x:c>
      <x:c r="G276" s="28" t="str">
        <x:v>Childhood</x:v>
      </x:c>
      <x:c r="H276" s="28" t="str">
        <x:v>Later specialized</x:v>
      </x:c>
      <x:c r="I276" s="28" t="str">
        <x:v>Direct or strongly ADHD-related record retained for later screening; typically narrower treatment, biomarker, mechanistic, or single-comorbidity focus.</x:v>
      </x:c>
      <x:c r="J276" s="38" t="e">
        <x:f>HYPERLINK("https://pubmed.ncbi.nlm.nih.gov/"&amp;C276&amp;"/","Open PubMed")</x:f>
        <x:v>HYPERLINK is not implemented. linkLocation=https://pubmed.ncbi.nlm.nih.gov/20973706/, friendlyName=Open PubMed</x:v>
      </x:c>
    </x:row>
    <x:row r="277">
      <x:c r="A277" s="26" t="str">
        <x:v>PUBMED-21158602</x:v>
      </x:c>
      <x:c r="B277" s="26" t="n">
        <x:v>2010</x:v>
      </x:c>
      <x:c r="C277" s="26" t="str">
        <x:v>21158602</x:v>
      </x:c>
      <x:c r="D277" s="28" t="str">
        <x:v>Comorbid attention-deficit/hyperactivity disorder in borderline patients defines an impulsive subtype of borderline personality disorder.</x:v>
      </x:c>
      <x:c r="E277" s="28" t="str">
        <x:v>Primary/contextual journal article</x:v>
      </x:c>
      <x:c r="F277" s="28" t="str">
        <x:v>Development &amp; presentation; Recognition &amp; diagnosis; Social &amp; structural; Treatment &amp; support; Life outcomes &amp; lived experience</x:v>
      </x:c>
      <x:c r="G277" s="28" t="str">
        <x:v>Adulthood</x:v>
      </x:c>
      <x:c r="H277" s="28" t="str">
        <x:v>Later specialized</x:v>
      </x:c>
      <x:c r="I277" s="28" t="str">
        <x:v>Direct or strongly ADHD-related record retained for later screening; typically narrower treatment, biomarker, mechanistic, or single-comorbidity focus.</x:v>
      </x:c>
      <x:c r="J277" s="38" t="e">
        <x:f>HYPERLINK("https://pubmed.ncbi.nlm.nih.gov/"&amp;C277&amp;"/","Open PubMed")</x:f>
        <x:v>HYPERLINK is not implemented. linkLocation=https://pubmed.ncbi.nlm.nih.gov/21158602/, friendlyName=Open PubMed</x:v>
      </x:c>
    </x:row>
    <x:row r="278">
      <x:c r="A278" s="26" t="str">
        <x:v>PUBMED-20973708</x:v>
      </x:c>
      <x:c r="B278" s="26" t="n">
        <x:v>2010</x:v>
      </x:c>
      <x:c r="C278" s="26" t="str">
        <x:v>20973708</x:v>
      </x:c>
      <x:c r="D278" s="28" t="str">
        <x:v>A double-blind, randomized, placebo/active controlled crossover evaluation of the efficacy and safety of Ritalin ® LA in children with attention-deficit/hyperactivity disorder in a laboratory classroom setting.</x:v>
      </x:c>
      <x:c r="E278" s="28" t="str">
        <x:v>Primary study - randomized controlled trial</x:v>
      </x:c>
      <x:c r="F278" s="28" t="str">
        <x:v>Development &amp; presentation; Recognition &amp; diagnosis; Family &amp; education; Social &amp; structural; Treatment &amp; support; Life outcomes &amp; lived experience</x:v>
      </x:c>
      <x:c r="G278" s="28" t="str">
        <x:v>Childhood; Adolescence</x:v>
      </x:c>
      <x:c r="H278" s="28" t="str">
        <x:v>Later specialized</x:v>
      </x:c>
      <x:c r="I278" s="28" t="str">
        <x:v>Direct or strongly ADHD-related record retained for later screening; typically narrower treatment, biomarker, mechanistic, or single-comorbidity focus.</x:v>
      </x:c>
      <x:c r="J278" s="38" t="e">
        <x:f>HYPERLINK("https://pubmed.ncbi.nlm.nih.gov/"&amp;C278&amp;"/","Open PubMed")</x:f>
        <x:v>HYPERLINK is not implemented. linkLocation=https://pubmed.ncbi.nlm.nih.gov/20973708/, friendlyName=Open PubMed</x:v>
      </x:c>
    </x:row>
    <x:row r="279">
      <x:c r="A279" s="26" t="str">
        <x:v>PUBMED-20975934</x:v>
      </x:c>
      <x:c r="B279" s="26" t="n">
        <x:v>2010</x:v>
      </x:c>
      <x:c r="C279" s="26" t="str">
        <x:v>20975934</x:v>
      </x:c>
      <x:c r="D279" s="28" t="str">
        <x:v>Biosensor approach to psychopathology classification.</x:v>
      </x:c>
      <x:c r="E279" s="28" t="str">
        <x:v>Primary study - cohort</x:v>
      </x:c>
      <x:c r="F279" s="28" t="str">
        <x:v>Development &amp; presentation; Recognition &amp; diagnosis; Social &amp; structural; Treatment &amp; support</x:v>
      </x:c>
      <x:c r="G279" s="28" t="str">
        <x:v>Not specified</x:v>
      </x:c>
      <x:c r="H279" s="28" t="str">
        <x:v>Exclude/incidental</x:v>
      </x:c>
      <x:c r="I279" s="28" t="str">
        <x:v>ADHD appears peripheral or insufficiently aligned with the requested corpus scope based on accessible metadata/abstract.</x:v>
      </x:c>
      <x:c r="J279" s="38" t="e">
        <x:f>HYPERLINK("https://pubmed.ncbi.nlm.nih.gov/"&amp;C279&amp;"/","Open PubMed")</x:f>
        <x:v>HYPERLINK is not implemented. linkLocation=https://pubmed.ncbi.nlm.nih.gov/20975934/, friendlyName=Open PubMed</x:v>
      </x:c>
    </x:row>
    <x:row r="280">
      <x:c r="A280" s="26" t="str">
        <x:v>PUBMED-20973707</x:v>
      </x:c>
      <x:c r="B280" s="26" t="n">
        <x:v>2010</x:v>
      </x:c>
      <x:c r="C280" s="26" t="str">
        <x:v>20973707</x:v>
      </x:c>
      <x:c r="D280" s="28" t="str">
        <x:v>A 6-month, open-label, extension study of the tolerability and effectiveness of the methylphenidate transdermal system in adolescents diagnosed with attention-deficit/hyperactivity disorder.</x:v>
      </x:c>
      <x:c r="E280" s="28" t="str">
        <x:v>Primary study - clinical trial</x:v>
      </x:c>
      <x:c r="F280" s="28" t="str">
        <x:v>Development &amp; presentation; Recognition &amp; diagnosis; Social &amp; structural; Treatment &amp; support; Life outcomes &amp; lived experience</x:v>
      </x:c>
      <x:c r="G280" s="28" t="str">
        <x:v>Childhood; Adolescence</x:v>
      </x:c>
      <x:c r="H280" s="28" t="str">
        <x:v>Later specialized</x:v>
      </x:c>
      <x:c r="I280" s="28" t="str">
        <x:v>Direct or strongly ADHD-related record retained for later screening; typically narrower treatment, biomarker, mechanistic, or single-comorbidity focus.</x:v>
      </x:c>
      <x:c r="J280" s="38" t="e">
        <x:f>HYPERLINK("https://pubmed.ncbi.nlm.nih.gov/"&amp;C280&amp;"/","Open PubMed")</x:f>
        <x:v>HYPERLINK is not implemented. linkLocation=https://pubmed.ncbi.nlm.nih.gov/20973707/, friendlyName=Open PubMed</x:v>
      </x:c>
    </x:row>
    <x:row r="281">
      <x:c r="A281" s="26" t="str">
        <x:v>PUBMED-21074390</x:v>
      </x:c>
      <x:c r="B281" s="26" t="n">
        <x:v>2010</x:v>
      </x:c>
      <x:c r="C281" s="26" t="str">
        <x:v>21074390</x:v>
      </x:c>
      <x:c r="D281" s="28" t="str">
        <x:v>[Dyslexia: clinical characteristics].</x:v>
      </x:c>
      <x:c r="E281" s="28" t="str">
        <x:v>Primary/contextual journal article</x:v>
      </x:c>
      <x:c r="F281" s="28" t="str">
        <x:v>Development &amp; presentation; Recognition &amp; diagnosis; Family &amp; education; Social &amp; structural; Environmental &amp; lifestyle; Treatment &amp; support</x:v>
      </x:c>
      <x:c r="G281" s="28" t="str">
        <x:v>Childhood</x:v>
      </x:c>
      <x:c r="H281" s="28" t="str">
        <x:v>Exclude/incidental</x:v>
      </x:c>
      <x:c r="I281" s="28" t="str">
        <x:v>ADHD appears peripheral or insufficiently aligned with the requested corpus scope based on accessible metadata/abstract.</x:v>
      </x:c>
      <x:c r="J281" s="38" t="e">
        <x:f>HYPERLINK("https://pubmed.ncbi.nlm.nih.gov/"&amp;C281&amp;"/","Open PubMed")</x:f>
        <x:v>HYPERLINK is not implemented. linkLocation=https://pubmed.ncbi.nlm.nih.gov/21074390/, friendlyName=Open PubMed</x:v>
      </x:c>
    </x:row>
    <x:row r="282">
      <x:c r="A282" s="26" t="str">
        <x:v>PUBMED-21432587</x:v>
      </x:c>
      <x:c r="B282" s="26" t="n">
        <x:v>2010</x:v>
      </x:c>
      <x:c r="C282" s="26" t="str">
        <x:v>21432587</x:v>
      </x:c>
      <x:c r="D282" s="28" t="str">
        <x:v>Strengths and limitations of genetic models of ADHD.</x:v>
      </x:c>
      <x:c r="E282" s="28" t="str">
        <x:v>Evidence synthesis - review</x:v>
      </x:c>
      <x:c r="F282" s="28" t="str">
        <x:v>Development &amp; presentation; Social &amp; structural; Treatment &amp; support</x:v>
      </x:c>
      <x:c r="G282" s="28" t="str">
        <x:v>Not specified</x:v>
      </x:c>
      <x:c r="H282" s="28" t="str">
        <x:v>Later specialized</x:v>
      </x:c>
      <x:c r="I282" s="28" t="str">
        <x:v>Direct or strongly ADHD-related record retained for later screening; typically narrower treatment, biomarker, mechanistic, or single-comorbidity focus.</x:v>
      </x:c>
      <x:c r="J282" s="38" t="e">
        <x:f>HYPERLINK("https://pubmed.ncbi.nlm.nih.gov/"&amp;C282&amp;"/","Open PubMed")</x:f>
        <x:v>HYPERLINK is not implemented. linkLocation=https://pubmed.ncbi.nlm.nih.gov/21432587/, friendlyName=Open PubMed</x:v>
      </x:c>
    </x:row>
    <x:row r="283">
      <x:c r="A283" s="26" t="str">
        <x:v>PUBMED-21258286</x:v>
      </x:c>
      <x:c r="B283" s="26" t="n">
        <x:v>2010</x:v>
      </x:c>
      <x:c r="C283" s="26" t="str">
        <x:v>21258286</x:v>
      </x:c>
      <x:c r="D283" s="28" t="str">
        <x:v>ADHD as an executive dysfunction.</x:v>
      </x:c>
      <x:c r="E283" s="28" t="str">
        <x:v>Primary/contextual journal article</x:v>
      </x:c>
      <x:c r="F283" s="28" t="str">
        <x:v>Development &amp; presentation; Recognition &amp; diagnosis; Family &amp; education; Social &amp; structural; Treatment &amp; support</x:v>
      </x:c>
      <x:c r="G283" s="28" t="str">
        <x:v>Childhood; Adolescence; Adulthood</x:v>
      </x:c>
      <x:c r="H283" s="28" t="str">
        <x:v>Later specialized</x:v>
      </x:c>
      <x:c r="I283" s="28" t="str">
        <x:v>Direct or strongly ADHD-related record retained for later screening; typically narrower treatment, biomarker, mechanistic, or single-comorbidity focus.</x:v>
      </x:c>
      <x:c r="J283" s="38" t="e">
        <x:f>HYPERLINK("https://pubmed.ncbi.nlm.nih.gov/"&amp;C283&amp;"/","Open PubMed")</x:f>
        <x:v>HYPERLINK is not implemented. linkLocation=https://pubmed.ncbi.nlm.nih.gov/21258286/, friendlyName=Open PubMed</x:v>
      </x:c>
    </x:row>
    <x:row r="284">
      <x:c r="A284" s="26" t="str">
        <x:v>PUBMED-21056840</x:v>
      </x:c>
      <x:c r="B284" s="26" t="n">
        <x:v>2010</x:v>
      </x:c>
      <x:c r="C284" s="26" t="str">
        <x:v>21056840</x:v>
      </x:c>
      <x:c r="D284" s="28" t="str">
        <x:v>Randomized-controlled study of treating attention deficit hyperactivity disorder of preschool children with combined electro-acupuncture and behavior therapy.</x:v>
      </x:c>
      <x:c r="E284" s="28" t="str">
        <x:v>Primary study - randomized controlled trial</x:v>
      </x:c>
      <x:c r="F284" s="28" t="str">
        <x:v>Development &amp; presentation; Recognition &amp; diagnosis; Family &amp; education; Social &amp; structural; Treatment &amp; support; Life outcomes &amp; lived experience</x:v>
      </x:c>
      <x:c r="G284" s="28" t="str">
        <x:v>Childhood</x:v>
      </x:c>
      <x:c r="H284" s="28" t="str">
        <x:v>Later specialized</x:v>
      </x:c>
      <x:c r="I284" s="28" t="str">
        <x:v>Direct or strongly ADHD-related record retained for later screening; typically narrower treatment, biomarker, mechanistic, or single-comorbidity focus.</x:v>
      </x:c>
      <x:c r="J284" s="38" t="e">
        <x:f>HYPERLINK("https://pubmed.ncbi.nlm.nih.gov/"&amp;C284&amp;"/","Open PubMed")</x:f>
        <x:v>HYPERLINK is not implemented. linkLocation=https://pubmed.ncbi.nlm.nih.gov/21056840/, friendlyName=Open PubMed</x:v>
      </x:c>
    </x:row>
    <x:row r="285">
      <x:c r="A285" s="26" t="str">
        <x:v>PUBMED-21432594</x:v>
      </x:c>
      <x:c r="B285" s="26" t="n">
        <x:v>2010</x:v>
      </x:c>
      <x:c r="C285" s="26" t="str">
        <x:v>21432594</x:v>
      </x:c>
      <x:c r="D285" s="28" t="str">
        <x:v>Gender differences in self- and investigator-rated psychopathology in adult attention-deficit/hyperactivity disorder.</x:v>
      </x:c>
      <x:c r="E285" s="28" t="str">
        <x:v>Primary/contextual journal article</x:v>
      </x:c>
      <x:c r="F285" s="28" t="str">
        <x:v>Development &amp; presentation; Recognition &amp; diagnosis; Social &amp; structural</x:v>
      </x:c>
      <x:c r="G285" s="28" t="str">
        <x:v>Childhood; Adolescence; Adulthood</x:v>
      </x:c>
      <x:c r="H285" s="28" t="str">
        <x:v>Later specialized</x:v>
      </x:c>
      <x:c r="I285" s="28" t="str">
        <x:v>Direct or strongly ADHD-related record retained for later screening; typically narrower treatment, biomarker, mechanistic, or single-comorbidity focus.</x:v>
      </x:c>
      <x:c r="J285" s="38" t="e">
        <x:f>HYPERLINK("https://pubmed.ncbi.nlm.nih.gov/"&amp;C285&amp;"/","Open PubMed")</x:f>
        <x:v>HYPERLINK is not implemented. linkLocation=https://pubmed.ncbi.nlm.nih.gov/21432594/, friendlyName=Open PubMed</x:v>
      </x:c>
    </x:row>
    <x:row r="286">
      <x:c r="A286" s="26" t="str">
        <x:v>PUBMED-20933558</x:v>
      </x:c>
      <x:c r="B286" s="26" t="n">
        <x:v>2010</x:v>
      </x:c>
      <x:c r="C286" s="26" t="str">
        <x:v>20933558</x:v>
      </x:c>
      <x:c r="D286" s="28" t="str">
        <x:v>Detrimental effects of gum chewing on vigilance in children with attention deficit hyperactivity disorder.</x:v>
      </x:c>
      <x:c r="E286" s="28" t="str">
        <x:v>Primary study - randomized controlled trial</x:v>
      </x:c>
      <x:c r="F286" s="28" t="str">
        <x:v>Development &amp; presentation; Recognition &amp; diagnosis; Social &amp; structural; Treatment &amp; support; Life outcomes &amp; lived experience</x:v>
      </x:c>
      <x:c r="G286" s="28" t="str">
        <x:v>Childhood</x:v>
      </x:c>
      <x:c r="H286" s="28" t="str">
        <x:v>Later specialized</x:v>
      </x:c>
      <x:c r="I286" s="28" t="str">
        <x:v>Direct or strongly ADHD-related record retained for later screening; typically narrower treatment, biomarker, mechanistic, or single-comorbidity focus.</x:v>
      </x:c>
      <x:c r="J286" s="38" t="e">
        <x:f>HYPERLINK("https://pubmed.ncbi.nlm.nih.gov/"&amp;C286&amp;"/","Open PubMed")</x:f>
        <x:v>HYPERLINK is not implemented. linkLocation=https://pubmed.ncbi.nlm.nih.gov/20933558/, friendlyName=Open PubMed</x:v>
      </x:c>
    </x:row>
    <x:row r="287">
      <x:c r="A287" s="26" t="str">
        <x:v>PUBMED-20861591</x:v>
      </x:c>
      <x:c r="B287" s="26" t="n">
        <x:v>2010</x:v>
      </x:c>
      <x:c r="C287" s="26" t="str">
        <x:v>20861591</x:v>
      </x:c>
      <x:c r="D287" s="28" t="str">
        <x:v>The role of alpha2-adrenergic agonists in attention-deficit/hyperactivity disorder.</x:v>
      </x:c>
      <x:c r="E287" s="28" t="str">
        <x:v>Evidence synthesis - review</x:v>
      </x:c>
      <x:c r="F287" s="28" t="str">
        <x:v>Development &amp; presentation; Social &amp; structural; Treatment &amp; support; Life outcomes &amp; lived experience</x:v>
      </x:c>
      <x:c r="G287" s="28" t="str">
        <x:v>Childhood; Adolescence</x:v>
      </x:c>
      <x:c r="H287" s="28" t="str">
        <x:v>Later specialized</x:v>
      </x:c>
      <x:c r="I287" s="28" t="str">
        <x:v>Direct or strongly ADHD-related record retained for later screening; typically narrower treatment, biomarker, mechanistic, or single-comorbidity focus.</x:v>
      </x:c>
      <x:c r="J287" s="38" t="e">
        <x:f>HYPERLINK("https://pubmed.ncbi.nlm.nih.gov/"&amp;C287&amp;"/","Open PubMed")</x:f>
        <x:v>HYPERLINK is not implemented. linkLocation=https://pubmed.ncbi.nlm.nih.gov/20861591/, friendlyName=Open PubMed</x:v>
      </x:c>
    </x:row>
    <x:row r="288">
      <x:c r="A288" s="26" t="str">
        <x:v>PUBMED-20839896</x:v>
      </x:c>
      <x:c r="B288" s="26" t="n">
        <x:v>2010</x:v>
      </x:c>
      <x:c r="C288" s="26" t="str">
        <x:v>20839896</x:v>
      </x:c>
      <x:c r="D288" s="28" t="str">
        <x:v>The impact of medications on quality of life in attention-deficit hyperactivity disorder: a systematic review.</x:v>
      </x:c>
      <x:c r="E288" s="28" t="str">
        <x:v>Evidence synthesis - systematic review</x:v>
      </x:c>
      <x:c r="F288" s="28" t="str">
        <x:v>Development &amp; presentation; Social &amp; structural; Treatment &amp; support; Life outcomes &amp; lived experience</x:v>
      </x:c>
      <x:c r="G288" s="28" t="str">
        <x:v>Childhood; Adolescence; Adulthood</x:v>
      </x:c>
      <x:c r="H288" s="28" t="str">
        <x:v>Batch 1 core</x:v>
      </x:c>
      <x:c r="I288" s="28" t="str">
        <x:v>Direct ADHD evidence synthesis/guideline with broad multi-topic relevance.</x:v>
      </x:c>
      <x:c r="J288" s="38" t="e">
        <x:f>HYPERLINK("https://pubmed.ncbi.nlm.nih.gov/"&amp;C288&amp;"/","Open PubMed")</x:f>
        <x:v>HYPERLINK is not implemented. linkLocation=https://pubmed.ncbi.nlm.nih.gov/20839896/, friendlyName=Open PubMed</x:v>
      </x:c>
    </x:row>
    <x:row r="289">
      <x:c r="A289" s="26" t="str">
        <x:v>PUBMED-20924853</x:v>
      </x:c>
      <x:c r="B289" s="26" t="n">
        <x:v>2010</x:v>
      </x:c>
      <x:c r="C289" s="26" t="str">
        <x:v>20924853</x:v>
      </x:c>
      <x:c r="D289" s="28" t="str">
        <x:v>Auditory pathways and processes: implications for neuropsychological assessment and diagnosis of children and adolescents.</x:v>
      </x:c>
      <x:c r="E289" s="28" t="str">
        <x:v>Evidence synthesis - review</x:v>
      </x:c>
      <x:c r="F289" s="28" t="str">
        <x:v>Development &amp; presentation; Recognition &amp; diagnosis; Family &amp; education; Social &amp; structural; Treatment &amp; support</x:v>
      </x:c>
      <x:c r="G289" s="28" t="str">
        <x:v>Childhood; Adolescence</x:v>
      </x:c>
      <x:c r="H289" s="28" t="str">
        <x:v>Exclude/incidental</x:v>
      </x:c>
      <x:c r="I289" s="28" t="str">
        <x:v>ADHD appears peripheral or insufficiently aligned with the requested corpus scope based on accessible metadata/abstract.</x:v>
      </x:c>
      <x:c r="J289" s="38" t="e">
        <x:f>HYPERLINK("https://pubmed.ncbi.nlm.nih.gov/"&amp;C289&amp;"/","Open PubMed")</x:f>
        <x:v>HYPERLINK is not implemented. linkLocation=https://pubmed.ncbi.nlm.nih.gov/20924853/, friendlyName=Open PubMed</x:v>
      </x:c>
    </x:row>
    <x:row r="290">
      <x:c r="A290" s="26" t="str">
        <x:v>PUBMED-20955237</x:v>
      </x:c>
      <x:c r="B290" s="26" t="n">
        <x:v>2010</x:v>
      </x:c>
      <x:c r="C290" s="26" t="str">
        <x:v>20955237</x:v>
      </x:c>
      <x:c r="D290" s="28" t="str">
        <x:v>Attention deficit/hyperactivity disorder in primary school children of Tabriz, North-West Iran.</x:v>
      </x:c>
      <x:c r="E290" s="28" t="str">
        <x:v>Primary/contextual journal article</x:v>
      </x:c>
      <x:c r="F290" s="28" t="str">
        <x:v>Development &amp; presentation; Recognition &amp; diagnosis; Family &amp; education; Social &amp; structural; Environmental &amp; lifestyle</x:v>
      </x:c>
      <x:c r="G290" s="28" t="str">
        <x:v>Childhood; Adolescence</x:v>
      </x:c>
      <x:c r="H290" s="28" t="str">
        <x:v>Later specialized</x:v>
      </x:c>
      <x:c r="I290" s="28" t="str">
        <x:v>Direct or strongly ADHD-related record retained for later screening; typically narrower treatment, biomarker, mechanistic, or single-comorbidity focus.</x:v>
      </x:c>
      <x:c r="J290" s="38" t="e">
        <x:f>HYPERLINK("https://pubmed.ncbi.nlm.nih.gov/"&amp;C290&amp;"/","Open PubMed")</x:f>
        <x:v>HYPERLINK is not implemented. linkLocation=https://pubmed.ncbi.nlm.nih.gov/20955237/, friendlyName=Open PubMed</x:v>
      </x:c>
    </x:row>
    <x:row r="291">
      <x:c r="A291" s="26" t="str">
        <x:v>PUBMED-20832057</x:v>
      </x:c>
      <x:c r="B291" s="26" t="n">
        <x:v>2010</x:v>
      </x:c>
      <x:c r="C291" s="26" t="str">
        <x:v>20832057</x:v>
      </x:c>
      <x:c r="D291" s="28" t="str">
        <x:v>Attention-deficit/hyperactivity phenotype in mice lacking the cyclin-dependent kinase 5 cofactor p35.</x:v>
      </x:c>
      <x:c r="E291" s="28" t="str">
        <x:v>Primary/contextual journal article</x:v>
      </x:c>
      <x:c r="F291" s="28" t="str">
        <x:v>Development &amp; presentation; Social &amp; structural; Environmental &amp; lifestyle; Treatment &amp; support</x:v>
      </x:c>
      <x:c r="G291" s="28" t="str">
        <x:v>Not specified</x:v>
      </x:c>
      <x:c r="H291" s="28" t="str">
        <x:v>Exclude/incidental</x:v>
      </x:c>
      <x:c r="I291" s="28" t="str">
        <x:v>Animal-only record; retained outside the human-focused core corpus.</x:v>
      </x:c>
      <x:c r="J291" s="38" t="e">
        <x:f>HYPERLINK("https://pubmed.ncbi.nlm.nih.gov/"&amp;C291&amp;"/","Open PubMed")</x:f>
        <x:v>HYPERLINK is not implemented. linkLocation=https://pubmed.ncbi.nlm.nih.gov/20832057/, friendlyName=Open PubMed</x:v>
      </x:c>
    </x:row>
    <x:row r="292">
      <x:c r="A292" s="26" t="str">
        <x:v>PUBMED-20831127</x:v>
      </x:c>
      <x:c r="B292" s="26" t="n">
        <x:v>2010</x:v>
      </x:c>
      <x:c r="C292" s="26" t="str">
        <x:v>20831127</x:v>
      </x:c>
      <x:c r="D292" s="28" t="str">
        <x:v>Increased dental trauma in children with attention deficit hyperactivity disorder treated with methylphenidate--a pilot study.</x:v>
      </x:c>
      <x:c r="E292" s="28" t="str">
        <x:v>Primary/contextual journal article</x:v>
      </x:c>
      <x:c r="F292" s="28" t="str">
        <x:v>Development &amp; presentation; Recognition &amp; diagnosis; Family &amp; education; Social &amp; structural; Treatment &amp; support</x:v>
      </x:c>
      <x:c r="G292" s="28" t="str">
        <x:v>Childhood</x:v>
      </x:c>
      <x:c r="H292" s="28" t="str">
        <x:v>Later specialized</x:v>
      </x:c>
      <x:c r="I292" s="28" t="str">
        <x:v>Direct or strongly ADHD-related record retained for later screening; typically narrower treatment, biomarker, mechanistic, or single-comorbidity focus.</x:v>
      </x:c>
      <x:c r="J292" s="38" t="e">
        <x:f>HYPERLINK("https://pubmed.ncbi.nlm.nih.gov/"&amp;C292&amp;"/","Open PubMed")</x:f>
        <x:v>HYPERLINK is not implemented. linkLocation=https://pubmed.ncbi.nlm.nih.gov/20831127/, friendlyName=Open PubMed</x:v>
      </x:c>
    </x:row>
    <x:row r="293">
      <x:c r="A293" s="26" t="str">
        <x:v>PUBMED-20807070</x:v>
      </x:c>
      <x:c r="B293" s="26" t="n">
        <x:v>2010</x:v>
      </x:c>
      <x:c r="C293" s="26" t="str">
        <x:v>20807070</x:v>
      </x:c>
      <x:c r="D293" s="28" t="str">
        <x:v>The immunobiology of Tourette's disorder, pediatric autoimmune neuropsychiatric disorders associated with Streptococcus, and related disorders: a way forward.</x:v>
      </x:c>
      <x:c r="E293" s="28" t="str">
        <x:v>Evidence synthesis - review</x:v>
      </x:c>
      <x:c r="F293" s="28" t="str">
        <x:v>Development &amp; presentation; Social &amp; structural; Treatment &amp; support</x:v>
      </x:c>
      <x:c r="G293" s="28" t="str">
        <x:v>Childhood</x:v>
      </x:c>
      <x:c r="H293" s="28" t="str">
        <x:v>Exclude/incidental</x:v>
      </x:c>
      <x:c r="I293" s="28" t="str">
        <x:v>ADHD appears peripheral or insufficiently aligned with the requested corpus scope based on accessible metadata/abstract.</x:v>
      </x:c>
      <x:c r="J293" s="38" t="e">
        <x:f>HYPERLINK("https://pubmed.ncbi.nlm.nih.gov/"&amp;C293&amp;"/","Open PubMed")</x:f>
        <x:v>HYPERLINK is not implemented. linkLocation=https://pubmed.ncbi.nlm.nih.gov/20807070/, friendlyName=Open PubMed</x:v>
      </x:c>
    </x:row>
    <x:row r="294">
      <x:c r="A294" s="26" t="str">
        <x:v>PUBMED-21139659</x:v>
      </x:c>
      <x:c r="B294" s="26" t="n">
        <x:v>2010</x:v>
      </x:c>
      <x:c r="C294" s="26" t="str">
        <x:v>21139659</x:v>
      </x:c>
      <x:c r="D294" s="28" t="str">
        <x:v>[Emotional regulation and motivation in children with ADHD].</x:v>
      </x:c>
      <x:c r="E294" s="28" t="str">
        <x:v>Evidence synthesis - review</x:v>
      </x:c>
      <x:c r="F294" s="28" t="str">
        <x:v>Development &amp; presentation; Social &amp; structural; Environmental &amp; lifestyle; Treatment &amp; support</x:v>
      </x:c>
      <x:c r="G294" s="28" t="str">
        <x:v>Childhood</x:v>
      </x:c>
      <x:c r="H294" s="28" t="str">
        <x:v>Later specialized</x:v>
      </x:c>
      <x:c r="I294" s="28" t="str">
        <x:v>Direct or strongly ADHD-related record retained for later screening; typically narrower treatment, biomarker, mechanistic, or single-comorbidity focus.</x:v>
      </x:c>
      <x:c r="J294" s="38" t="e">
        <x:f>HYPERLINK("https://pubmed.ncbi.nlm.nih.gov/"&amp;C294&amp;"/","Open PubMed")</x:f>
        <x:v>HYPERLINK is not implemented. linkLocation=https://pubmed.ncbi.nlm.nih.gov/21139659/, friendlyName=Open PubMed</x:v>
      </x:c>
    </x:row>
    <x:row r="295">
      <x:c r="A295" s="26" t="str">
        <x:v>PUBMED-21287805</x:v>
      </x:c>
      <x:c r="B295" s="26" t="n">
        <x:v>2010</x:v>
      </x:c>
      <x:c r="C295" s="26" t="str">
        <x:v>21287805</x:v>
      </x:c>
      <x:c r="D295" s="28" t="str">
        <x:v>Attention to testing and testing of attention.</x:v>
      </x:c>
      <x:c r="E295" s="28" t="str">
        <x:v>Contextual - editorial/comment</x:v>
      </x:c>
      <x:c r="F295" s="28" t="str">
        <x:v>Development &amp; presentation; Recognition &amp; diagnosis</x:v>
      </x:c>
      <x:c r="G295" s="28" t="str">
        <x:v>Childhood</x:v>
      </x:c>
      <x:c r="H295" s="28" t="str">
        <x:v>Later specialized</x:v>
      </x:c>
      <x:c r="I295" s="28" t="str">
        <x:v>Direct or strongly ADHD-related record retained for later screening; typically narrower treatment, biomarker, mechanistic, or single-comorbidity focus.</x:v>
      </x:c>
      <x:c r="J295" s="38" t="e">
        <x:f>HYPERLINK("https://pubmed.ncbi.nlm.nih.gov/"&amp;C295&amp;"/","Open PubMed")</x:f>
        <x:v>HYPERLINK is not implemented. linkLocation=https://pubmed.ncbi.nlm.nih.gov/21287805/, friendlyName=Open PubMed</x:v>
      </x:c>
    </x:row>
    <x:row r="296">
      <x:c r="A296" s="26" t="str">
        <x:v>PUBMED-20807066</x:v>
      </x:c>
      <x:c r="B296" s="26" t="n">
        <x:v>2010</x:v>
      </x:c>
      <x:c r="C296" s="26" t="str">
        <x:v>20807066</x:v>
      </x:c>
      <x:c r="D296" s="28" t="str">
        <x:v>Testing tic suppression: comparing the effects of dexmethylphenidate to no medication in children and adolescents with attention-deficit/hyperactivity disorder and Tourette's disorder.</x:v>
      </x:c>
      <x:c r="E296" s="28" t="str">
        <x:v>Primary study - randomized controlled trial</x:v>
      </x:c>
      <x:c r="F296" s="28" t="str">
        <x:v>Development &amp; presentation; Social &amp; structural; Treatment &amp; support</x:v>
      </x:c>
      <x:c r="G296" s="28" t="str">
        <x:v>Childhood; Adolescence</x:v>
      </x:c>
      <x:c r="H296" s="28" t="str">
        <x:v>Later specialized</x:v>
      </x:c>
      <x:c r="I296" s="28" t="str">
        <x:v>Direct or strongly ADHD-related record retained for later screening; typically narrower treatment, biomarker, mechanistic, or single-comorbidity focus.</x:v>
      </x:c>
      <x:c r="J296" s="38" t="e">
        <x:f>HYPERLINK("https://pubmed.ncbi.nlm.nih.gov/"&amp;C296&amp;"/","Open PubMed")</x:f>
        <x:v>HYPERLINK is not implemented. linkLocation=https://pubmed.ncbi.nlm.nih.gov/20807066/, friendlyName=Open PubMed</x:v>
      </x:c>
    </x:row>
    <x:row r="297">
      <x:c r="A297" s="26" t="str">
        <x:v>PUBMED-21312292</x:v>
      </x:c>
      <x:c r="B297" s="26" t="n">
        <x:v>2010</x:v>
      </x:c>
      <x:c r="C297" s="26" t="str">
        <x:v>21312292</x:v>
      </x:c>
      <x:c r="D297" s="28" t="str">
        <x:v>Efficacy of reboxetine in adults with attention-deficit/hyperactivity disorder: a randomized, placebo-controlled clinical trial.</x:v>
      </x:c>
      <x:c r="E297" s="28" t="str">
        <x:v>Primary study - randomized controlled trial</x:v>
      </x:c>
      <x:c r="F297" s="28" t="str">
        <x:v>Development &amp; presentation; Recognition &amp; diagnosis; Social &amp; structural; Environmental &amp; lifestyle; Treatment &amp; support; Life outcomes &amp; lived experience</x:v>
      </x:c>
      <x:c r="G297" s="28" t="str">
        <x:v>Adulthood</x:v>
      </x:c>
      <x:c r="H297" s="28" t="str">
        <x:v>Later specialized</x:v>
      </x:c>
      <x:c r="I297" s="28" t="str">
        <x:v>Direct or strongly ADHD-related record retained for later screening; typically narrower treatment, biomarker, mechanistic, or single-comorbidity focus.</x:v>
      </x:c>
      <x:c r="J297" s="38" t="e">
        <x:f>HYPERLINK("https://pubmed.ncbi.nlm.nih.gov/"&amp;C297&amp;"/","Open PubMed")</x:f>
        <x:v>HYPERLINK is not implemented. linkLocation=https://pubmed.ncbi.nlm.nih.gov/21312292/, friendlyName=Open PubMed</x:v>
      </x:c>
    </x:row>
    <x:row r="298">
      <x:c r="A298" s="26" t="str">
        <x:v>PUBMED-20702071</x:v>
      </x:c>
      <x:c r="B298" s="26" t="n">
        <x:v>2010</x:v>
      </x:c>
      <x:c r="C298" s="26" t="str">
        <x:v>20702071</x:v>
      </x:c>
      <x:c r="D298" s="28" t="str">
        <x:v>Structural and functional imaging approaches in attention deficit/hyperactivity disorder: does the temporal lobe play a key role?</x:v>
      </x:c>
      <x:c r="E298" s="28" t="str">
        <x:v>Primary/contextual journal article</x:v>
      </x:c>
      <x:c r="F298" s="28" t="str">
        <x:v>Development &amp; presentation; Social &amp; structural</x:v>
      </x:c>
      <x:c r="G298" s="28" t="str">
        <x:v>Childhood; Adolescence</x:v>
      </x:c>
      <x:c r="H298" s="28" t="str">
        <x:v>Later specialized</x:v>
      </x:c>
      <x:c r="I298" s="28" t="str">
        <x:v>Direct or strongly ADHD-related record retained for later screening; typically narrower treatment, biomarker, mechanistic, or single-comorbidity focus.</x:v>
      </x:c>
      <x:c r="J298" s="38" t="e">
        <x:f>HYPERLINK("https://pubmed.ncbi.nlm.nih.gov/"&amp;C298&amp;"/","Open PubMed")</x:f>
        <x:v>HYPERLINK is not implemented. linkLocation=https://pubmed.ncbi.nlm.nih.gov/20702071/, friendlyName=Open PubMed</x:v>
      </x:c>
    </x:row>
    <x:row r="299">
      <x:c r="A299" s="26" t="str">
        <x:v>PUBMED-20862695</x:v>
      </x:c>
      <x:c r="B299" s="26" t="n">
        <x:v>2010</x:v>
      </x:c>
      <x:c r="C299" s="26" t="str">
        <x:v>20862695</x:v>
      </x:c>
      <x:c r="D299" s="28" t="str">
        <x:v>Polymorphisms of the steroid sulfatase (STS) gene are associated with attention deficit hyperactivity disorder and influence brain tissue mRNA expression.</x:v>
      </x:c>
      <x:c r="E299" s="28" t="str">
        <x:v>Primary/contextual journal article</x:v>
      </x:c>
      <x:c r="F299" s="28" t="str">
        <x:v>Development &amp; presentation; Family &amp; education; Social &amp; structural</x:v>
      </x:c>
      <x:c r="G299" s="28" t="str">
        <x:v>Childhood; Adolescence; Adulthood</x:v>
      </x:c>
      <x:c r="H299" s="28" t="str">
        <x:v>Later specialized</x:v>
      </x:c>
      <x:c r="I299" s="28" t="str">
        <x:v>Direct or strongly ADHD-related record retained for later screening; typically narrower treatment, biomarker, mechanistic, or single-comorbidity focus.</x:v>
      </x:c>
      <x:c r="J299" s="38" t="e">
        <x:f>HYPERLINK("https://pubmed.ncbi.nlm.nih.gov/"&amp;C299&amp;"/","Open PubMed")</x:f>
        <x:v>HYPERLINK is not implemented. linkLocation=https://pubmed.ncbi.nlm.nih.gov/20862695/, friendlyName=Open PubMed</x:v>
      </x:c>
    </x:row>
    <x:row r="300">
      <x:c r="A300" s="26" t="str">
        <x:v>PUBMED-21192797</x:v>
      </x:c>
      <x:c r="B300" s="26" t="n">
        <x:v>2010</x:v>
      </x:c>
      <x:c r="C300" s="26" t="str">
        <x:v>21192797</x:v>
      </x:c>
      <x:c r="D300" s="28" t="str">
        <x:v>Study protocol: the sleeping sound with attention-deficit/hyperactivity disorder project.</x:v>
      </x:c>
      <x:c r="E300" s="28" t="str">
        <x:v>Primary/contextual journal article</x:v>
      </x:c>
      <x:c r="F300" s="28" t="str">
        <x:v>Development &amp; presentation; Recognition &amp; diagnosis; Family &amp; education; Social &amp; structural; Environmental &amp; lifestyle; Treatment &amp; support; Life outcomes &amp; lived experience</x:v>
      </x:c>
      <x:c r="G300" s="28" t="str">
        <x:v>Childhood</x:v>
      </x:c>
      <x:c r="H300" s="28" t="str">
        <x:v>Later specialized</x:v>
      </x:c>
      <x:c r="I300" s="28" t="str">
        <x:v>Direct or strongly ADHD-related record retained for later screening; typically narrower treatment, biomarker, mechanistic, or single-comorbidity focus.</x:v>
      </x:c>
      <x:c r="J300" s="38" t="e">
        <x:f>HYPERLINK("https://pubmed.ncbi.nlm.nih.gov/"&amp;C300&amp;"/","Open PubMed")</x:f>
        <x:v>HYPERLINK is not implemented. linkLocation=https://pubmed.ncbi.nlm.nih.gov/21192797/, friendlyName=Open PubMed</x:v>
      </x:c>
    </x:row>
    <x:row r="301">
      <x:c r="A301" s="26" t="str">
        <x:v>PUBMED-20826305</x:v>
      </x:c>
      <x:c r="B301" s="26" t="n">
        <x:v>2010</x:v>
      </x:c>
      <x:c r="C301" s="26" t="str">
        <x:v>20826305</x:v>
      </x:c>
      <x:c r="D301" s="28" t="str">
        <x:v>Structural MRI of pediatric brain development: what have we learned and where are we going?</x:v>
      </x:c>
      <x:c r="E301" s="28" t="str">
        <x:v>Evidence synthesis - review</x:v>
      </x:c>
      <x:c r="F301" s="28" t="str">
        <x:v>Development &amp; presentation; Recognition &amp; diagnosis; Social &amp; structural; Environmental &amp; lifestyle</x:v>
      </x:c>
      <x:c r="G301" s="28" t="str">
        <x:v>Childhood</x:v>
      </x:c>
      <x:c r="H301" s="28" t="str">
        <x:v>Exclude/incidental</x:v>
      </x:c>
      <x:c r="I301" s="28" t="str">
        <x:v>ADHD appears peripheral or insufficiently aligned with the requested corpus scope based on accessible metadata/abstract.</x:v>
      </x:c>
      <x:c r="J301" s="38" t="e">
        <x:f>HYPERLINK("https://pubmed.ncbi.nlm.nih.gov/"&amp;C301&amp;"/","Open PubMed")</x:f>
        <x:v>HYPERLINK is not implemented. linkLocation=https://pubmed.ncbi.nlm.nih.gov/20826305/, friendlyName=Open PubMed</x:v>
      </x:c>
    </x:row>
    <x:row r="302">
      <x:c r="A302" s="26" t="str">
        <x:v>PUBMED-20972277</x:v>
      </x:c>
      <x:c r="B302" s="26" t="n">
        <x:v>2010</x:v>
      </x:c>
      <x:c r="C302" s="26" t="str">
        <x:v>20972277</x:v>
      </x:c>
      <x:c r="D302" s="28" t="str">
        <x:v>Quantative EEG during baseline and various cognitive tasks in children with attention deficit/hyperactivity disorder.</x:v>
      </x:c>
      <x:c r="E302" s="28" t="str">
        <x:v>Primary/contextual journal article</x:v>
      </x:c>
      <x:c r="F302" s="28" t="str">
        <x:v>Development &amp; presentation; Recognition &amp; diagnosis; Family &amp; education; Social &amp; structural</x:v>
      </x:c>
      <x:c r="G302" s="28" t="str">
        <x:v>Childhood</x:v>
      </x:c>
      <x:c r="H302" s="28" t="str">
        <x:v>Later specialized</x:v>
      </x:c>
      <x:c r="I302" s="28" t="str">
        <x:v>Direct or strongly ADHD-related record retained for later screening; typically narrower treatment, biomarker, mechanistic, or single-comorbidity focus.</x:v>
      </x:c>
      <x:c r="J302" s="38" t="e">
        <x:f>HYPERLINK("https://pubmed.ncbi.nlm.nih.gov/"&amp;C302&amp;"/","Open PubMed")</x:f>
        <x:v>HYPERLINK is not implemented. linkLocation=https://pubmed.ncbi.nlm.nih.gov/20972277/, friendlyName=Open PubMed</x:v>
      </x:c>
    </x:row>
    <x:row r="303">
      <x:c r="A303" s="26" t="str">
        <x:v>PUBMED-21041617</x:v>
      </x:c>
      <x:c r="B303" s="26" t="n">
        <x:v>2010</x:v>
      </x:c>
      <x:c r="C303" s="26" t="str">
        <x:v>21041617</x:v>
      </x:c>
      <x:c r="D303" s="28" t="str">
        <x:v>Separation of cognitive impairments in attention-deficit/hyperactivity disorder into 2 familial factors.</x:v>
      </x:c>
      <x:c r="E303" s="28" t="str">
        <x:v>Primary/contextual journal article</x:v>
      </x:c>
      <x:c r="F303" s="28" t="str">
        <x:v>Development &amp; presentation; Recognition &amp; diagnosis; Family &amp; education; Social &amp; structural; Life outcomes &amp; lived experience</x:v>
      </x:c>
      <x:c r="G303" s="28" t="str">
        <x:v>Childhood; Adolescence</x:v>
      </x:c>
      <x:c r="H303" s="28" t="str">
        <x:v>Later specialized</x:v>
      </x:c>
      <x:c r="I303" s="28" t="str">
        <x:v>Direct or strongly ADHD-related record retained for later screening; typically narrower treatment, biomarker, mechanistic, or single-comorbidity focus.</x:v>
      </x:c>
      <x:c r="J303" s="38" t="e">
        <x:f>HYPERLINK("https://pubmed.ncbi.nlm.nih.gov/"&amp;C303&amp;"/","Open PubMed")</x:f>
        <x:v>HYPERLINK is not implemented. linkLocation=https://pubmed.ncbi.nlm.nih.gov/21041617/, friendlyName=Open PubMed</x:v>
      </x:c>
    </x:row>
    <x:row r="304">
      <x:c r="A304" s="26" t="str">
        <x:v>PUBMED-20736997</x:v>
      </x:c>
      <x:c r="B304" s="26" t="n">
        <x:v>2010</x:v>
      </x:c>
      <x:c r="C304" s="26" t="str">
        <x:v>20736997</x:v>
      </x:c>
      <x:c r="D304" s="28" t="str">
        <x:v>DAT1 and COMT effects on delay discounting and trait impulsivity in male adolescents with attention deficit/hyperactivity disorder and healthy controls.</x:v>
      </x:c>
      <x:c r="E304" s="28" t="str">
        <x:v>Primary/contextual journal article</x:v>
      </x:c>
      <x:c r="F304" s="28" t="str">
        <x:v>Development &amp; presentation</x:v>
      </x:c>
      <x:c r="G304" s="28" t="str">
        <x:v>Childhood; Adolescence; Adulthood</x:v>
      </x:c>
      <x:c r="H304" s="28" t="str">
        <x:v>Later specialized</x:v>
      </x:c>
      <x:c r="I304" s="28" t="str">
        <x:v>Direct or strongly ADHD-related record retained for later screening; typically narrower treatment, biomarker, mechanistic, or single-comorbidity focus.</x:v>
      </x:c>
      <x:c r="J304" s="38" t="e">
        <x:f>HYPERLINK("https://pubmed.ncbi.nlm.nih.gov/"&amp;C304&amp;"/","Open PubMed")</x:f>
        <x:v>HYPERLINK is not implemented. linkLocation=https://pubmed.ncbi.nlm.nih.gov/20736997/, friendlyName=Open PubMed</x:v>
      </x:c>
    </x:row>
    <x:row r="305">
      <x:c r="A305" s="26" t="str">
        <x:v>PUBMED-20979573</x:v>
      </x:c>
      <x:c r="B305" s="26" t="n">
        <x:v>2010</x:v>
      </x:c>
      <x:c r="C305" s="26" t="str">
        <x:v>20979573</x:v>
      </x:c>
      <x:c r="D305" s="28" t="str">
        <x:v>Lisdexamfetamine dimesylate: a new option in stimulant treatment for ADHD.</x:v>
      </x:c>
      <x:c r="E305" s="28" t="str">
        <x:v>Evidence synthesis - review</x:v>
      </x:c>
      <x:c r="F305" s="28" t="str">
        <x:v>Development &amp; presentation; Family &amp; education; Social &amp; structural; Treatment &amp; support; Life outcomes &amp; lived experience</x:v>
      </x:c>
      <x:c r="G305" s="28" t="str">
        <x:v>Childhood; Adulthood</x:v>
      </x:c>
      <x:c r="H305" s="28" t="str">
        <x:v>Later specialized</x:v>
      </x:c>
      <x:c r="I305" s="28" t="str">
        <x:v>Direct or strongly ADHD-related record retained for later screening; typically narrower treatment, biomarker, mechanistic, or single-comorbidity focus.</x:v>
      </x:c>
      <x:c r="J305" s="38" t="e">
        <x:f>HYPERLINK("https://pubmed.ncbi.nlm.nih.gov/"&amp;C305&amp;"/","Open PubMed")</x:f>
        <x:v>HYPERLINK is not implemented. linkLocation=https://pubmed.ncbi.nlm.nih.gov/20979573/, friendlyName=Open PubMed</x:v>
      </x:c>
    </x:row>
    <x:row r="306">
      <x:c r="A306" s="26" t="str">
        <x:v>PUBMED-20815868</x:v>
      </x:c>
      <x:c r="B306" s="26" t="n">
        <x:v>2010</x:v>
      </x:c>
      <x:c r="C306" s="26" t="str">
        <x:v>20815868</x:v>
      </x:c>
      <x:c r="D306" s="28" t="str">
        <x:v>European consensus statement on diagnosis and treatment of adult ADHD: The European Network Adult ADHD.</x:v>
      </x:c>
      <x:c r="E306" s="28" t="str">
        <x:v>Evidence synthesis - review</x:v>
      </x:c>
      <x:c r="F306" s="28" t="str">
        <x:v>Development &amp; presentation; Recognition &amp; diagnosis; Social &amp; structural; Environmental &amp; lifestyle; Treatment &amp; support</x:v>
      </x:c>
      <x:c r="G306" s="28" t="str">
        <x:v>Childhood; Adolescence; Adulthood</x:v>
      </x:c>
      <x:c r="H306" s="28" t="str">
        <x:v>Later specialized</x:v>
      </x:c>
      <x:c r="I306" s="28" t="str">
        <x:v>Direct or strongly ADHD-related record retained for later screening; typically narrower treatment, biomarker, mechanistic, or single-comorbidity focus.</x:v>
      </x:c>
      <x:c r="J306" s="38" t="e">
        <x:f>HYPERLINK("https://pubmed.ncbi.nlm.nih.gov/"&amp;C306&amp;"/","Open PubMed")</x:f>
        <x:v>HYPERLINK is not implemented. linkLocation=https://pubmed.ncbi.nlm.nih.gov/20815868/, friendlyName=Open PubMed</x:v>
      </x:c>
    </x:row>
    <x:row r="307">
      <x:c r="A307" s="26" t="str">
        <x:v>PUBMED-20855051</x:v>
      </x:c>
      <x:c r="B307" s="26" t="n">
        <x:v>2010</x:v>
      </x:c>
      <x:c r="C307" s="26" t="str">
        <x:v>20855051</x:v>
      </x:c>
      <x:c r="D307" s="28" t="str">
        <x:v>Emotion processing influences working memory circuits in pediatric bipolar disorder and attention-deficit/hyperactivity disorder.</x:v>
      </x:c>
      <x:c r="E307" s="28" t="str">
        <x:v>Primary/contextual journal article</x:v>
      </x:c>
      <x:c r="F307" s="28" t="str">
        <x:v>Development &amp; presentation; Recognition &amp; diagnosis; Social &amp; structural</x:v>
      </x:c>
      <x:c r="G307" s="28" t="str">
        <x:v>Childhood; Adolescence</x:v>
      </x:c>
      <x:c r="H307" s="28" t="str">
        <x:v>Later specialized</x:v>
      </x:c>
      <x:c r="I307" s="28" t="str">
        <x:v>Direct or strongly ADHD-related record retained for later screening; typically narrower treatment, biomarker, mechanistic, or single-comorbidity focus.</x:v>
      </x:c>
      <x:c r="J307" s="38" t="e">
        <x:f>HYPERLINK("https://pubmed.ncbi.nlm.nih.gov/"&amp;C307&amp;"/","Open PubMed")</x:f>
        <x:v>HYPERLINK is not implemented. linkLocation=https://pubmed.ncbi.nlm.nih.gov/20855051/, friendlyName=Open PubMed</x:v>
      </x:c>
    </x:row>
    <x:row r="308">
      <x:c r="A308" s="26" t="str">
        <x:v>PUBMED-20977516</x:v>
      </x:c>
      <x:c r="B308" s="26" t="n">
        <x:v>2010</x:v>
      </x:c>
      <x:c r="C308" s="26" t="str">
        <x:v>20977516</x:v>
      </x:c>
      <x:c r="D308" s="28" t="str">
        <x:v>The association between repetitive behaviours, impulsivity and hyperactivity in people with intellectual disability.</x:v>
      </x:c>
      <x:c r="E308" s="28" t="str">
        <x:v>Primary/contextual journal article</x:v>
      </x:c>
      <x:c r="F308" s="28" t="str">
        <x:v>Development &amp; presentation; Recognition &amp; diagnosis; Family &amp; education; Social &amp; structural; Life outcomes &amp; lived experience</x:v>
      </x:c>
      <x:c r="G308" s="28" t="str">
        <x:v>Childhood; Adolescence; Adulthood</x:v>
      </x:c>
      <x:c r="H308" s="28" t="str">
        <x:v>Later specialized</x:v>
      </x:c>
      <x:c r="I308" s="28" t="str">
        <x:v>Direct or strongly ADHD-related record retained for later screening; typically narrower treatment, biomarker, mechanistic, or single-comorbidity focus.</x:v>
      </x:c>
      <x:c r="J308" s="38" t="e">
        <x:f>HYPERLINK("https://pubmed.ncbi.nlm.nih.gov/"&amp;C308&amp;"/","Open PubMed")</x:f>
        <x:v>HYPERLINK is not implemented. linkLocation=https://pubmed.ncbi.nlm.nih.gov/20977516/, friendlyName=Open PubMed</x:v>
      </x:c>
    </x:row>
    <x:row r="309">
      <x:c r="A309" s="26" t="str">
        <x:v>PUBMED-21176203</x:v>
      </x:c>
      <x:c r="B309" s="26" t="n">
        <x:v>2010</x:v>
      </x:c>
      <x:c r="C309" s="26" t="str">
        <x:v>21176203</x:v>
      </x:c>
      <x:c r="D309" s="28" t="str">
        <x:v>Attention Deficit Hyperactivity Disorder (ADHD) among longer-term prison inmates is a prevalent, persistent and disabling disorder.</x:v>
      </x:c>
      <x:c r="E309" s="28" t="str">
        <x:v>Primary study - randomized controlled trial</x:v>
      </x:c>
      <x:c r="F309" s="28" t="str">
        <x:v>Development &amp; presentation; Recognition &amp; diagnosis; Family &amp; education; Social &amp; structural; Treatment &amp; support; Life outcomes &amp; lived experience</x:v>
      </x:c>
      <x:c r="G309" s="28" t="str">
        <x:v>Childhood; Adulthood</x:v>
      </x:c>
      <x:c r="H309" s="28" t="str">
        <x:v>Later specialized</x:v>
      </x:c>
      <x:c r="I309" s="28" t="str">
        <x:v>Direct or strongly ADHD-related record retained for later screening; typically narrower treatment, biomarker, mechanistic, or single-comorbidity focus.</x:v>
      </x:c>
      <x:c r="J309" s="38" t="e">
        <x:f>HYPERLINK("https://pubmed.ncbi.nlm.nih.gov/"&amp;C309&amp;"/","Open PubMed")</x:f>
        <x:v>HYPERLINK is not implemented. linkLocation=https://pubmed.ncbi.nlm.nih.gov/21176203/, friendlyName=Open PubMed</x:v>
      </x:c>
    </x:row>
    <x:row r="310">
      <x:c r="A310" s="26" t="str">
        <x:v>PUBMED-20799549</x:v>
      </x:c>
      <x:c r="B310" s="26" t="n">
        <x:v>2010</x:v>
      </x:c>
      <x:c r="C310" s="26" t="str">
        <x:v>20799549</x:v>
      </x:c>
      <x:c r="D310" s="28" t="str">
        <x:v>Attention deficit-hyperactivity symptoms among Palestinian children.</x:v>
      </x:c>
      <x:c r="E310" s="28" t="str">
        <x:v>Primary/contextual journal article</x:v>
      </x:c>
      <x:c r="F310" s="28" t="str">
        <x:v>Development &amp; presentation; Recognition &amp; diagnosis; Family &amp; education; Social &amp; structural</x:v>
      </x:c>
      <x:c r="G310" s="28" t="str">
        <x:v>Childhood; Adolescence</x:v>
      </x:c>
      <x:c r="H310" s="28" t="str">
        <x:v>Later specialized</x:v>
      </x:c>
      <x:c r="I310" s="28" t="str">
        <x:v>Direct or strongly ADHD-related record retained for later screening; typically narrower treatment, biomarker, mechanistic, or single-comorbidity focus.</x:v>
      </x:c>
      <x:c r="J310" s="38" t="e">
        <x:f>HYPERLINK("https://pubmed.ncbi.nlm.nih.gov/"&amp;C310&amp;"/","Open PubMed")</x:f>
        <x:v>HYPERLINK is not implemented. linkLocation=https://pubmed.ncbi.nlm.nih.gov/20799549/, friendlyName=Open PubMed</x:v>
      </x:c>
    </x:row>
    <x:row r="311">
      <x:c r="A311" s="26" t="str">
        <x:v>PUBMED-20929549</x:v>
      </x:c>
      <x:c r="B311" s="26" t="n">
        <x:v>2010</x:v>
      </x:c>
      <x:c r="C311" s="26" t="str">
        <x:v>20929549</x:v>
      </x:c>
      <x:c r="D311" s="28" t="str">
        <x:v>Possible association of norepinephrine transporter -3081(A/T) polymorphism with methylphenidate response in attention deficit hyperactivity disorder.</x:v>
      </x:c>
      <x:c r="E311" s="28" t="str">
        <x:v>Primary/contextual journal article</x:v>
      </x:c>
      <x:c r="F311" s="28" t="str">
        <x:v>Development &amp; presentation; Recognition &amp; diagnosis; Social &amp; structural; Treatment &amp; support; Life outcomes &amp; lived experience</x:v>
      </x:c>
      <x:c r="G311" s="28" t="str">
        <x:v>Childhood; Adolescence</x:v>
      </x:c>
      <x:c r="H311" s="28" t="str">
        <x:v>Later specialized</x:v>
      </x:c>
      <x:c r="I311" s="28" t="str">
        <x:v>Direct or strongly ADHD-related record retained for later screening; typically narrower treatment, biomarker, mechanistic, or single-comorbidity focus.</x:v>
      </x:c>
      <x:c r="J311" s="38" t="e">
        <x:f>HYPERLINK("https://pubmed.ncbi.nlm.nih.gov/"&amp;C311&amp;"/","Open PubMed")</x:f>
        <x:v>HYPERLINK is not implemented. linkLocation=https://pubmed.ncbi.nlm.nih.gov/20929549/, friendlyName=Open PubMed</x:v>
      </x:c>
    </x:row>
    <x:row r="312">
      <x:c r="A312" s="26" t="str">
        <x:v>PUBMED-20854579</x:v>
      </x:c>
      <x:c r="B312" s="26" t="n">
        <x:v>2010</x:v>
      </x:c>
      <x:c r="C312" s="26" t="str">
        <x:v>20854579</x:v>
      </x:c>
      <x:c r="D312" s="28" t="str">
        <x:v>Comparison of the play of children with attention deficit hyperactivity disorder by subtypes.</x:v>
      </x:c>
      <x:c r="E312" s="28" t="str">
        <x:v>Primary/contextual journal article</x:v>
      </x:c>
      <x:c r="F312" s="28" t="str">
        <x:v>Development &amp; presentation; Recognition &amp; diagnosis; Family &amp; education; Social &amp; structural; Environmental &amp; lifestyle</x:v>
      </x:c>
      <x:c r="G312" s="28" t="str">
        <x:v>Childhood</x:v>
      </x:c>
      <x:c r="H312" s="28" t="str">
        <x:v>Later specialized</x:v>
      </x:c>
      <x:c r="I312" s="28" t="str">
        <x:v>Direct or strongly ADHD-related record retained for later screening; typically narrower treatment, biomarker, mechanistic, or single-comorbidity focus.</x:v>
      </x:c>
      <x:c r="J312" s="38" t="e">
        <x:f>HYPERLINK("https://pubmed.ncbi.nlm.nih.gov/"&amp;C312&amp;"/","Open PubMed")</x:f>
        <x:v>HYPERLINK is not implemented. linkLocation=https://pubmed.ncbi.nlm.nih.gov/20854579/, friendlyName=Open PubMed</x:v>
      </x:c>
    </x:row>
    <x:row r="313">
      <x:c r="A313" s="26" t="str">
        <x:v>PUBMED-21432591</x:v>
      </x:c>
      <x:c r="B313" s="26" t="n">
        <x:v>2010</x:v>
      </x:c>
      <x:c r="C313" s="26" t="str">
        <x:v>21432591</x:v>
      </x:c>
      <x:c r="D313" s="28" t="str">
        <x:v>Therapy-relevant factors in adult ADHD from a cognitive behavioural perspective.</x:v>
      </x:c>
      <x:c r="E313" s="28" t="str">
        <x:v>Evidence synthesis - review</x:v>
      </x:c>
      <x:c r="F313" s="28" t="str">
        <x:v>Development &amp; presentation; Social &amp; structural; Environmental &amp; lifestyle; Treatment &amp; support; Life outcomes &amp; lived experience</x:v>
      </x:c>
      <x:c r="G313" s="28" t="str">
        <x:v>Childhood; Adulthood</x:v>
      </x:c>
      <x:c r="H313" s="28" t="str">
        <x:v>Batch 1 core</x:v>
      </x:c>
      <x:c r="I313" s="28" t="str">
        <x:v>Direct ADHD evidence synthesis/guideline with broad multi-topic relevance.</x:v>
      </x:c>
      <x:c r="J313" s="38" t="e">
        <x:f>HYPERLINK("https://pubmed.ncbi.nlm.nih.gov/"&amp;C313&amp;"/","Open PubMed")</x:f>
        <x:v>HYPERLINK is not implemented. linkLocation=https://pubmed.ncbi.nlm.nih.gov/21432591/, friendlyName=Open PubMed</x:v>
      </x:c>
    </x:row>
    <x:row r="314">
      <x:c r="A314" s="26" t="str">
        <x:v>PUBMED-20806988</x:v>
      </x:c>
      <x:c r="B314" s="26" t="n">
        <x:v>2010</x:v>
      </x:c>
      <x:c r="C314" s="26" t="str">
        <x:v>20806988</x:v>
      </x:c>
      <x:c r="D314" s="28" t="str">
        <x:v>Effects of guanfacine extended release on oppositional symptoms in children aged 6-12 years with attention-deficit hyperactivity disorder and oppositional symptoms: a randomized, double-blind, placebo-controlled trial.</x:v>
      </x:c>
      <x:c r="E314" s="28" t="str">
        <x:v>Primary study - randomized controlled trial</x:v>
      </x:c>
      <x:c r="F314" s="28" t="str">
        <x:v>Development &amp; presentation; Recognition &amp; diagnosis; Family &amp; education; Social &amp; structural; Treatment &amp; support; Life outcomes &amp; lived experience</x:v>
      </x:c>
      <x:c r="G314" s="28" t="str">
        <x:v>Childhood</x:v>
      </x:c>
      <x:c r="H314" s="28" t="str">
        <x:v>Later specialized</x:v>
      </x:c>
      <x:c r="I314" s="28" t="str">
        <x:v>Direct or strongly ADHD-related record retained for later screening; typically narrower treatment, biomarker, mechanistic, or single-comorbidity focus.</x:v>
      </x:c>
      <x:c r="J314" s="38" t="e">
        <x:f>HYPERLINK("https://pubmed.ncbi.nlm.nih.gov/"&amp;C314&amp;"/","Open PubMed")</x:f>
        <x:v>HYPERLINK is not implemented. linkLocation=https://pubmed.ncbi.nlm.nih.gov/20806988/, friendlyName=Open PubMed</x:v>
      </x:c>
    </x:row>
    <x:row r="315">
      <x:c r="A315" s="26" t="str">
        <x:v>PUBMED-20817551</x:v>
      </x:c>
      <x:c r="B315" s="26" t="n">
        <x:v>2010</x:v>
      </x:c>
      <x:c r="C315" s="26" t="str">
        <x:v>20817551</x:v>
      </x:c>
      <x:c r="D315" s="28" t="str">
        <x:v>Sleep disorders and daytime sleepiness in children with attention-deficit/hyperactivity disorder: a two-night polysomnographic study with a multiple sleep latency test.</x:v>
      </x:c>
      <x:c r="E315" s="28" t="str">
        <x:v>Primary study - case-control</x:v>
      </x:c>
      <x:c r="F315" s="28" t="str">
        <x:v>Development &amp; presentation; Recognition &amp; diagnosis; Family &amp; education; Social &amp; structural; Environmental &amp; lifestyle; Treatment &amp; support</x:v>
      </x:c>
      <x:c r="G315" s="28" t="str">
        <x:v>Childhood</x:v>
      </x:c>
      <x:c r="H315" s="28" t="str">
        <x:v>Batch 1 core</x:v>
      </x:c>
      <x:c r="I315" s="28" t="str">
        <x:v>Direct ADHD primary study on diagnosis, family/education, structural conditions, lived experience/outcomes, or environment/lifestyle.</x:v>
      </x:c>
      <x:c r="J315" s="38" t="e">
        <x:f>HYPERLINK("https://pubmed.ncbi.nlm.nih.gov/"&amp;C315&amp;"/","Open PubMed")</x:f>
        <x:v>HYPERLINK is not implemented. linkLocation=https://pubmed.ncbi.nlm.nih.gov/20817551/, friendlyName=Open PubMed</x:v>
      </x:c>
    </x:row>
    <x:row r="316">
      <x:c r="A316" s="26" t="str">
        <x:v>PUBMED-21358918</x:v>
      </x:c>
      <x:c r="B316" s="26" t="n">
        <x:v>2010</x:v>
      </x:c>
      <x:c r="C316" s="26" t="str">
        <x:v>21358918</x:v>
      </x:c>
      <x:c r="D316" s="28" t="str">
        <x:v>Use of peer-mediated intervention in children with attention deficit hyperactivity disorder.</x:v>
      </x:c>
      <x:c r="E316" s="28" t="str">
        <x:v>Primary/contextual journal article</x:v>
      </x:c>
      <x:c r="F316" s="28" t="str">
        <x:v>Development &amp; presentation; Recognition &amp; diagnosis; Family &amp; education; Social &amp; structural</x:v>
      </x:c>
      <x:c r="G316" s="28" t="str">
        <x:v>Childhood</x:v>
      </x:c>
      <x:c r="H316" s="28" t="str">
        <x:v>Later specialized</x:v>
      </x:c>
      <x:c r="I316" s="28" t="str">
        <x:v>Direct or strongly ADHD-related record retained for later screening; typically narrower treatment, biomarker, mechanistic, or single-comorbidity focus.</x:v>
      </x:c>
      <x:c r="J316" s="38" t="e">
        <x:f>HYPERLINK("https://pubmed.ncbi.nlm.nih.gov/"&amp;C316&amp;"/","Open PubMed")</x:f>
        <x:v>HYPERLINK is not implemented. linkLocation=https://pubmed.ncbi.nlm.nih.gov/21358918/, friendlyName=Open PubMed</x:v>
      </x:c>
    </x:row>
    <x:row r="317">
      <x:c r="A317" s="26" t="str">
        <x:v>PUBMED-21189809</x:v>
      </x:c>
      <x:c r="B317" s="26" t="n">
        <x:v>2010</x:v>
      </x:c>
      <x:c r="C317" s="26" t="str">
        <x:v>21189809</x:v>
      </x:c>
      <x:c r="D317" s="28" t="str">
        <x:v>Fragile X syndrome and associated disorders.</x:v>
      </x:c>
      <x:c r="E317" s="28" t="str">
        <x:v>Evidence synthesis - review</x:v>
      </x:c>
      <x:c r="F317" s="28" t="str">
        <x:v>Development &amp; presentation; Social &amp; structural; Treatment &amp; support</x:v>
      </x:c>
      <x:c r="G317" s="28" t="str">
        <x:v>Childhood</x:v>
      </x:c>
      <x:c r="H317" s="28" t="str">
        <x:v>Exclude/incidental</x:v>
      </x:c>
      <x:c r="I317" s="28" t="str">
        <x:v>ADHD appears peripheral or insufficiently aligned with the requested corpus scope based on accessible metadata/abstract.</x:v>
      </x:c>
      <x:c r="J317" s="38" t="e">
        <x:f>HYPERLINK("https://pubmed.ncbi.nlm.nih.gov/"&amp;C317&amp;"/","Open PubMed")</x:f>
        <x:v>HYPERLINK is not implemented. linkLocation=https://pubmed.ncbi.nlm.nih.gov/21189809/, friendlyName=Open PubMed</x:v>
      </x:c>
    </x:row>
    <x:row r="318">
      <x:c r="A318" s="26" t="str">
        <x:v>PUBMED-21432604</x:v>
      </x:c>
      <x:c r="B318" s="26" t="n">
        <x:v>2010</x:v>
      </x:c>
      <x:c r="C318" s="26" t="str">
        <x:v>21432604</x:v>
      </x:c>
      <x:c r="D318" s="28" t="str">
        <x:v>Self-perception of self-regulatory skills in children with attention-deficit/hyperactivity disorder aged 8-10 years.</x:v>
      </x:c>
      <x:c r="E318" s="28" t="str">
        <x:v>Primary/contextual journal article</x:v>
      </x:c>
      <x:c r="F318" s="28" t="str">
        <x:v>Development &amp; presentation; Recognition &amp; diagnosis; Family &amp; education; Social &amp; structural</x:v>
      </x:c>
      <x:c r="G318" s="28" t="str">
        <x:v>Childhood; Adulthood</x:v>
      </x:c>
      <x:c r="H318" s="28" t="str">
        <x:v>Later specialized</x:v>
      </x:c>
      <x:c r="I318" s="28" t="str">
        <x:v>Direct or strongly ADHD-related record retained for later screening; typically narrower treatment, biomarker, mechanistic, or single-comorbidity focus.</x:v>
      </x:c>
      <x:c r="J318" s="38" t="e">
        <x:f>HYPERLINK("https://pubmed.ncbi.nlm.nih.gov/"&amp;C318&amp;"/","Open PubMed")</x:f>
        <x:v>HYPERLINK is not implemented. linkLocation=https://pubmed.ncbi.nlm.nih.gov/21432604/, friendlyName=Open PubMed</x:v>
      </x:c>
    </x:row>
    <x:row r="319">
      <x:c r="A319" s="26" t="str">
        <x:v>PUBMED-21035613</x:v>
      </x:c>
      <x:c r="B319" s="26" t="n">
        <x:v>2010</x:v>
      </x:c>
      <x:c r="C319" s="26" t="str">
        <x:v>21035613</x:v>
      </x:c>
      <x:c r="D319" s="28" t="str">
        <x:v>Parenting cognitions and treatment beliefs as predictors of experience using behavioral parenting strategies in families of children with attention-deficit/hyperactivity disorder.</x:v>
      </x:c>
      <x:c r="E319" s="28" t="str">
        <x:v>Primary/contextual journal article</x:v>
      </x:c>
      <x:c r="F319" s="28" t="str">
        <x:v>Development &amp; presentation; Family &amp; education; Social &amp; structural; Treatment &amp; support; Historical &amp; contemporary context</x:v>
      </x:c>
      <x:c r="G319" s="28" t="str">
        <x:v>Childhood; Adulthood</x:v>
      </x:c>
      <x:c r="H319" s="28" t="str">
        <x:v>Later specialized</x:v>
      </x:c>
      <x:c r="I319" s="28" t="str">
        <x:v>Direct or strongly ADHD-related record retained for later screening; typically narrower treatment, biomarker, mechanistic, or single-comorbidity focus.</x:v>
      </x:c>
      <x:c r="J319" s="38" t="e">
        <x:f>HYPERLINK("https://pubmed.ncbi.nlm.nih.gov/"&amp;C319&amp;"/","Open PubMed")</x:f>
        <x:v>HYPERLINK is not implemented. linkLocation=https://pubmed.ncbi.nlm.nih.gov/21035613/, friendlyName=Open PubMed</x:v>
      </x:c>
    </x:row>
    <x:row r="320">
      <x:c r="A320" s="26" t="str">
        <x:v>PUBMED-21079445</x:v>
      </x:c>
      <x:c r="B320" s="26" t="n">
        <x:v>2010</x:v>
      </x:c>
      <x:c r="C320" s="26" t="str">
        <x:v>21079445</x:v>
      </x:c>
      <x:c r="D320" s="28" t="str">
        <x:v>Women and anabolic steroids: an analysis of a dozen users.</x:v>
      </x:c>
      <x:c r="E320" s="28" t="str">
        <x:v>Primary study - cohort</x:v>
      </x:c>
      <x:c r="F320" s="28" t="str">
        <x:v>Development &amp; presentation; Recognition &amp; diagnosis; Social &amp; structural; Life outcomes &amp; lived experience; Historical &amp; contemporary context</x:v>
      </x:c>
      <x:c r="G320" s="28" t="str">
        <x:v>Adolescence; Adulthood</x:v>
      </x:c>
      <x:c r="H320" s="28" t="str">
        <x:v>Exclude/incidental</x:v>
      </x:c>
      <x:c r="I320" s="28" t="str">
        <x:v>ADHD appears peripheral or insufficiently aligned with the requested corpus scope based on accessible metadata/abstract.</x:v>
      </x:c>
      <x:c r="J320" s="38" t="e">
        <x:f>HYPERLINK("https://pubmed.ncbi.nlm.nih.gov/"&amp;C320&amp;"/","Open PubMed")</x:f>
        <x:v>HYPERLINK is not implemented. linkLocation=https://pubmed.ncbi.nlm.nih.gov/21079445/, friendlyName=Open PubMed</x:v>
      </x:c>
    </x:row>
    <x:row r="321">
      <x:c r="A321" s="26" t="str">
        <x:v>PUBMED-20814254</x:v>
      </x:c>
      <x:c r="B321" s="26" t="n">
        <x:v>2010</x:v>
      </x:c>
      <x:c r="C321" s="26" t="str">
        <x:v>20814254</x:v>
      </x:c>
      <x:c r="D321" s="28" t="str">
        <x:v>Understanding the complex etiologies of developmental disorders: behavioral and molecular genetic approaches.</x:v>
      </x:c>
      <x:c r="E321" s="28" t="str">
        <x:v>Evidence synthesis - review</x:v>
      </x:c>
      <x:c r="F321" s="28" t="str">
        <x:v>Development &amp; presentation; Family &amp; education; Social &amp; structural; Environmental &amp; lifestyle; Treatment &amp; support</x:v>
      </x:c>
      <x:c r="G321" s="28" t="str">
        <x:v>Childhood</x:v>
      </x:c>
      <x:c r="H321" s="28" t="str">
        <x:v>Later specialized</x:v>
      </x:c>
      <x:c r="I321" s="28" t="str">
        <x:v>Direct or strongly ADHD-related record retained for later screening; typically narrower treatment, biomarker, mechanistic, or single-comorbidity focus.</x:v>
      </x:c>
      <x:c r="J321" s="38" t="e">
        <x:f>HYPERLINK("https://pubmed.ncbi.nlm.nih.gov/"&amp;C321&amp;"/","Open PubMed")</x:f>
        <x:v>HYPERLINK is not implemented. linkLocation=https://pubmed.ncbi.nlm.nih.gov/20814254/, friendlyName=Open PubMed</x:v>
      </x:c>
    </x:row>
    <x:row r="322">
      <x:c r="A322" s="26" t="str">
        <x:v>PUBMED-21155167</x:v>
      </x:c>
      <x:c r="B322" s="26" t="n">
        <x:v>2010</x:v>
      </x:c>
      <x:c r="C322" s="26" t="str">
        <x:v>21155167</x:v>
      </x:c>
      <x:c r="D322" s="28" t="str">
        <x:v>Gender difference in the association between adult attention deficit hyperactivity disorder symptoms and morningness–eveningness.</x:v>
      </x:c>
      <x:c r="E322" s="28" t="str">
        <x:v>Primary/contextual journal article</x:v>
      </x:c>
      <x:c r="F322" s="28" t="str">
        <x:v>Development &amp; presentation; Recognition &amp; diagnosis; Social &amp; structural</x:v>
      </x:c>
      <x:c r="G322" s="28" t="str">
        <x:v>Adulthood</x:v>
      </x:c>
      <x:c r="H322" s="28" t="str">
        <x:v>Later specialized</x:v>
      </x:c>
      <x:c r="I322" s="28" t="str">
        <x:v>Direct or strongly ADHD-related record retained for later screening; typically narrower treatment, biomarker, mechanistic, or single-comorbidity focus.</x:v>
      </x:c>
      <x:c r="J322" s="38" t="e">
        <x:f>HYPERLINK("https://pubmed.ncbi.nlm.nih.gov/"&amp;C322&amp;"/","Open PubMed")</x:f>
        <x:v>HYPERLINK is not implemented. linkLocation=https://pubmed.ncbi.nlm.nih.gov/21155167/, friendlyName=Open PubMed</x:v>
      </x:c>
    </x:row>
    <x:row r="323">
      <x:c r="A323" s="26" t="str">
        <x:v>PUBMED-20721777</x:v>
      </x:c>
      <x:c r="B323" s="26" t="n">
        <x:v>2010</x:v>
      </x:c>
      <x:c r="C323" s="26" t="str">
        <x:v>20721777</x:v>
      </x:c>
      <x:c r="D323" s="28" t="str">
        <x:v>Neuropsychological differences among children with Asperger syndrome, nonverbal learning disabilities, attention deficit disorder, and controls.</x:v>
      </x:c>
      <x:c r="E323" s="28" t="str">
        <x:v>Primary/contextual journal article</x:v>
      </x:c>
      <x:c r="F323" s="28" t="str">
        <x:v>Development &amp; presentation; Recognition &amp; diagnosis; Family &amp; education; Social &amp; structural; Life outcomes &amp; lived experience</x:v>
      </x:c>
      <x:c r="G323" s="28" t="str">
        <x:v>Childhood; Adolescence</x:v>
      </x:c>
      <x:c r="H323" s="28" t="str">
        <x:v>Later specialized</x:v>
      </x:c>
      <x:c r="I323" s="28" t="str">
        <x:v>Direct or strongly ADHD-related record retained for later screening; typically narrower treatment, biomarker, mechanistic, or single-comorbidity focus.</x:v>
      </x:c>
      <x:c r="J323" s="38" t="e">
        <x:f>HYPERLINK("https://pubmed.ncbi.nlm.nih.gov/"&amp;C323&amp;"/","Open PubMed")</x:f>
        <x:v>HYPERLINK is not implemented. linkLocation=https://pubmed.ncbi.nlm.nih.gov/20721777/, friendlyName=Open PubMed</x:v>
      </x:c>
    </x:row>
    <x:row r="324">
      <x:c r="A324" s="26" t="str">
        <x:v>PUBMED-20860068</x:v>
      </x:c>
      <x:c r="B324" s="26" t="n">
        <x:v>2010</x:v>
      </x:c>
      <x:c r="C324" s="26" t="str">
        <x:v>20860068</x:v>
      </x:c>
      <x:c r="D324" s="28" t="str">
        <x:v>Venlafaxine versus methylphenidate in pediatric outpatients with attention deficit hyperactivity disorder: a randomized, double-blind comparison trial.</x:v>
      </x:c>
      <x:c r="E324" s="28" t="str">
        <x:v>Primary study - randomized controlled trial</x:v>
      </x:c>
      <x:c r="F324" s="28" t="str">
        <x:v>Development &amp; presentation; Recognition &amp; diagnosis; Family &amp; education; Social &amp; structural; Treatment &amp; support; Life outcomes &amp; lived experience</x:v>
      </x:c>
      <x:c r="G324" s="28" t="str">
        <x:v>Childhood; Adolescence</x:v>
      </x:c>
      <x:c r="H324" s="28" t="str">
        <x:v>Later specialized</x:v>
      </x:c>
      <x:c r="I324" s="28" t="str">
        <x:v>Direct or strongly ADHD-related record retained for later screening; typically narrower treatment, biomarker, mechanistic, or single-comorbidity focus.</x:v>
      </x:c>
      <x:c r="J324" s="38" t="e">
        <x:f>HYPERLINK("https://pubmed.ncbi.nlm.nih.gov/"&amp;C324&amp;"/","Open PubMed")</x:f>
        <x:v>HYPERLINK is not implemented. linkLocation=https://pubmed.ncbi.nlm.nih.gov/20860068/, friendlyName=Open PubMed</x:v>
      </x:c>
    </x:row>
    <x:row r="325">
      <x:c r="A325" s="26" t="str">
        <x:v>PUBMED-20861586</x:v>
      </x:c>
      <x:c r="B325" s="26" t="n">
        <x:v>2010</x:v>
      </x:c>
      <x:c r="C325" s="26" t="str">
        <x:v>20861586</x:v>
      </x:c>
      <x:c r="D325" s="28" t="str">
        <x:v>The single-dose pharmacokinetics of NWP06, a novel extended-release methylphenidate oral suspension.</x:v>
      </x:c>
      <x:c r="E325" s="28" t="str">
        <x:v>Primary study - randomized controlled trial</x:v>
      </x:c>
      <x:c r="F325" s="28" t="str">
        <x:v>Development &amp; presentation; Recognition &amp; diagnosis; Social &amp; structural; Treatment &amp; support</x:v>
      </x:c>
      <x:c r="G325" s="28" t="str">
        <x:v>Adulthood</x:v>
      </x:c>
      <x:c r="H325" s="28" t="str">
        <x:v>Exclude/incidental</x:v>
      </x:c>
      <x:c r="I325" s="28" t="str">
        <x:v>ADHD appears peripheral or insufficiently aligned with the requested corpus scope based on accessible metadata/abstract.</x:v>
      </x:c>
      <x:c r="J325" s="38" t="e">
        <x:f>HYPERLINK("https://pubmed.ncbi.nlm.nih.gov/"&amp;C325&amp;"/","Open PubMed")</x:f>
        <x:v>HYPERLINK is not implemented. linkLocation=https://pubmed.ncbi.nlm.nih.gov/20861586/, friendlyName=Open PubMed</x:v>
      </x:c>
    </x:row>
    <x:row r="326">
      <x:c r="A326" s="26" t="str">
        <x:v>PUBMED-21041618</x:v>
      </x:c>
      <x:c r="B326" s="26" t="n">
        <x:v>2010</x:v>
      </x:c>
      <x:c r="C326" s="26" t="str">
        <x:v>21041618</x:v>
      </x:c>
      <x:c r="D326" s="28" t="str">
        <x:v>Structure and diagnosis of adult attention-deficit/hyperactivity disorder: analysis of expanded symptom criteria from the Adult ADHD Clinical Diagnostic Scale.</x:v>
      </x:c>
      <x:c r="E326" s="28" t="str">
        <x:v>Primary/contextual journal article</x:v>
      </x:c>
      <x:c r="F326" s="28" t="str">
        <x:v>Development &amp; presentation; Recognition &amp; diagnosis; Social &amp; structural; Treatment &amp; support; Life outcomes &amp; lived experience</x:v>
      </x:c>
      <x:c r="G326" s="28" t="str">
        <x:v>Childhood; Adolescence; Adulthood</x:v>
      </x:c>
      <x:c r="H326" s="28" t="str">
        <x:v>Later specialized</x:v>
      </x:c>
      <x:c r="I326" s="28" t="str">
        <x:v>Direct or strongly ADHD-related record retained for later screening; typically narrower treatment, biomarker, mechanistic, or single-comorbidity focus.</x:v>
      </x:c>
      <x:c r="J326" s="38" t="e">
        <x:f>HYPERLINK("https://pubmed.ncbi.nlm.nih.gov/"&amp;C326&amp;"/","Open PubMed")</x:f>
        <x:v>HYPERLINK is not implemented. linkLocation=https://pubmed.ncbi.nlm.nih.gov/21041618/, friendlyName=Open PubMed</x:v>
      </x:c>
    </x:row>
    <x:row r="327">
      <x:c r="A327" s="26" t="str">
        <x:v>PUBMED-21135332</x:v>
      </x:c>
      <x:c r="B327" s="26" t="n">
        <x:v>2010</x:v>
      </x:c>
      <x:c r="C327" s="26" t="str">
        <x:v>21135332</x:v>
      </x:c>
      <x:c r="D327" s="28" t="str">
        <x:v>Genotype link with extreme antisocial behavior: the contribution of cognitive pathways.</x:v>
      </x:c>
      <x:c r="E327" s="28" t="str">
        <x:v>Primary study - cohort</x:v>
      </x:c>
      <x:c r="F327" s="28" t="str">
        <x:v>Development &amp; presentation; Recognition &amp; diagnosis; Family &amp; education; Social &amp; structural; Life outcomes &amp; lived experience</x:v>
      </x:c>
      <x:c r="G327" s="28" t="str">
        <x:v>Childhood; Adulthood</x:v>
      </x:c>
      <x:c r="H327" s="28" t="str">
        <x:v>Later specialized</x:v>
      </x:c>
      <x:c r="I327" s="28" t="str">
        <x:v>Direct or strongly ADHD-related record retained for later screening; typically narrower treatment, biomarker, mechanistic, or single-comorbidity focus.</x:v>
      </x:c>
      <x:c r="J327" s="38" t="e">
        <x:f>HYPERLINK("https://pubmed.ncbi.nlm.nih.gov/"&amp;C327&amp;"/","Open PubMed")</x:f>
        <x:v>HYPERLINK is not implemented. linkLocation=https://pubmed.ncbi.nlm.nih.gov/21135332/, friendlyName=Open PubMed</x:v>
      </x:c>
    </x:row>
    <x:row r="328">
      <x:c r="A328" s="26" t="str">
        <x:v>PUBMED-21150252</x:v>
      </x:c>
      <x:c r="B328" s="26" t="n">
        <x:v>2010</x:v>
      </x:c>
      <x:c r="C328" s="26" t="str">
        <x:v>21150252</x:v>
      </x:c>
      <x:c r="D328" s="28" t="str">
        <x:v>Weight loss following a clinic-based weight loss program among adults with attention deficit/hyperactivity disorder symptoms.</x:v>
      </x:c>
      <x:c r="E328" s="28" t="str">
        <x:v>Primary/contextual journal article</x:v>
      </x:c>
      <x:c r="F328" s="28" t="str">
        <x:v>Development &amp; presentation; Recognition &amp; diagnosis; Social &amp; structural; Environmental &amp; lifestyle; Treatment &amp; support</x:v>
      </x:c>
      <x:c r="G328" s="28" t="str">
        <x:v>Adulthood</x:v>
      </x:c>
      <x:c r="H328" s="28" t="str">
        <x:v>Later specialized</x:v>
      </x:c>
      <x:c r="I328" s="28" t="str">
        <x:v>Direct or strongly ADHD-related record retained for later screening; typically narrower treatment, biomarker, mechanistic, or single-comorbidity focus.</x:v>
      </x:c>
      <x:c r="J328" s="38" t="e">
        <x:f>HYPERLINK("https://pubmed.ncbi.nlm.nih.gov/"&amp;C328&amp;"/","Open PubMed")</x:f>
        <x:v>HYPERLINK is not implemented. linkLocation=https://pubmed.ncbi.nlm.nih.gov/21150252/, friendlyName=Open PubMed</x:v>
      </x:c>
    </x:row>
    <x:row r="329">
      <x:c r="A329" s="26" t="str">
        <x:v>PUBMED-21063258</x:v>
      </x:c>
      <x:c r="B329" s="26" t="n">
        <x:v>2010</x:v>
      </x:c>
      <x:c r="C329" s="26" t="str">
        <x:v>21063258</x:v>
      </x:c>
      <x:c r="D329" s="28" t="str">
        <x:v>Attention deficit hyperactivity disorder.</x:v>
      </x:c>
      <x:c r="E329" s="28" t="str">
        <x:v>Primary/contextual journal article</x:v>
      </x:c>
      <x:c r="F329" s="28" t="str">
        <x:v>Development &amp; presentation; Recognition &amp; diagnosis; Family &amp; education; Social &amp; structural; Treatment &amp; support</x:v>
      </x:c>
      <x:c r="G329" s="28" t="str">
        <x:v>Childhood; Adulthood</x:v>
      </x:c>
      <x:c r="H329" s="28" t="str">
        <x:v>Later specialized</x:v>
      </x:c>
      <x:c r="I329" s="28" t="str">
        <x:v>Direct or strongly ADHD-related record retained for later screening; typically narrower treatment, biomarker, mechanistic, or single-comorbidity focus.</x:v>
      </x:c>
      <x:c r="J329" s="38" t="e">
        <x:f>HYPERLINK("https://pubmed.ncbi.nlm.nih.gov/"&amp;C329&amp;"/","Open PubMed")</x:f>
        <x:v>HYPERLINK is not implemented. linkLocation=https://pubmed.ncbi.nlm.nih.gov/21063258/, friendlyName=Open PubMed</x:v>
      </x:c>
    </x:row>
    <x:row r="330">
      <x:c r="A330" s="26" t="str">
        <x:v>PUBMED-20861592</x:v>
      </x:c>
      <x:c r="B330" s="26" t="n">
        <x:v>2010</x:v>
      </x:c>
      <x:c r="C330" s="26" t="str">
        <x:v>20861592</x:v>
      </x:c>
      <x:c r="D330" s="28" t="str">
        <x:v>Comorbidity between ADHD and obesity: exploring shared mechanisms and clinical implications.</x:v>
      </x:c>
      <x:c r="E330" s="28" t="str">
        <x:v>Evidence synthesis - review</x:v>
      </x:c>
      <x:c r="F330" s="28" t="str">
        <x:v>Development &amp; presentation; Recognition &amp; diagnosis; Social &amp; structural; Environmental &amp; lifestyle; Treatment &amp; support</x:v>
      </x:c>
      <x:c r="G330" s="28" t="str">
        <x:v>Not specified</x:v>
      </x:c>
      <x:c r="H330" s="28" t="str">
        <x:v>Later specialized</x:v>
      </x:c>
      <x:c r="I330" s="28" t="str">
        <x:v>Direct or strongly ADHD-related record retained for later screening; typically narrower treatment, biomarker, mechanistic, or single-comorbidity focus.</x:v>
      </x:c>
      <x:c r="J330" s="38" t="e">
        <x:f>HYPERLINK("https://pubmed.ncbi.nlm.nih.gov/"&amp;C330&amp;"/","Open PubMed")</x:f>
        <x:v>HYPERLINK is not implemented. linkLocation=https://pubmed.ncbi.nlm.nih.gov/20861592/, friendlyName=Open PubMed</x:v>
      </x:c>
    </x:row>
    <x:row r="331">
      <x:c r="A331" s="26" t="str">
        <x:v>PUBMED-21526298</x:v>
      </x:c>
      <x:c r="B331" s="26" t="n">
        <x:v>2010</x:v>
      </x:c>
      <x:c r="C331" s="26" t="str">
        <x:v>21526298</x:v>
      </x:c>
      <x:c r="D331" s="28" t="str">
        <x:v>[Analysis of a scale for the assessment of attention deficit disorder with hyperactivity in Chilean children].</x:v>
      </x:c>
      <x:c r="E331" s="28" t="str">
        <x:v>Primary/contextual journal article</x:v>
      </x:c>
      <x:c r="F331" s="28" t="str">
        <x:v>Development &amp; presentation; Recognition &amp; diagnosis; Family &amp; education; Social &amp; structural</x:v>
      </x:c>
      <x:c r="G331" s="28" t="str">
        <x:v>Childhood; Adolescence</x:v>
      </x:c>
      <x:c r="H331" s="28" t="str">
        <x:v>Later specialized</x:v>
      </x:c>
      <x:c r="I331" s="28" t="str">
        <x:v>Direct or strongly ADHD-related record retained for later screening; typically narrower treatment, biomarker, mechanistic, or single-comorbidity focus.</x:v>
      </x:c>
      <x:c r="J331" s="38" t="e">
        <x:f>HYPERLINK("https://pubmed.ncbi.nlm.nih.gov/"&amp;C331&amp;"/","Open PubMed")</x:f>
        <x:v>HYPERLINK is not implemented. linkLocation=https://pubmed.ncbi.nlm.nih.gov/21526298/, friendlyName=Open PubMed</x:v>
      </x:c>
    </x:row>
    <x:row r="332">
      <x:c r="A332" s="26" t="str">
        <x:v>PUBMED-21088100</x:v>
      </x:c>
      <x:c r="B332" s="26" t="n">
        <x:v>2010</x:v>
      </x:c>
      <x:c r="C332" s="26" t="str">
        <x:v>21088100</x:v>
      </x:c>
      <x:c r="D332" s="28" t="str">
        <x:v>The McDonaldization of childhood: children's mental health in neo-liberal market cultures.</x:v>
      </x:c>
      <x:c r="E332" s="28" t="str">
        <x:v>Primary study - cross-sectional</x:v>
      </x:c>
      <x:c r="F332" s="28" t="str">
        <x:v>Development &amp; presentation; Recognition &amp; diagnosis; Family &amp; education; Social &amp; structural; Environmental &amp; lifestyle; Treatment &amp; support</x:v>
      </x:c>
      <x:c r="G332" s="28" t="str">
        <x:v>Childhood; Adolescence</x:v>
      </x:c>
      <x:c r="H332" s="28" t="str">
        <x:v>Exclude/incidental</x:v>
      </x:c>
      <x:c r="I332" s="28" t="str">
        <x:v>ADHD appears peripheral or insufficiently aligned with the requested corpus scope based on accessible metadata/abstract.</x:v>
      </x:c>
      <x:c r="J332" s="38" t="e">
        <x:f>HYPERLINK("https://pubmed.ncbi.nlm.nih.gov/"&amp;C332&amp;"/","Open PubMed")</x:f>
        <x:v>HYPERLINK is not implemented. linkLocation=https://pubmed.ncbi.nlm.nih.gov/21088100/, friendlyName=Open PubMed</x:v>
      </x:c>
    </x:row>
    <x:row r="333">
      <x:c r="A333" s="26" t="str">
        <x:v>PUBMED-21112453</x:v>
      </x:c>
      <x:c r="B333" s="26" t="n">
        <x:v>2010</x:v>
      </x:c>
      <x:c r="C333" s="26" t="str">
        <x:v>21112453</x:v>
      </x:c>
      <x:c r="D333" s="28" t="str">
        <x:v>Collaborative care for the treatment of Hispanic children diagnosed with attention-deficit hyperactivity disorder.</x:v>
      </x:c>
      <x:c r="E333" s="28" t="str">
        <x:v>Primary/contextual journal article</x:v>
      </x:c>
      <x:c r="F333" s="28" t="str">
        <x:v>Development &amp; presentation; Recognition &amp; diagnosis; Family &amp; education; Social &amp; structural; Treatment &amp; support</x:v>
      </x:c>
      <x:c r="G333" s="28" t="str">
        <x:v>Childhood; Adolescence</x:v>
      </x:c>
      <x:c r="H333" s="28" t="str">
        <x:v>Later specialized</x:v>
      </x:c>
      <x:c r="I333" s="28" t="str">
        <x:v>Direct or strongly ADHD-related record retained for later screening; typically narrower treatment, biomarker, mechanistic, or single-comorbidity focus.</x:v>
      </x:c>
      <x:c r="J333" s="38" t="e">
        <x:f>HYPERLINK("https://pubmed.ncbi.nlm.nih.gov/"&amp;C333&amp;"/","Open PubMed")</x:f>
        <x:v>HYPERLINK is not implemented. linkLocation=https://pubmed.ncbi.nlm.nih.gov/21112453/, friendlyName=Open PubMed</x:v>
      </x:c>
    </x:row>
    <x:row r="334">
      <x:c r="A334" s="26" t="str">
        <x:v>PUBMED-20814325</x:v>
      </x:c>
      <x:c r="B334" s="26" t="n">
        <x:v>2010</x:v>
      </x:c>
      <x:c r="C334" s="26" t="str">
        <x:v>20814325</x:v>
      </x:c>
      <x:c r="D334" s="28" t="str">
        <x:v>Single- and multiple-dose pharmacokinetics of methylphenidate administered as methylphenidate transdermal system or osmotic-release oral system methylphenidate to children and adolescents with attention deficit hyperactivity disorder.</x:v>
      </x:c>
      <x:c r="E334" s="28" t="str">
        <x:v>Primary study - randomized controlled trial</x:v>
      </x:c>
      <x:c r="F334" s="28" t="str">
        <x:v>Development &amp; presentation; Recognition &amp; diagnosis; Environmental &amp; lifestyle; Treatment &amp; support</x:v>
      </x:c>
      <x:c r="G334" s="28" t="str">
        <x:v>Childhood; Adolescence</x:v>
      </x:c>
      <x:c r="H334" s="28" t="str">
        <x:v>Later specialized</x:v>
      </x:c>
      <x:c r="I334" s="28" t="str">
        <x:v>Direct or strongly ADHD-related record retained for later screening; typically narrower treatment, biomarker, mechanistic, or single-comorbidity focus.</x:v>
      </x:c>
      <x:c r="J334" s="38" t="e">
        <x:f>HYPERLINK("https://pubmed.ncbi.nlm.nih.gov/"&amp;C334&amp;"/","Open PubMed")</x:f>
        <x:v>HYPERLINK is not implemented. linkLocation=https://pubmed.ncbi.nlm.nih.gov/20814325/, friendlyName=Open PubMed</x:v>
      </x:c>
    </x:row>
    <x:row r="335">
      <x:c r="A335" s="26" t="str">
        <x:v>PUBMED-20948775</x:v>
      </x:c>
      <x:c r="B335" s="26" t="n">
        <x:v>2010</x:v>
      </x:c>
      <x:c r="C335" s="26" t="str">
        <x:v>20948775</x:v>
      </x:c>
      <x:c r="D335" s="28" t="str">
        <x:v>The changing prevalence of attention-deficit/hyperactivity disorder and methylphenidate prescriptions: a study of data from a random sample of insurees of the AOK Health Insurance Company in the German State of Hesse, 2000-2007.</x:v>
      </x:c>
      <x:c r="E335" s="28" t="str">
        <x:v>Primary study - cross-sectional</x:v>
      </x:c>
      <x:c r="F335" s="28" t="str">
        <x:v>Development &amp; presentation; Recognition &amp; diagnosis; Family &amp; education; Social &amp; structural; Treatment &amp; support; Life outcomes &amp; lived experience</x:v>
      </x:c>
      <x:c r="G335" s="28" t="str">
        <x:v>Childhood; Adolescence</x:v>
      </x:c>
      <x:c r="H335" s="28" t="str">
        <x:v>Later specialized</x:v>
      </x:c>
      <x:c r="I335" s="28" t="str">
        <x:v>Direct or strongly ADHD-related record retained for later screening; typically narrower treatment, biomarker, mechanistic, or single-comorbidity focus.</x:v>
      </x:c>
      <x:c r="J335" s="38" t="e">
        <x:f>HYPERLINK("https://pubmed.ncbi.nlm.nih.gov/"&amp;C335&amp;"/","Open PubMed")</x:f>
        <x:v>HYPERLINK is not implemented. linkLocation=https://pubmed.ncbi.nlm.nih.gov/20948775/, friendlyName=Open PubMed</x:v>
      </x:c>
    </x:row>
    <x:row r="336">
      <x:c r="A336" s="26" t="str">
        <x:v>PUBMED-20923428</x:v>
      </x:c>
      <x:c r="B336" s="26" t="n">
        <x:v>2010</x:v>
      </x:c>
      <x:c r="C336" s="26" t="str">
        <x:v>20923428</x:v>
      </x:c>
      <x:c r="D336" s="28" t="str">
        <x:v>Effects of osmotic-release methylphenidate in attention-deficit/hyperactivity disorder as measured by event-related potentials.</x:v>
      </x:c>
      <x:c r="E336" s="28" t="str">
        <x:v>Primary/contextual journal article</x:v>
      </x:c>
      <x:c r="F336" s="28" t="str">
        <x:v>Development &amp; presentation; Recognition &amp; diagnosis; Family &amp; education; Social &amp; structural; Treatment &amp; support</x:v>
      </x:c>
      <x:c r="G336" s="28" t="str">
        <x:v>Childhood; Adolescence</x:v>
      </x:c>
      <x:c r="H336" s="28" t="str">
        <x:v>Later specialized</x:v>
      </x:c>
      <x:c r="I336" s="28" t="str">
        <x:v>Direct or strongly ADHD-related record retained for later screening; typically narrower treatment, biomarker, mechanistic, or single-comorbidity focus.</x:v>
      </x:c>
      <x:c r="J336" s="38" t="e">
        <x:f>HYPERLINK("https://pubmed.ncbi.nlm.nih.gov/"&amp;C336&amp;"/","Open PubMed")</x:f>
        <x:v>HYPERLINK is not implemented. linkLocation=https://pubmed.ncbi.nlm.nih.gov/20923428/, friendlyName=Open PubMed</x:v>
      </x:c>
    </x:row>
    <x:row r="337">
      <x:c r="A337" s="26" t="str">
        <x:v>PUBMED-21159164</x:v>
      </x:c>
      <x:c r="B337" s="26" t="n">
        <x:v>2010</x:v>
      </x:c>
      <x:c r="C337" s="26" t="str">
        <x:v>21159164</x:v>
      </x:c>
      <x:c r="D337" s="28" t="str">
        <x:v>Behavioural symptoms of attention deficit/hyperactivity disorder in preterm and term children born small and appropriate for gestational age: a longitudinal study.</x:v>
      </x:c>
      <x:c r="E337" s="28" t="str">
        <x:v>Primary study - cohort</x:v>
      </x:c>
      <x:c r="F337" s="28" t="str">
        <x:v>Development &amp; presentation; Family &amp; education; Social &amp; structural; Environmental &amp; lifestyle</x:v>
      </x:c>
      <x:c r="G337" s="28" t="str">
        <x:v>Childhood</x:v>
      </x:c>
      <x:c r="H337" s="28" t="str">
        <x:v>Later specialized</x:v>
      </x:c>
      <x:c r="I337" s="28" t="str">
        <x:v>Direct or strongly ADHD-related record retained for later screening; typically narrower treatment, biomarker, mechanistic, or single-comorbidity focus.</x:v>
      </x:c>
      <x:c r="J337" s="38" t="e">
        <x:f>HYPERLINK("https://pubmed.ncbi.nlm.nih.gov/"&amp;C337&amp;"/","Open PubMed")</x:f>
        <x:v>HYPERLINK is not implemented. linkLocation=https://pubmed.ncbi.nlm.nih.gov/21159164/, friendlyName=Open PubMed</x:v>
      </x:c>
    </x:row>
    <x:row r="338">
      <x:c r="A338" s="26" t="str">
        <x:v>PUBMED-21311480</x:v>
      </x:c>
      <x:c r="B338" s="26" t="n">
        <x:v>2010</x:v>
      </x:c>
      <x:c r="C338" s="26" t="str">
        <x:v>21311480</x:v>
      </x:c>
      <x:c r="D338" s="28" t="str">
        <x:v>[Psychophysiological disturbances in attention-deficit hyperactivity disorder in adolescents].</x:v>
      </x:c>
      <x:c r="E338" s="28" t="str">
        <x:v>Primary study - qualitative</x:v>
      </x:c>
      <x:c r="F338" s="28" t="str">
        <x:v>Development &amp; presentation; Recognition &amp; diagnosis; Social &amp; structural; Life outcomes &amp; lived experience</x:v>
      </x:c>
      <x:c r="G338" s="28" t="str">
        <x:v>Adolescence</x:v>
      </x:c>
      <x:c r="H338" s="28" t="str">
        <x:v>Later specialized</x:v>
      </x:c>
      <x:c r="I338" s="28" t="str">
        <x:v>Direct or strongly ADHD-related record retained for later screening; typically narrower treatment, biomarker, mechanistic, or single-comorbidity focus.</x:v>
      </x:c>
      <x:c r="J338" s="38" t="e">
        <x:f>HYPERLINK("https://pubmed.ncbi.nlm.nih.gov/"&amp;C338&amp;"/","Open PubMed")</x:f>
        <x:v>HYPERLINK is not implemented. linkLocation=https://pubmed.ncbi.nlm.nih.gov/21311480/, friendlyName=Open PubMed</x:v>
      </x:c>
    </x:row>
    <x:row r="339">
      <x:c r="A339" s="26" t="str">
        <x:v>PUBMED-20871176</x:v>
      </x:c>
      <x:c r="B339" s="26" t="n">
        <x:v>2010</x:v>
      </x:c>
      <x:c r="C339" s="26" t="str">
        <x:v>20871176</x:v>
      </x:c>
      <x:c r="D339" s="28" t="str">
        <x:v>The role of working memory capacity in auditory distraction: a review.</x:v>
      </x:c>
      <x:c r="E339" s="28" t="str">
        <x:v>Evidence synthesis - review</x:v>
      </x:c>
      <x:c r="F339" s="28" t="str">
        <x:v>Development &amp; presentation; Social &amp; structural</x:v>
      </x:c>
      <x:c r="G339" s="28" t="str">
        <x:v>Not specified</x:v>
      </x:c>
      <x:c r="H339" s="28" t="str">
        <x:v>Exclude/incidental</x:v>
      </x:c>
      <x:c r="I339" s="28" t="str">
        <x:v>ADHD appears peripheral or insufficiently aligned with the requested corpus scope based on accessible metadata/abstract.</x:v>
      </x:c>
      <x:c r="J339" s="38" t="e">
        <x:f>HYPERLINK("https://pubmed.ncbi.nlm.nih.gov/"&amp;C339&amp;"/","Open PubMed")</x:f>
        <x:v>HYPERLINK is not implemented. linkLocation=https://pubmed.ncbi.nlm.nih.gov/20871176/, friendlyName=Open PubMed</x:v>
      </x:c>
    </x:row>
    <x:row r="340">
      <x:c r="A340" s="26" t="str">
        <x:v>PUBMED-20861583</x:v>
      </x:c>
      <x:c r="B340" s="26" t="n">
        <x:v>2010</x:v>
      </x:c>
      <x:c r="C340" s="26" t="str">
        <x:v>20861583</x:v>
      </x:c>
      <x:c r="D340" s="28" t="str">
        <x:v>Open-label administration of lisdexamfetamine dimesylate improves executive function impairments and symptoms of attention-deficit/hyperactivity disorder in adults.</x:v>
      </x:c>
      <x:c r="E340" s="28" t="str">
        <x:v>Primary study - randomized controlled trial</x:v>
      </x:c>
      <x:c r="F340" s="28" t="str">
        <x:v>Development &amp; presentation; Recognition &amp; diagnosis; Family &amp; education; Social &amp; structural; Treatment &amp; support; Life outcomes &amp; lived experience</x:v>
      </x:c>
      <x:c r="G340" s="28" t="str">
        <x:v>Adulthood</x:v>
      </x:c>
      <x:c r="H340" s="28" t="str">
        <x:v>Later specialized</x:v>
      </x:c>
      <x:c r="I340" s="28" t="str">
        <x:v>Direct or strongly ADHD-related record retained for later screening; typically narrower treatment, biomarker, mechanistic, or single-comorbidity focus.</x:v>
      </x:c>
      <x:c r="J340" s="38" t="e">
        <x:f>HYPERLINK("https://pubmed.ncbi.nlm.nih.gov/"&amp;C340&amp;"/","Open PubMed")</x:f>
        <x:v>HYPERLINK is not implemented. linkLocation=https://pubmed.ncbi.nlm.nih.gov/20861583/, friendlyName=Open PubMed</x:v>
      </x:c>
    </x:row>
    <x:row r="341">
      <x:c r="A341" s="26" t="str">
        <x:v>PUBMED-20966487</x:v>
      </x:c>
      <x:c r="B341" s="26" t="n">
        <x:v>2010</x:v>
      </x:c>
      <x:c r="C341" s="26" t="str">
        <x:v>20966487</x:v>
      </x:c>
      <x:c r="D341" s="28" t="str">
        <x:v>Exploring how symptoms of attention-deficit/hyperactivity disorder are related to reading and mathematics performance: general genes, general environments.</x:v>
      </x:c>
      <x:c r="E341" s="28" t="str">
        <x:v>Primary/contextual journal article</x:v>
      </x:c>
      <x:c r="F341" s="28" t="str">
        <x:v>Development &amp; presentation; Family &amp; education; Social &amp; structural; Environmental &amp; lifestyle; Life outcomes &amp; lived experience</x:v>
      </x:c>
      <x:c r="G341" s="28" t="str">
        <x:v>Childhood</x:v>
      </x:c>
      <x:c r="H341" s="28" t="str">
        <x:v>Later specialized</x:v>
      </x:c>
      <x:c r="I341" s="28" t="str">
        <x:v>Direct or strongly ADHD-related record retained for later screening; typically narrower treatment, biomarker, mechanistic, or single-comorbidity focus.</x:v>
      </x:c>
      <x:c r="J341" s="38" t="e">
        <x:f>HYPERLINK("https://pubmed.ncbi.nlm.nih.gov/"&amp;C341&amp;"/","Open PubMed")</x:f>
        <x:v>HYPERLINK is not implemented. linkLocation=https://pubmed.ncbi.nlm.nih.gov/20966487/, friendlyName=Open PubMed</x:v>
      </x:c>
    </x:row>
    <x:row r="342">
      <x:c r="A342" s="26" t="str">
        <x:v>PUBMED-20735157</x:v>
      </x:c>
      <x:c r="B342" s="26" t="n">
        <x:v>2010</x:v>
      </x:c>
      <x:c r="C342" s="26" t="str">
        <x:v>20735157</x:v>
      </x:c>
      <x:c r="D342" s="28" t="str">
        <x:v>Psychiatric disorders in individuals with high-functioning autism and Asperger's disorder: similarities and differences.</x:v>
      </x:c>
      <x:c r="E342" s="28" t="str">
        <x:v>Primary/contextual journal article</x:v>
      </x:c>
      <x:c r="F342" s="28" t="str">
        <x:v>Development &amp; presentation; Recognition &amp; diagnosis; Family &amp; education; Social &amp; structural; Life outcomes &amp; lived experience</x:v>
      </x:c>
      <x:c r="G342" s="28" t="str">
        <x:v>Childhood; Adolescence</x:v>
      </x:c>
      <x:c r="H342" s="28" t="str">
        <x:v>Later specialized</x:v>
      </x:c>
      <x:c r="I342" s="28" t="str">
        <x:v>Direct or strongly ADHD-related record retained for later screening; typically narrower treatment, biomarker, mechanistic, or single-comorbidity focus.</x:v>
      </x:c>
      <x:c r="J342" s="38" t="e">
        <x:f>HYPERLINK("https://pubmed.ncbi.nlm.nih.gov/"&amp;C342&amp;"/","Open PubMed")</x:f>
        <x:v>HYPERLINK is not implemented. linkLocation=https://pubmed.ncbi.nlm.nih.gov/20735157/, friendlyName=Open PubMed</x:v>
      </x:c>
    </x:row>
    <x:row r="343">
      <x:c r="A343" s="26" t="str">
        <x:v>PUBMED-21217607</x:v>
      </x:c>
      <x:c r="B343" s="26" t="n">
        <x:v>2010</x:v>
      </x:c>
      <x:c r="C343" s="26" t="str">
        <x:v>21217607</x:v>
      </x:c>
      <x:c r="D343" s="28" t="str">
        <x:v>The spectrum of the behavioral phenotype in boys and adolescents 47,XXY (Klinefelter syndrome).</x:v>
      </x:c>
      <x:c r="E343" s="28" t="str">
        <x:v>Evidence synthesis - review</x:v>
      </x:c>
      <x:c r="F343" s="28" t="str">
        <x:v>Development &amp; presentation; Recognition &amp; diagnosis; Family &amp; education; Social &amp; structural; Treatment &amp; support</x:v>
      </x:c>
      <x:c r="G343" s="28" t="str">
        <x:v>Childhood; Adolescence; Adulthood</x:v>
      </x:c>
      <x:c r="H343" s="28" t="str">
        <x:v>Exclude/incidental</x:v>
      </x:c>
      <x:c r="I343" s="28" t="str">
        <x:v>ADHD appears peripheral or insufficiently aligned with the requested corpus scope based on accessible metadata/abstract.</x:v>
      </x:c>
      <x:c r="J343" s="38" t="e">
        <x:f>HYPERLINK("https://pubmed.ncbi.nlm.nih.gov/"&amp;C343&amp;"/","Open PubMed")</x:f>
        <x:v>HYPERLINK is not implemented. linkLocation=https://pubmed.ncbi.nlm.nih.gov/21217607/, friendlyName=Open PubMed</x:v>
      </x:c>
    </x:row>
    <x:row r="344">
      <x:c r="A344" s="26" t="str">
        <x:v>PUBMED-20732627</x:v>
      </x:c>
      <x:c r="B344" s="26" t="n">
        <x:v>2010</x:v>
      </x:c>
      <x:c r="C344" s="26" t="str">
        <x:v>20732627</x:v>
      </x:c>
      <x:c r="D344" s="28" t="str">
        <x:v>Case-control genome-wide association study of attention-deficit/hyperactivity disorder.</x:v>
      </x:c>
      <x:c r="E344" s="28" t="str">
        <x:v>Evidence synthesis - meta-analysis</x:v>
      </x:c>
      <x:c r="F344" s="28" t="str">
        <x:v>Development &amp; presentation; Recognition &amp; diagnosis; Family &amp; education</x:v>
      </x:c>
      <x:c r="G344" s="28" t="str">
        <x:v>Childhood; Adolescence</x:v>
      </x:c>
      <x:c r="H344" s="28" t="str">
        <x:v>Later specialized</x:v>
      </x:c>
      <x:c r="I344" s="28" t="str">
        <x:v>Direct or strongly ADHD-related record retained for later screening; typically narrower treatment, biomarker, mechanistic, or single-comorbidity focus.</x:v>
      </x:c>
      <x:c r="J344" s="38" t="e">
        <x:f>HYPERLINK("https://pubmed.ncbi.nlm.nih.gov/"&amp;C344&amp;"/","Open PubMed")</x:f>
        <x:v>HYPERLINK is not implemented. linkLocation=https://pubmed.ncbi.nlm.nih.gov/20732627/, friendlyName=Open PubMed</x:v>
      </x:c>
    </x:row>
    <x:row r="345">
      <x:c r="A345" s="26" t="str">
        <x:v>PUBMED-20808968</x:v>
      </x:c>
      <x:c r="B345" s="26" t="n">
        <x:v>2010</x:v>
      </x:c>
      <x:c r="C345" s="26" t="str">
        <x:v>20808968</x:v>
      </x:c>
      <x:c r="D345" s="28" t="str">
        <x:v>Attentional and emotional mechanisms of pain processing and their related factors: a structural equations approach.</x:v>
      </x:c>
      <x:c r="E345" s="28" t="str">
        <x:v>Primary/contextual journal article</x:v>
      </x:c>
      <x:c r="F345" s="28" t="str">
        <x:v>Development &amp; presentation; Social &amp; structural; Environmental &amp; lifestyle; Treatment &amp; support; Life outcomes &amp; lived experience</x:v>
      </x:c>
      <x:c r="G345" s="28" t="str">
        <x:v>Adulthood</x:v>
      </x:c>
      <x:c r="H345" s="28" t="str">
        <x:v>Exclude/incidental</x:v>
      </x:c>
      <x:c r="I345" s="28" t="str">
        <x:v>ADHD appears peripheral or insufficiently aligned with the requested corpus scope based on accessible metadata/abstract.</x:v>
      </x:c>
      <x:c r="J345" s="38" t="e">
        <x:f>HYPERLINK("https://pubmed.ncbi.nlm.nih.gov/"&amp;C345&amp;"/","Open PubMed")</x:f>
        <x:v>HYPERLINK is not implemented. linkLocation=https://pubmed.ncbi.nlm.nih.gov/20808968/, friendlyName=Open PubMed</x:v>
      </x:c>
    </x:row>
    <x:row r="346">
      <x:c r="A346" s="26" t="str">
        <x:v>PUBMED-20878709</x:v>
      </x:c>
      <x:c r="B346" s="26" t="n">
        <x:v>2010</x:v>
      </x:c>
      <x:c r="C346" s="26" t="str">
        <x:v>20878709</x:v>
      </x:c>
      <x:c r="D346" s="28" t="str">
        <x:v>Impact of plant extracts tested in attention-deficit/hyperactivity disorder treatment on cell survival and energy metabolism in human neuroblastoma SH-SY5Y cells.</x:v>
      </x:c>
      <x:c r="E346" s="28" t="str">
        <x:v>Primary/contextual journal article</x:v>
      </x:c>
      <x:c r="F346" s="28" t="str">
        <x:v>Development &amp; presentation; Social &amp; structural; Environmental &amp; lifestyle; Treatment &amp; support</x:v>
      </x:c>
      <x:c r="G346" s="28" t="str">
        <x:v>Not specified</x:v>
      </x:c>
      <x:c r="H346" s="28" t="str">
        <x:v>Later specialized</x:v>
      </x:c>
      <x:c r="I346" s="28" t="str">
        <x:v>Direct or strongly ADHD-related record retained for later screening; typically narrower treatment, biomarker, mechanistic, or single-comorbidity focus.</x:v>
      </x:c>
      <x:c r="J346" s="38" t="e">
        <x:f>HYPERLINK("https://pubmed.ncbi.nlm.nih.gov/"&amp;C346&amp;"/","Open PubMed")</x:f>
        <x:v>HYPERLINK is not implemented. linkLocation=https://pubmed.ncbi.nlm.nih.gov/20878709/, friendlyName=Open PubMed</x:v>
      </x:c>
    </x:row>
    <x:row r="347">
      <x:c r="A347" s="26" t="str">
        <x:v>PUBMED-20970701</x:v>
      </x:c>
      <x:c r="B347" s="26" t="n">
        <x:v>2010</x:v>
      </x:c>
      <x:c r="C347" s="26" t="str">
        <x:v>20970701</x:v>
      </x:c>
      <x:c r="D347" s="28" t="str">
        <x:v>Symptoms of conduct disorder, oppositional defiant disorder, attention-deficit/hyperactivity disorder, and callous-unemotional traits as unique predictors of psychosocial maladjustment in boys: advancing an evidence base for DSM-V.</x:v>
      </x:c>
      <x:c r="E347" s="28" t="str">
        <x:v>Primary/contextual journal article</x:v>
      </x:c>
      <x:c r="F347" s="28" t="str">
        <x:v>Development &amp; presentation; Recognition &amp; diagnosis; Family &amp; education; Social &amp; structural; Treatment &amp; support; Life outcomes &amp; lived experience</x:v>
      </x:c>
      <x:c r="G347" s="28" t="str">
        <x:v>Childhood; Adolescence</x:v>
      </x:c>
      <x:c r="H347" s="28" t="str">
        <x:v>Later specialized</x:v>
      </x:c>
      <x:c r="I347" s="28" t="str">
        <x:v>Direct or strongly ADHD-related record retained for later screening; typically narrower treatment, biomarker, mechanistic, or single-comorbidity focus.</x:v>
      </x:c>
      <x:c r="J347" s="38" t="e">
        <x:f>HYPERLINK("https://pubmed.ncbi.nlm.nih.gov/"&amp;C347&amp;"/","Open PubMed")</x:f>
        <x:v>HYPERLINK is not implemented. linkLocation=https://pubmed.ncbi.nlm.nih.gov/20970701/, friendlyName=Open PubMed</x:v>
      </x:c>
    </x:row>
    <x:row r="348">
      <x:c r="A348" s="26" t="str">
        <x:v>PUBMED-21038163</x:v>
      </x:c>
      <x:c r="B348" s="26" t="n">
        <x:v>2010</x:v>
      </x:c>
      <x:c r="C348" s="26" t="str">
        <x:v>21038163</x:v>
      </x:c>
      <x:c r="D348" s="28" t="str">
        <x:v>Cognitive and motor control in neurofibromatosis type I: influence of maturation and hyperactivity-inattention.</x:v>
      </x:c>
      <x:c r="E348" s="28" t="str">
        <x:v>Primary study - case-control</x:v>
      </x:c>
      <x:c r="F348" s="28" t="str">
        <x:v>Development &amp; presentation; Recognition &amp; diagnosis</x:v>
      </x:c>
      <x:c r="G348" s="28" t="str">
        <x:v>Childhood; Adolescence</x:v>
      </x:c>
      <x:c r="H348" s="28" t="str">
        <x:v>Later specialized</x:v>
      </x:c>
      <x:c r="I348" s="28" t="str">
        <x:v>Direct or strongly ADHD-related record retained for later screening; typically narrower treatment, biomarker, mechanistic, or single-comorbidity focus.</x:v>
      </x:c>
      <x:c r="J348" s="38" t="e">
        <x:f>HYPERLINK("https://pubmed.ncbi.nlm.nih.gov/"&amp;C348&amp;"/","Open PubMed")</x:f>
        <x:v>HYPERLINK is not implemented. linkLocation=https://pubmed.ncbi.nlm.nih.gov/21038163/, friendlyName=Open PubMed</x:v>
      </x:c>
    </x:row>
    <x:row r="349">
      <x:c r="A349" s="26" t="str">
        <x:v>PUBMED-20693523</x:v>
      </x:c>
      <x:c r="B349" s="26" t="n">
        <x:v>2010</x:v>
      </x:c>
      <x:c r="C349" s="26" t="str">
        <x:v>20693523</x:v>
      </x:c>
      <x:c r="D349" s="28" t="str">
        <x:v>Cardiovascular safety of stimulant medications for pediatric attention-deficit hyperactivity disorder.</x:v>
      </x:c>
      <x:c r="E349" s="28" t="str">
        <x:v>Primary/contextual journal article</x:v>
      </x:c>
      <x:c r="F349" s="28" t="str">
        <x:v>Development &amp; presentation; Recognition &amp; diagnosis; Social &amp; structural; Treatment &amp; support; Historical &amp; contemporary context</x:v>
      </x:c>
      <x:c r="G349" s="28" t="str">
        <x:v>Childhood; Adolescence; Adulthood</x:v>
      </x:c>
      <x:c r="H349" s="28" t="str">
        <x:v>Later specialized</x:v>
      </x:c>
      <x:c r="I349" s="28" t="str">
        <x:v>Direct or strongly ADHD-related record retained for later screening; typically narrower treatment, biomarker, mechanistic, or single-comorbidity focus.</x:v>
      </x:c>
      <x:c r="J349" s="38" t="e">
        <x:f>HYPERLINK("https://pubmed.ncbi.nlm.nih.gov/"&amp;C349&amp;"/","Open PubMed")</x:f>
        <x:v>HYPERLINK is not implemented. linkLocation=https://pubmed.ncbi.nlm.nih.gov/20693523/, friendlyName=Open PubMed</x:v>
      </x:c>
    </x:row>
    <x:row r="350">
      <x:c r="A350" s="26" t="str">
        <x:v>PUBMED-20797914</x:v>
      </x:c>
      <x:c r="B350" s="26" t="n">
        <x:v>2010</x:v>
      </x:c>
      <x:c r="C350" s="26" t="str">
        <x:v>20797914</x:v>
      </x:c>
      <x:c r="D350" s="28" t="str">
        <x:v>Attention networks in children with idiopathic generalized epilepsy.</x:v>
      </x:c>
      <x:c r="E350" s="28" t="str">
        <x:v>Primary/contextual journal article</x:v>
      </x:c>
      <x:c r="F350" s="28" t="str">
        <x:v>Development &amp; presentation; Recognition &amp; diagnosis; Treatment &amp; support</x:v>
      </x:c>
      <x:c r="G350" s="28" t="str">
        <x:v>Childhood; Adolescence</x:v>
      </x:c>
      <x:c r="H350" s="28" t="str">
        <x:v>Later specialized</x:v>
      </x:c>
      <x:c r="I350" s="28" t="str">
        <x:v>Direct or strongly ADHD-related record retained for later screening; typically narrower treatment, biomarker, mechanistic, or single-comorbidity focus.</x:v>
      </x:c>
      <x:c r="J350" s="38" t="e">
        <x:f>HYPERLINK("https://pubmed.ncbi.nlm.nih.gov/"&amp;C350&amp;"/","Open PubMed")</x:f>
        <x:v>HYPERLINK is not implemented. linkLocation=https://pubmed.ncbi.nlm.nih.gov/20797914/, friendlyName=Open PubMed</x:v>
      </x:c>
    </x:row>
    <x:row r="351">
      <x:c r="A351" s="26" t="str">
        <x:v>PUBMED-20828676</x:v>
      </x:c>
      <x:c r="B351" s="26" t="n">
        <x:v>2010</x:v>
      </x:c>
      <x:c r="C351" s="26" t="str">
        <x:v>20828676</x:v>
      </x:c>
      <x:c r="D351" s="28" t="str">
        <x:v>Etiology and neuropsychology of comorbidity between RD and ADHD: the case for multiple-deficit models.</x:v>
      </x:c>
      <x:c r="E351" s="28" t="str">
        <x:v>Primary/contextual journal article</x:v>
      </x:c>
      <x:c r="F351" s="28" t="str">
        <x:v>Development &amp; presentation; Recognition &amp; diagnosis; Family &amp; education; Social &amp; structural</x:v>
      </x:c>
      <x:c r="G351" s="28" t="str">
        <x:v>Childhood; Adolescence</x:v>
      </x:c>
      <x:c r="H351" s="28" t="str">
        <x:v>Later specialized</x:v>
      </x:c>
      <x:c r="I351" s="28" t="str">
        <x:v>Direct or strongly ADHD-related record retained for later screening; typically narrower treatment, biomarker, mechanistic, or single-comorbidity focus.</x:v>
      </x:c>
      <x:c r="J351" s="38" t="e">
        <x:f>HYPERLINK("https://pubmed.ncbi.nlm.nih.gov/"&amp;C351&amp;"/","Open PubMed")</x:f>
        <x:v>HYPERLINK is not implemented. linkLocation=https://pubmed.ncbi.nlm.nih.gov/20828676/, friendlyName=Open PubMed</x:v>
      </x:c>
    </x:row>
    <x:row r="352">
      <x:c r="A352" s="26" t="str">
        <x:v>PUBMED-21197714</x:v>
      </x:c>
      <x:c r="B352" s="26" t="n">
        <x:v>2010</x:v>
      </x:c>
      <x:c r="C352" s="26" t="str">
        <x:v>21197714</x:v>
      </x:c>
      <x:c r="D352" s="28" t="str">
        <x:v>Attention and executive functioning deficits in liver-transplanted children.</x:v>
      </x:c>
      <x:c r="E352" s="28" t="str">
        <x:v>Primary study - cross-sectional</x:v>
      </x:c>
      <x:c r="F352" s="28" t="str">
        <x:v>Development &amp; presentation; Recognition &amp; diagnosis; Family &amp; education; Social &amp; structural; Life outcomes &amp; lived experience</x:v>
      </x:c>
      <x:c r="G352" s="28" t="str">
        <x:v>Childhood</x:v>
      </x:c>
      <x:c r="H352" s="28" t="str">
        <x:v>Later specialized</x:v>
      </x:c>
      <x:c r="I352" s="28" t="str">
        <x:v>Direct or strongly ADHD-related record retained for later screening; typically narrower treatment, biomarker, mechanistic, or single-comorbidity focus.</x:v>
      </x:c>
      <x:c r="J352" s="38" t="e">
        <x:f>HYPERLINK("https://pubmed.ncbi.nlm.nih.gov/"&amp;C352&amp;"/","Open PubMed")</x:f>
        <x:v>HYPERLINK is not implemented. linkLocation=https://pubmed.ncbi.nlm.nih.gov/21197714/, friendlyName=Open PubMed</x:v>
      </x:c>
    </x:row>
    <x:row r="353">
      <x:c r="A353" s="26" t="str">
        <x:v>PUBMED-21044513</x:v>
      </x:c>
      <x:c r="B353" s="26" t="n">
        <x:v>2010</x:v>
      </x:c>
      <x:c r="C353" s="26" t="str">
        <x:v>21044513</x:v>
      </x:c>
      <x:c r="D353" s="28" t="str">
        <x:v>[Psychosocial intervention follow-up in children with ADHD: effects on academic, emotional and social functioning].</x:v>
      </x:c>
      <x:c r="E353" s="28" t="str">
        <x:v>Primary study - clinical trial</x:v>
      </x:c>
      <x:c r="F353" s="28" t="str">
        <x:v>Development &amp; presentation; Family &amp; education; Social &amp; structural; Treatment &amp; support; Life outcomes &amp; lived experience</x:v>
      </x:c>
      <x:c r="G353" s="28" t="str">
        <x:v>Childhood</x:v>
      </x:c>
      <x:c r="H353" s="28" t="str">
        <x:v>Later specialized</x:v>
      </x:c>
      <x:c r="I353" s="28" t="str">
        <x:v>Direct or strongly ADHD-related record retained for later screening; typically narrower treatment, biomarker, mechanistic, or single-comorbidity focus.</x:v>
      </x:c>
      <x:c r="J353" s="38" t="e">
        <x:f>HYPERLINK("https://pubmed.ncbi.nlm.nih.gov/"&amp;C353&amp;"/","Open PubMed")</x:f>
        <x:v>HYPERLINK is not implemented. linkLocation=https://pubmed.ncbi.nlm.nih.gov/21044513/, friendlyName=Open PubMed</x:v>
      </x:c>
    </x:row>
    <x:row r="354">
      <x:c r="A354" s="26" t="str">
        <x:v>PUBMED-21064019</x:v>
      </x:c>
      <x:c r="B354" s="26" t="n">
        <x:v>2010</x:v>
      </x:c>
      <x:c r="C354" s="26" t="str">
        <x:v>21064019</x:v>
      </x:c>
      <x:c r="D354" s="28" t="str">
        <x:v>[Modafinil in psychiatric disorders: the promising state reconsidered].</x:v>
      </x:c>
      <x:c r="E354" s="28" t="str">
        <x:v>Evidence synthesis - review</x:v>
      </x:c>
      <x:c r="F354" s="28" t="str">
        <x:v>Development &amp; presentation; Social &amp; structural; Treatment &amp; support; Life outcomes &amp; lived experience; Historical &amp; contemporary context</x:v>
      </x:c>
      <x:c r="G354" s="28" t="str">
        <x:v>Not specified</x:v>
      </x:c>
      <x:c r="H354" s="28" t="str">
        <x:v>Later specialized</x:v>
      </x:c>
      <x:c r="I354" s="28" t="str">
        <x:v>Direct or strongly ADHD-related record retained for later screening; typically narrower treatment, biomarker, mechanistic, or single-comorbidity focus.</x:v>
      </x:c>
      <x:c r="J354" s="38" t="e">
        <x:f>HYPERLINK("https://pubmed.ncbi.nlm.nih.gov/"&amp;C354&amp;"/","Open PubMed")</x:f>
        <x:v>HYPERLINK is not implemented. linkLocation=https://pubmed.ncbi.nlm.nih.gov/21064019/, friendlyName=Open PubMed</x:v>
      </x:c>
    </x:row>
    <x:row r="355">
      <x:c r="A355" s="26" t="str">
        <x:v>PUBMED-21093772</x:v>
      </x:c>
      <x:c r="B355" s="26" t="n">
        <x:v>2010</x:v>
      </x:c>
      <x:c r="C355" s="26" t="str">
        <x:v>21093772</x:v>
      </x:c>
      <x:c r="D355" s="28" t="str">
        <x:v>Quality of care for childhood attention-deficit/hyperactivity disorder in a managed care medicaid program.</x:v>
      </x:c>
      <x:c r="E355" s="28" t="str">
        <x:v>Primary study - cohort</x:v>
      </x:c>
      <x:c r="F355" s="28" t="str">
        <x:v>Development &amp; presentation; Recognition &amp; diagnosis; Family &amp; education; Social &amp; structural; Environmental &amp; lifestyle; Treatment &amp; support; Life outcomes &amp; lived experience</x:v>
      </x:c>
      <x:c r="G355" s="28" t="str">
        <x:v>Childhood; Adulthood</x:v>
      </x:c>
      <x:c r="H355" s="28" t="str">
        <x:v>Later specialized</x:v>
      </x:c>
      <x:c r="I355" s="28" t="str">
        <x:v>Direct or strongly ADHD-related record retained for later screening; typically narrower treatment, biomarker, mechanistic, or single-comorbidity focus.</x:v>
      </x:c>
      <x:c r="J355" s="38" t="e">
        <x:f>HYPERLINK("https://pubmed.ncbi.nlm.nih.gov/"&amp;C355&amp;"/","Open PubMed")</x:f>
        <x:v>HYPERLINK is not implemented. linkLocation=https://pubmed.ncbi.nlm.nih.gov/21093772/, friendlyName=Open PubMed</x:v>
      </x:c>
    </x:row>
    <x:row r="356">
      <x:c r="A356" s="26" t="str">
        <x:v>PUBMED-21122117</x:v>
      </x:c>
      <x:c r="B356" s="26" t="n">
        <x:v>2010</x:v>
      </x:c>
      <x:c r="C356" s="26" t="str">
        <x:v>21122117</x:v>
      </x:c>
      <x:c r="D356" s="28" t="str">
        <x:v>Genetic influences on attention deficit hyperactivity disorder symptoms from age 2 to 3: a quantitative and molecular genetic investigation.</x:v>
      </x:c>
      <x:c r="E356" s="28" t="str">
        <x:v>Primary/contextual journal article</x:v>
      </x:c>
      <x:c r="F356" s="28" t="str">
        <x:v>Development &amp; presentation; Recognition &amp; diagnosis; Family &amp; education; Social &amp; structural; Environmental &amp; lifestyle</x:v>
      </x:c>
      <x:c r="G356" s="28" t="str">
        <x:v>Childhood</x:v>
      </x:c>
      <x:c r="H356" s="28" t="str">
        <x:v>Later specialized</x:v>
      </x:c>
      <x:c r="I356" s="28" t="str">
        <x:v>Direct or strongly ADHD-related record retained for later screening; typically narrower treatment, biomarker, mechanistic, or single-comorbidity focus.</x:v>
      </x:c>
      <x:c r="J356" s="38" t="e">
        <x:f>HYPERLINK("https://pubmed.ncbi.nlm.nih.gov/"&amp;C356&amp;"/","Open PubMed")</x:f>
        <x:v>HYPERLINK is not implemented. linkLocation=https://pubmed.ncbi.nlm.nih.gov/21122117/, friendlyName=Open PubMed</x:v>
      </x:c>
    </x:row>
    <x:row r="357">
      <x:c r="A357" s="26" t="str">
        <x:v>PUBMED-20845231</x:v>
      </x:c>
      <x:c r="B357" s="26" t="n">
        <x:v>2010</x:v>
      </x:c>
      <x:c r="C357" s="26" t="str">
        <x:v>20845231</x:v>
      </x:c>
      <x:c r="D357" s="28" t="str">
        <x:v>Effectiveness of symptom validity measures in identifying cognitive and behavioral symptom exaggeration in adult attention deficit hyperactivity disorder.</x:v>
      </x:c>
      <x:c r="E357" s="28" t="str">
        <x:v>Primary/contextual journal article</x:v>
      </x:c>
      <x:c r="F357" s="28" t="str">
        <x:v>Development &amp; presentation; Recognition &amp; diagnosis; Social &amp; structural; Treatment &amp; support</x:v>
      </x:c>
      <x:c r="G357" s="28" t="str">
        <x:v>Adolescence; Adulthood</x:v>
      </x:c>
      <x:c r="H357" s="28" t="str">
        <x:v>Later specialized</x:v>
      </x:c>
      <x:c r="I357" s="28" t="str">
        <x:v>Direct or strongly ADHD-related record retained for later screening; typically narrower treatment, biomarker, mechanistic, or single-comorbidity focus.</x:v>
      </x:c>
      <x:c r="J357" s="38" t="e">
        <x:f>HYPERLINK("https://pubmed.ncbi.nlm.nih.gov/"&amp;C357&amp;"/","Open PubMed")</x:f>
        <x:v>HYPERLINK is not implemented. linkLocation=https://pubmed.ncbi.nlm.nih.gov/20845231/, friendlyName=Open PubMed</x:v>
      </x:c>
    </x:row>
    <x:row r="358">
      <x:c r="A358" s="26" t="str">
        <x:v>PUBMED-21432610</x:v>
      </x:c>
      <x:c r="B358" s="26" t="n">
        <x:v>2010</x:v>
      </x:c>
      <x:c r="C358" s="26" t="str">
        <x:v>21432610</x:v>
      </x:c>
      <x:c r="D358" s="28" t="str">
        <x:v>Neurobiological and psychophysiological correlates of emotional dysregulation in ADHD patients.</x:v>
      </x:c>
      <x:c r="E358" s="28" t="str">
        <x:v>Evidence synthesis - review</x:v>
      </x:c>
      <x:c r="F358" s="28" t="str">
        <x:v>Development &amp; presentation; Recognition &amp; diagnosis; Social &amp; structural</x:v>
      </x:c>
      <x:c r="G358" s="28" t="str">
        <x:v>Not specified</x:v>
      </x:c>
      <x:c r="H358" s="28" t="str">
        <x:v>Later specialized</x:v>
      </x:c>
      <x:c r="I358" s="28" t="str">
        <x:v>Direct or strongly ADHD-related record retained for later screening; typically narrower treatment, biomarker, mechanistic, or single-comorbidity focus.</x:v>
      </x:c>
      <x:c r="J358" s="38" t="e">
        <x:f>HYPERLINK("https://pubmed.ncbi.nlm.nih.gov/"&amp;C358&amp;"/","Open PubMed")</x:f>
        <x:v>HYPERLINK is not implemented. linkLocation=https://pubmed.ncbi.nlm.nih.gov/21432610/, friendlyName=Open PubMed</x:v>
      </x:c>
    </x:row>
    <x:row r="359">
      <x:c r="A359" s="26" t="str">
        <x:v>PUBMED-21432590</x:v>
      </x:c>
      <x:c r="B359" s="26" t="n">
        <x:v>2010</x:v>
      </x:c>
      <x:c r="C359" s="26" t="str">
        <x:v>21432590</x:v>
      </x:c>
      <x:c r="D359" s="28" t="str">
        <x:v>Exercise impact on sustained attention of ADHD children, methylphenidate effects.</x:v>
      </x:c>
      <x:c r="E359" s="28" t="str">
        <x:v>Primary study - clinical trial</x:v>
      </x:c>
      <x:c r="F359" s="28" t="str">
        <x:v>Development &amp; presentation; Recognition &amp; diagnosis; Social &amp; structural; Environmental &amp; lifestyle; Treatment &amp; support</x:v>
      </x:c>
      <x:c r="G359" s="28" t="str">
        <x:v>Childhood; Adolescence</x:v>
      </x:c>
      <x:c r="H359" s="28" t="str">
        <x:v>Later specialized</x:v>
      </x:c>
      <x:c r="I359" s="28" t="str">
        <x:v>Direct or strongly ADHD-related record retained for later screening; typically narrower treatment, biomarker, mechanistic, or single-comorbidity focus.</x:v>
      </x:c>
      <x:c r="J359" s="38" t="e">
        <x:f>HYPERLINK("https://pubmed.ncbi.nlm.nih.gov/"&amp;C359&amp;"/","Open PubMed")</x:f>
        <x:v>HYPERLINK is not implemented. linkLocation=https://pubmed.ncbi.nlm.nih.gov/21432590/, friendlyName=Open PubMed</x:v>
      </x:c>
    </x:row>
    <x:row r="360">
      <x:c r="A360" s="26" t="str">
        <x:v>PUBMED-20926493</x:v>
      </x:c>
      <x:c r="B360" s="26" t="n">
        <x:v>2010</x:v>
      </x:c>
      <x:c r="C360" s="26" t="str">
        <x:v>20926493</x:v>
      </x:c>
      <x:c r="D360" s="28" t="str">
        <x:v>The role of inattention and social perception and performance in two subtypes of ADHD.</x:v>
      </x:c>
      <x:c r="E360" s="28" t="str">
        <x:v>Primary/contextual journal article</x:v>
      </x:c>
      <x:c r="F360" s="28" t="str">
        <x:v>Development &amp; presentation; Recognition &amp; diagnosis; Family &amp; education; Social &amp; structural; Treatment &amp; support; Life outcomes &amp; lived experience</x:v>
      </x:c>
      <x:c r="G360" s="28" t="str">
        <x:v>Childhood; Adolescence</x:v>
      </x:c>
      <x:c r="H360" s="28" t="str">
        <x:v>Later specialized</x:v>
      </x:c>
      <x:c r="I360" s="28" t="str">
        <x:v>Direct or strongly ADHD-related record retained for later screening; typically narrower treatment, biomarker, mechanistic, or single-comorbidity focus.</x:v>
      </x:c>
      <x:c r="J360" s="38" t="e">
        <x:f>HYPERLINK("https://pubmed.ncbi.nlm.nih.gov/"&amp;C360&amp;"/","Open PubMed")</x:f>
        <x:v>HYPERLINK is not implemented. linkLocation=https://pubmed.ncbi.nlm.nih.gov/20926493/, friendlyName=Open PubMed</x:v>
      </x:c>
    </x:row>
    <x:row r="361">
      <x:c r="A361" s="26" t="str">
        <x:v>PUBMED-20864440</x:v>
      </x:c>
      <x:c r="B361" s="26" t="n">
        <x:v>2010</x:v>
      </x:c>
      <x:c r="C361" s="26" t="str">
        <x:v>20864440</x:v>
      </x:c>
      <x:c r="D361" s="28" t="str">
        <x:v>Self-reported adult attention-deficit/hyperactivity disorder symptoms among college students.</x:v>
      </x:c>
      <x:c r="E361" s="28" t="str">
        <x:v>Primary study - cohort</x:v>
      </x:c>
      <x:c r="F361" s="28" t="str">
        <x:v>Development &amp; presentation; Recognition &amp; diagnosis; Social &amp; structural; Treatment &amp; support</x:v>
      </x:c>
      <x:c r="G361" s="28" t="str">
        <x:v>Adulthood</x:v>
      </x:c>
      <x:c r="H361" s="28" t="str">
        <x:v>Later specialized</x:v>
      </x:c>
      <x:c r="I361" s="28" t="str">
        <x:v>Direct or strongly ADHD-related record retained for later screening; typically narrower treatment, biomarker, mechanistic, or single-comorbidity focus.</x:v>
      </x:c>
      <x:c r="J361" s="38" t="e">
        <x:f>HYPERLINK("https://pubmed.ncbi.nlm.nih.gov/"&amp;C361&amp;"/","Open PubMed")</x:f>
        <x:v>HYPERLINK is not implemented. linkLocation=https://pubmed.ncbi.nlm.nih.gov/20864440/, friendlyName=Open PubMed</x:v>
      </x:c>
    </x:row>
    <x:row r="362">
      <x:c r="A362" s="26" t="str">
        <x:v>PUBMED-20981762</x:v>
      </x:c>
      <x:c r="B362" s="26" t="n">
        <x:v>2010</x:v>
      </x:c>
      <x:c r="C362" s="26" t="str">
        <x:v>20981762</x:v>
      </x:c>
      <x:c r="D362" s="28" t="str">
        <x:v>Treatment of epilepsy in children with developmental disabilities.</x:v>
      </x:c>
      <x:c r="E362" s="28" t="str">
        <x:v>Evidence synthesis - review</x:v>
      </x:c>
      <x:c r="F362" s="28" t="str">
        <x:v>Development &amp; presentation; Recognition &amp; diagnosis; Social &amp; structural; Treatment &amp; support; Life outcomes &amp; lived experience</x:v>
      </x:c>
      <x:c r="G362" s="28" t="str">
        <x:v>Childhood</x:v>
      </x:c>
      <x:c r="H362" s="28" t="str">
        <x:v>Exclude/incidental</x:v>
      </x:c>
      <x:c r="I362" s="28" t="str">
        <x:v>ADHD appears peripheral or insufficiently aligned with the requested corpus scope based on accessible metadata/abstract.</x:v>
      </x:c>
      <x:c r="J362" s="38" t="e">
        <x:f>HYPERLINK("https://pubmed.ncbi.nlm.nih.gov/"&amp;C362&amp;"/","Open PubMed")</x:f>
        <x:v>HYPERLINK is not implemented. linkLocation=https://pubmed.ncbi.nlm.nih.gov/20981762/, friendlyName=Open PubMed</x:v>
      </x:c>
    </x:row>
    <x:row r="363">
      <x:c r="A363" s="26" t="str">
        <x:v>PUBMED-20797374</x:v>
      </x:c>
      <x:c r="B363" s="26" t="n">
        <x:v>2010</x:v>
      </x:c>
      <x:c r="C363" s="26" t="str">
        <x:v>20797374</x:v>
      </x:c>
      <x:c r="D363" s="28" t="str">
        <x:v>Monitoring adults with ADHD: a focus on executive and behavioral function.</x:v>
      </x:c>
      <x:c r="E363" s="28" t="str">
        <x:v>Primary/contextual journal article</x:v>
      </x:c>
      <x:c r="F363" s="28" t="str">
        <x:v>Development &amp; presentation; Recognition &amp; diagnosis; Social &amp; structural; Treatment &amp; support; Life outcomes &amp; lived experience</x:v>
      </x:c>
      <x:c r="G363" s="28" t="str">
        <x:v>Adulthood</x:v>
      </x:c>
      <x:c r="H363" s="28" t="str">
        <x:v>Later specialized</x:v>
      </x:c>
      <x:c r="I363" s="28" t="str">
        <x:v>Direct or strongly ADHD-related record retained for later screening; typically narrower treatment, biomarker, mechanistic, or single-comorbidity focus.</x:v>
      </x:c>
      <x:c r="J363" s="38" t="e">
        <x:f>HYPERLINK("https://pubmed.ncbi.nlm.nih.gov/"&amp;C363&amp;"/","Open PubMed")</x:f>
        <x:v>HYPERLINK is not implemented. linkLocation=https://pubmed.ncbi.nlm.nih.gov/20797374/, friendlyName=Open PubMed</x:v>
      </x:c>
    </x:row>
    <x:row r="364">
      <x:c r="A364" s="26" t="str">
        <x:v>PUBMED-21057424</x:v>
      </x:c>
      <x:c r="B364" s="26" t="n">
        <x:v>2010</x:v>
      </x:c>
      <x:c r="C364" s="26" t="str">
        <x:v>21057424</x:v>
      </x:c>
      <x:c r="D364" s="28" t="str">
        <x:v>ADHD and bipolar disorder among adolescents: nosology in question.</x:v>
      </x:c>
      <x:c r="E364" s="28" t="str">
        <x:v>Evidence synthesis - review</x:v>
      </x:c>
      <x:c r="F364" s="28" t="str">
        <x:v>Development &amp; presentation; Recognition &amp; diagnosis; Social &amp; structural</x:v>
      </x:c>
      <x:c r="G364" s="28" t="str">
        <x:v>Childhood; Adolescence</x:v>
      </x:c>
      <x:c r="H364" s="28" t="str">
        <x:v>Later specialized</x:v>
      </x:c>
      <x:c r="I364" s="28" t="str">
        <x:v>Direct or strongly ADHD-related record retained for later screening; typically narrower treatment, biomarker, mechanistic, or single-comorbidity focus.</x:v>
      </x:c>
      <x:c r="J364" s="38" t="e">
        <x:f>HYPERLINK("https://pubmed.ncbi.nlm.nih.gov/"&amp;C364&amp;"/","Open PubMed")</x:f>
        <x:v>HYPERLINK is not implemented. linkLocation=https://pubmed.ncbi.nlm.nih.gov/21057424/, friendlyName=Open PubMed</x:v>
      </x:c>
    </x:row>
    <x:row r="365">
      <x:c r="A365" s="26" t="str">
        <x:v>PUBMED-20952350</x:v>
      </x:c>
      <x:c r="B365" s="26" t="n">
        <x:v>2010</x:v>
      </x:c>
      <x:c r="C365" s="26" t="str">
        <x:v>20952350</x:v>
      </x:c>
      <x:c r="D365" s="28" t="str">
        <x:v>Alexithymia, emotion processing and social anxiety in adults with ADHD.</x:v>
      </x:c>
      <x:c r="E365" s="28" t="str">
        <x:v>Primary/contextual journal article</x:v>
      </x:c>
      <x:c r="F365" s="28" t="str">
        <x:v>Development &amp; presentation; Recognition &amp; diagnosis; Treatment &amp; support</x:v>
      </x:c>
      <x:c r="G365" s="28" t="str">
        <x:v>Adulthood</x:v>
      </x:c>
      <x:c r="H365" s="28" t="str">
        <x:v>Later specialized</x:v>
      </x:c>
      <x:c r="I365" s="28" t="str">
        <x:v>Direct or strongly ADHD-related record retained for later screening; typically narrower treatment, biomarker, mechanistic, or single-comorbidity focus.</x:v>
      </x:c>
      <x:c r="J365" s="38" t="e">
        <x:f>HYPERLINK("https://pubmed.ncbi.nlm.nih.gov/"&amp;C365&amp;"/","Open PubMed")</x:f>
        <x:v>HYPERLINK is not implemented. linkLocation=https://pubmed.ncbi.nlm.nih.gov/20952350/, friendlyName=Open PubMed</x:v>
      </x:c>
    </x:row>
    <x:row r="366">
      <x:c r="A366" s="26" t="str">
        <x:v>PUBMED-21077351</x:v>
      </x:c>
      <x:c r="B366" s="26" t="n">
        <x:v>2010</x:v>
      </x:c>
      <x:c r="C366" s="26" t="str">
        <x:v>21077351</x:v>
      </x:c>
      <x:c r="D366" s="28" t="str">
        <x:v>[Clinical application of the modified Stroop test to children with attention deficit/hyperactivity disorder].</x:v>
      </x:c>
      <x:c r="E366" s="28" t="str">
        <x:v>Primary/contextual journal article</x:v>
      </x:c>
      <x:c r="F366" s="28" t="str">
        <x:v>Development &amp; presentation; Recognition &amp; diagnosis; Social &amp; structural; Treatment &amp; support; Life outcomes &amp; lived experience</x:v>
      </x:c>
      <x:c r="G366" s="28" t="str">
        <x:v>Childhood; Adolescence</x:v>
      </x:c>
      <x:c r="H366" s="28" t="str">
        <x:v>Later specialized</x:v>
      </x:c>
      <x:c r="I366" s="28" t="str">
        <x:v>Direct or strongly ADHD-related record retained for later screening; typically narrower treatment, biomarker, mechanistic, or single-comorbidity focus.</x:v>
      </x:c>
      <x:c r="J366" s="38" t="e">
        <x:f>HYPERLINK("https://pubmed.ncbi.nlm.nih.gov/"&amp;C366&amp;"/","Open PubMed")</x:f>
        <x:v>HYPERLINK is not implemented. linkLocation=https://pubmed.ncbi.nlm.nih.gov/21077351/, friendlyName=Open PubMed</x:v>
      </x:c>
    </x:row>
    <x:row r="367">
      <x:c r="A367" s="26" t="str">
        <x:v>PUBMED-20814332</x:v>
      </x:c>
      <x:c r="B367" s="26" t="n">
        <x:v>2010</x:v>
      </x:c>
      <x:c r="C367" s="26" t="str">
        <x:v>20814332</x:v>
      </x:c>
      <x:c r="D367" s="28" t="str">
        <x:v>A randomized, 3-phase, 34-week, double-blind, long-term efficacy study of osmotic-release oral system-methylphenidate in adults with attention-deficit/hyperactivity disorder.</x:v>
      </x:c>
      <x:c r="E367" s="28" t="str">
        <x:v>Primary study - randomized controlled trial</x:v>
      </x:c>
      <x:c r="F367" s="28" t="str">
        <x:v>Development &amp; presentation; Recognition &amp; diagnosis; Social &amp; structural; Treatment &amp; support; Life outcomes &amp; lived experience</x:v>
      </x:c>
      <x:c r="G367" s="28" t="str">
        <x:v>Adulthood</x:v>
      </x:c>
      <x:c r="H367" s="28" t="str">
        <x:v>Later specialized</x:v>
      </x:c>
      <x:c r="I367" s="28" t="str">
        <x:v>Direct or strongly ADHD-related record retained for later screening; typically narrower treatment, biomarker, mechanistic, or single-comorbidity focus.</x:v>
      </x:c>
      <x:c r="J367" s="38" t="e">
        <x:f>HYPERLINK("https://pubmed.ncbi.nlm.nih.gov/"&amp;C367&amp;"/","Open PubMed")</x:f>
        <x:v>HYPERLINK is not implemented. linkLocation=https://pubmed.ncbi.nlm.nih.gov/20814332/, friendlyName=Open PubMed</x:v>
      </x:c>
    </x:row>
    <x:row r="368">
      <x:c r="A368" s="26" t="str">
        <x:v>PUBMED-20822267</x:v>
      </x:c>
      <x:c r="B368" s="26" t="n">
        <x:v>2010</x:v>
      </x:c>
      <x:c r="C368" s="26" t="str">
        <x:v>20822267</x:v>
      </x:c>
      <x:c r="D368" s="28" t="str">
        <x:v>Attention-deficit/hyperactivity disorder symptoms in preschool children: examining psychometric properties using item response theory.</x:v>
      </x:c>
      <x:c r="E368" s="28" t="str">
        <x:v>Primary/contextual journal article</x:v>
      </x:c>
      <x:c r="F368" s="28" t="str">
        <x:v>Development &amp; presentation; Recognition &amp; diagnosis; Family &amp; education; Social &amp; structural; Treatment &amp; support</x:v>
      </x:c>
      <x:c r="G368" s="28" t="str">
        <x:v>Childhood</x:v>
      </x:c>
      <x:c r="H368" s="28" t="str">
        <x:v>Later specialized</x:v>
      </x:c>
      <x:c r="I368" s="28" t="str">
        <x:v>Direct or strongly ADHD-related record retained for later screening; typically narrower treatment, biomarker, mechanistic, or single-comorbidity focus.</x:v>
      </x:c>
      <x:c r="J368" s="38" t="e">
        <x:f>HYPERLINK("https://pubmed.ncbi.nlm.nih.gov/"&amp;C368&amp;"/","Open PubMed")</x:f>
        <x:v>HYPERLINK is not implemented. linkLocation=https://pubmed.ncbi.nlm.nih.gov/20822267/, friendlyName=Open PubMed</x:v>
      </x:c>
    </x:row>
    <x:row r="369">
      <x:c r="A369" s="26" t="str">
        <x:v>PUBMED-21058124</x:v>
      </x:c>
      <x:c r="B369" s="26" t="n">
        <x:v>2010</x:v>
      </x:c>
      <x:c r="C369" s="26" t="str">
        <x:v>21058124</x:v>
      </x:c>
      <x:c r="D369" s="28" t="str">
        <x:v>Predictive validity of a continuous alternative to nominal subtypes of attention-deficit/hyperactivity disorder for DSM-V.</x:v>
      </x:c>
      <x:c r="E369" s="28" t="str">
        <x:v>Primary study - case-control</x:v>
      </x:c>
      <x:c r="F369" s="28" t="str">
        <x:v>Development &amp; presentation; Recognition &amp; diagnosis; Family &amp; education; Social &amp; structural; Treatment &amp; support</x:v>
      </x:c>
      <x:c r="G369" s="28" t="str">
        <x:v>Childhood</x:v>
      </x:c>
      <x:c r="H369" s="28" t="str">
        <x:v>Later specialized</x:v>
      </x:c>
      <x:c r="I369" s="28" t="str">
        <x:v>Direct or strongly ADHD-related record retained for later screening; typically narrower treatment, biomarker, mechanistic, or single-comorbidity focus.</x:v>
      </x:c>
      <x:c r="J369" s="38" t="e">
        <x:f>HYPERLINK("https://pubmed.ncbi.nlm.nih.gov/"&amp;C369&amp;"/","Open PubMed")</x:f>
        <x:v>HYPERLINK is not implemented. linkLocation=https://pubmed.ncbi.nlm.nih.gov/21058124/, friendlyName=Open PubMed</x:v>
      </x:c>
    </x:row>
    <x:row r="370">
      <x:c r="A370" s="26" t="str">
        <x:v>PUBMED-20828985</x:v>
      </x:c>
      <x:c r="B370" s="26" t="n">
        <x:v>2010</x:v>
      </x:c>
      <x:c r="C370" s="26" t="str">
        <x:v>20828985</x:v>
      </x:c>
      <x:c r="D370" s="28" t="str">
        <x:v>The characteristics of AD/HD symptoms, self-esteem, and aggression among serious juvenile offenders in Japan.</x:v>
      </x:c>
      <x:c r="E370" s="28" t="str">
        <x:v>Primary/contextual journal article</x:v>
      </x:c>
      <x:c r="F370" s="28" t="str">
        <x:v>Development &amp; presentation; Recognition &amp; diagnosis; Family &amp; education; Social &amp; structural; Life outcomes &amp; lived experience</x:v>
      </x:c>
      <x:c r="G370" s="28" t="str">
        <x:v>Adolescence</x:v>
      </x:c>
      <x:c r="H370" s="28" t="str">
        <x:v>Exclude/incidental</x:v>
      </x:c>
      <x:c r="I370" s="28" t="str">
        <x:v>ADHD appears peripheral or insufficiently aligned with the requested corpus scope based on accessible metadata/abstract.</x:v>
      </x:c>
      <x:c r="J370" s="38" t="e">
        <x:f>HYPERLINK("https://pubmed.ncbi.nlm.nih.gov/"&amp;C370&amp;"/","Open PubMed")</x:f>
        <x:v>HYPERLINK is not implemented. linkLocation=https://pubmed.ncbi.nlm.nih.gov/20828985/, friendlyName=Open PubMed</x:v>
      </x:c>
    </x:row>
    <x:row r="371">
      <x:c r="A371" s="26" t="str">
        <x:v>PUBMED-20926067</x:v>
      </x:c>
      <x:c r="B371" s="26" t="n">
        <x:v>2010</x:v>
      </x:c>
      <x:c r="C371" s="26" t="str">
        <x:v>20926067</x:v>
      </x:c>
      <x:c r="D371" s="28" t="str">
        <x:v>Basic impairments in regulating the speed-accuracy tradeoff predict symptoms of attention-deficit/hyperactivity disorder.</x:v>
      </x:c>
      <x:c r="E371" s="28" t="str">
        <x:v>Primary/contextual journal article</x:v>
      </x:c>
      <x:c r="F371" s="28" t="str">
        <x:v>Development &amp; presentation; Recognition &amp; diagnosis; Social &amp; structural</x:v>
      </x:c>
      <x:c r="G371" s="28" t="str">
        <x:v>Childhood; Adolescence</x:v>
      </x:c>
      <x:c r="H371" s="28" t="str">
        <x:v>Later specialized</x:v>
      </x:c>
      <x:c r="I371" s="28" t="str">
        <x:v>Direct or strongly ADHD-related record retained for later screening; typically narrower treatment, biomarker, mechanistic, or single-comorbidity focus.</x:v>
      </x:c>
      <x:c r="J371" s="38" t="e">
        <x:f>HYPERLINK("https://pubmed.ncbi.nlm.nih.gov/"&amp;C371&amp;"/","Open PubMed")</x:f>
        <x:v>HYPERLINK is not implemented. linkLocation=https://pubmed.ncbi.nlm.nih.gov/20926067/, friendlyName=Open PubMed</x:v>
      </x:c>
    </x:row>
    <x:row r="372">
      <x:c r="A372" s="26" t="str">
        <x:v>PUBMED-20925475</x:v>
      </x:c>
      <x:c r="B372" s="26" t="n">
        <x:v>2010</x:v>
      </x:c>
      <x:c r="C372" s="26" t="str">
        <x:v>20925475</x:v>
      </x:c>
      <x:c r="D372" s="28" t="str">
        <x:v>An 'integrative neuroscience' perspective on ADHD: linking cognition, emotion, brain and genetic measures with implications for clinical support.</x:v>
      </x:c>
      <x:c r="E372" s="28" t="str">
        <x:v>Evidence synthesis - review</x:v>
      </x:c>
      <x:c r="F372" s="28" t="str">
        <x:v>Development &amp; presentation; Recognition &amp; diagnosis; Social &amp; structural; Treatment &amp; support; Life outcomes &amp; lived experience</x:v>
      </x:c>
      <x:c r="G372" s="28" t="str">
        <x:v>Childhood; Adolescence; Adulthood</x:v>
      </x:c>
      <x:c r="H372" s="28" t="str">
        <x:v>Batch 1 core</x:v>
      </x:c>
      <x:c r="I372" s="28" t="str">
        <x:v>Direct ADHD evidence synthesis/guideline with broad multi-topic relevance.</x:v>
      </x:c>
      <x:c r="J372" s="38" t="e">
        <x:f>HYPERLINK("https://pubmed.ncbi.nlm.nih.gov/"&amp;C372&amp;"/","Open PubMed")</x:f>
        <x:v>HYPERLINK is not implemented. linkLocation=https://pubmed.ncbi.nlm.nih.gov/20925475/, friendlyName=Open PubMed</x:v>
      </x:c>
    </x:row>
    <x:row r="373">
      <x:c r="A373" s="26" t="str">
        <x:v>PUBMED-21058120</x:v>
      </x:c>
      <x:c r="B373" s="26" t="n">
        <x:v>2010</x:v>
      </x:c>
      <x:c r="C373" s="26" t="str">
        <x:v>21058120</x:v>
      </x:c>
      <x:c r="D373" s="28" t="str">
        <x:v>What is to be the fate of ADHD subtypes? An introduction to the special section on research on the ADHD subtypes and implications for the DSM-V.</x:v>
      </x:c>
      <x:c r="E373" s="28" t="str">
        <x:v>Primary/contextual journal article</x:v>
      </x:c>
      <x:c r="F373" s="28" t="str">
        <x:v>Development &amp; presentation; Recognition &amp; diagnosis; Social &amp; structural</x:v>
      </x:c>
      <x:c r="G373" s="28" t="str">
        <x:v>Childhood</x:v>
      </x:c>
      <x:c r="H373" s="28" t="str">
        <x:v>Later specialized</x:v>
      </x:c>
      <x:c r="I373" s="28" t="str">
        <x:v>Direct or strongly ADHD-related record retained for later screening; typically narrower treatment, biomarker, mechanistic, or single-comorbidity focus.</x:v>
      </x:c>
      <x:c r="J373" s="38" t="e">
        <x:f>HYPERLINK("https://pubmed.ncbi.nlm.nih.gov/"&amp;C373&amp;"/","Open PubMed")</x:f>
        <x:v>HYPERLINK is not implemented. linkLocation=https://pubmed.ncbi.nlm.nih.gov/21058120/, friendlyName=Open PubMed</x:v>
      </x:c>
    </x:row>
    <x:row r="374">
      <x:c r="A374" s="26" t="str">
        <x:v>PUBMED-21179515</x:v>
      </x:c>
      <x:c r="B374" s="26" t="n">
        <x:v>2010</x:v>
      </x:c>
      <x:c r="C374" s="26" t="str">
        <x:v>21179515</x:v>
      </x:c>
      <x:c r="D374" s="28" t="str">
        <x:v>Prescription drugs associated with reports of violence towards others.</x:v>
      </x:c>
      <x:c r="E374" s="28" t="str">
        <x:v>Primary/contextual journal article</x:v>
      </x:c>
      <x:c r="F374" s="28" t="str">
        <x:v>Development &amp; presentation; Recognition &amp; diagnosis; Social &amp; structural; Environmental &amp; lifestyle; Treatment &amp; support; Life outcomes &amp; lived experience</x:v>
      </x:c>
      <x:c r="G374" s="28" t="str">
        <x:v>Not specified</x:v>
      </x:c>
      <x:c r="H374" s="28" t="str">
        <x:v>Exclude/incidental</x:v>
      </x:c>
      <x:c r="I374" s="28" t="str">
        <x:v>ADHD appears peripheral or insufficiently aligned with the requested corpus scope based on accessible metadata/abstract.</x:v>
      </x:c>
      <x:c r="J374" s="38" t="e">
        <x:f>HYPERLINK("https://pubmed.ncbi.nlm.nih.gov/"&amp;C374&amp;"/","Open PubMed")</x:f>
        <x:v>HYPERLINK is not implemented. linkLocation=https://pubmed.ncbi.nlm.nih.gov/21179515/, friendlyName=Open PubMed</x:v>
      </x:c>
    </x:row>
    <x:row r="375">
      <x:c r="A375" s="26" t="str">
        <x:v>PUBMED-20861587</x:v>
      </x:c>
      <x:c r="B375" s="26" t="n">
        <x:v>2010</x:v>
      </x:c>
      <x:c r="C375" s="26" t="str">
        <x:v>20861587</x:v>
      </x:c>
      <x:c r="D375" s="28" t="str">
        <x:v>Improvements in executive function correlate with enhanced performance and functioning and health-related quality of life: evidence from 2 large, double-blind, randomized, placebo-controlled trials in ADHD.</x:v>
      </x:c>
      <x:c r="E375" s="28" t="str">
        <x:v>Primary study - randomized controlled trial</x:v>
      </x:c>
      <x:c r="F375" s="28" t="str">
        <x:v>Development &amp; presentation; Recognition &amp; diagnosis; Social &amp; structural; Treatment &amp; support; Life outcomes &amp; lived experience</x:v>
      </x:c>
      <x:c r="G375" s="28" t="str">
        <x:v>Adolescence; Adulthood</x:v>
      </x:c>
      <x:c r="H375" s="28" t="str">
        <x:v>Later specialized</x:v>
      </x:c>
      <x:c r="I375" s="28" t="str">
        <x:v>Direct or strongly ADHD-related record retained for later screening; typically narrower treatment, biomarker, mechanistic, or single-comorbidity focus.</x:v>
      </x:c>
      <x:c r="J375" s="38" t="e">
        <x:f>HYPERLINK("https://pubmed.ncbi.nlm.nih.gov/"&amp;C375&amp;"/","Open PubMed")</x:f>
        <x:v>HYPERLINK is not implemented. linkLocation=https://pubmed.ncbi.nlm.nih.gov/20861587/, friendlyName=Open PubMed</x:v>
      </x:c>
    </x:row>
    <x:row r="376">
      <x:c r="A376" s="26" t="str">
        <x:v>PUBMED-20855046</x:v>
      </x:c>
      <x:c r="B376" s="26" t="n">
        <x:v>2010</x:v>
      </x:c>
      <x:c r="C376" s="26" t="str">
        <x:v>20855046</x:v>
      </x:c>
      <x:c r="D376" s="28" t="str">
        <x:v>Methylphenidate and atomoxetine enhance prefrontal function through α2-adrenergic and dopamine D1 receptors.</x:v>
      </x:c>
      <x:c r="E376" s="28" t="str">
        <x:v>Primary/contextual journal article</x:v>
      </x:c>
      <x:c r="F376" s="28" t="str">
        <x:v>Development &amp; presentation; Social &amp; structural; Treatment &amp; support; Life outcomes &amp; lived experience</x:v>
      </x:c>
      <x:c r="G376" s="28" t="str">
        <x:v>Childhood</x:v>
      </x:c>
      <x:c r="H376" s="28" t="str">
        <x:v>Later specialized</x:v>
      </x:c>
      <x:c r="I376" s="28" t="str">
        <x:v>Direct or strongly ADHD-related record retained for later screening; typically narrower treatment, biomarker, mechanistic, or single-comorbidity focus.</x:v>
      </x:c>
      <x:c r="J376" s="38" t="e">
        <x:f>HYPERLINK("https://pubmed.ncbi.nlm.nih.gov/"&amp;C376&amp;"/","Open PubMed")</x:f>
        <x:v>HYPERLINK is not implemented. linkLocation=https://pubmed.ncbi.nlm.nih.gov/20855046/, friendlyName=Open PubMed</x:v>
      </x:c>
    </x:row>
    <x:row r="377">
      <x:c r="A377" s="26" t="str">
        <x:v>PUBMED-20816030</x:v>
      </x:c>
      <x:c r="B377" s="26" t="n">
        <x:v>2010</x:v>
      </x:c>
      <x:c r="C377" s="26" t="str">
        <x:v>20816030</x:v>
      </x:c>
      <x:c r="D377" s="28" t="str">
        <x:v>Representativeness of participants in a clinical trial for attention-deficit/hyperactivity disorder? Comparison with adults from a large observational study.</x:v>
      </x:c>
      <x:c r="E377" s="28" t="str">
        <x:v>Primary/contextual journal article</x:v>
      </x:c>
      <x:c r="F377" s="28" t="str">
        <x:v>Development &amp; presentation; Recognition &amp; diagnosis; Social &amp; structural; Treatment &amp; support; Life outcomes &amp; lived experience</x:v>
      </x:c>
      <x:c r="G377" s="28" t="str">
        <x:v>Adulthood</x:v>
      </x:c>
      <x:c r="H377" s="28" t="str">
        <x:v>Later specialized</x:v>
      </x:c>
      <x:c r="I377" s="28" t="str">
        <x:v>Direct or strongly ADHD-related record retained for later screening; typically narrower treatment, biomarker, mechanistic, or single-comorbidity focus.</x:v>
      </x:c>
      <x:c r="J377" s="38" t="e">
        <x:f>HYPERLINK("https://pubmed.ncbi.nlm.nih.gov/"&amp;C377&amp;"/","Open PubMed")</x:f>
        <x:v>HYPERLINK is not implemented. linkLocation=https://pubmed.ncbi.nlm.nih.gov/20816030/, friendlyName=Open PubMed</x:v>
      </x:c>
    </x:row>
    <x:row r="378">
      <x:c r="A378" s="26" t="str">
        <x:v>PUBMED-20958842</x:v>
      </x:c>
      <x:c r="B378" s="26" t="n">
        <x:v>2010</x:v>
      </x:c>
      <x:c r="C378" s="26" t="str">
        <x:v>20958842</x:v>
      </x:c>
      <x:c r="D378" s="28" t="str">
        <x:v>A placebo-controlled trial of atomoxetine in marijuana-dependent individuals with attention deficit hyperactivity disorder.</x:v>
      </x:c>
      <x:c r="E378" s="28" t="str">
        <x:v>Primary study - randomized controlled trial</x:v>
      </x:c>
      <x:c r="F378" s="28" t="str">
        <x:v>Development &amp; presentation; Recognition &amp; diagnosis; Social &amp; structural; Treatment &amp; support; Life outcomes &amp; lived experience</x:v>
      </x:c>
      <x:c r="G378" s="28" t="str">
        <x:v>Adolescence; Adulthood</x:v>
      </x:c>
      <x:c r="H378" s="28" t="str">
        <x:v>Later specialized</x:v>
      </x:c>
      <x:c r="I378" s="28" t="str">
        <x:v>Direct or strongly ADHD-related record retained for later screening; typically narrower treatment, biomarker, mechanistic, or single-comorbidity focus.</x:v>
      </x:c>
      <x:c r="J378" s="38" t="e">
        <x:f>HYPERLINK("https://pubmed.ncbi.nlm.nih.gov/"&amp;C378&amp;"/","Open PubMed")</x:f>
        <x:v>HYPERLINK is not implemented. linkLocation=https://pubmed.ncbi.nlm.nih.gov/20958842/, friendlyName=Open PubMed</x:v>
      </x:c>
    </x:row>
    <x:row r="379">
      <x:c r="A379" s="26" t="str">
        <x:v>PUBMED-20716679</x:v>
      </x:c>
      <x:c r="B379" s="26" t="n">
        <x:v>2010</x:v>
      </x:c>
      <x:c r="C379" s="26" t="str">
        <x:v>20716679</x:v>
      </x:c>
      <x:c r="D379" s="28" t="str">
        <x:v>Question 2 Should a child with ADHD and epilepsy be given ritalin?</x:v>
      </x:c>
      <x:c r="E379" s="28" t="str">
        <x:v>Evidence synthesis - review</x:v>
      </x:c>
      <x:c r="F379" s="28" t="str">
        <x:v>Development &amp; presentation; Treatment &amp; support</x:v>
      </x:c>
      <x:c r="G379" s="28" t="str">
        <x:v>Childhood</x:v>
      </x:c>
      <x:c r="H379" s="28" t="str">
        <x:v>Later specialized</x:v>
      </x:c>
      <x:c r="I379" s="28" t="str">
        <x:v>Direct or strongly ADHD-related record retained for later screening; typically narrower treatment, biomarker, mechanistic, or single-comorbidity focus.</x:v>
      </x:c>
      <x:c r="J379" s="38" t="e">
        <x:f>HYPERLINK("https://pubmed.ncbi.nlm.nih.gov/"&amp;C379&amp;"/","Open PubMed")</x:f>
        <x:v>HYPERLINK is not implemented. linkLocation=https://pubmed.ncbi.nlm.nih.gov/20716679/, friendlyName=Open PubMed</x:v>
      </x:c>
    </x:row>
    <x:row r="380">
      <x:c r="A380" s="26" t="str">
        <x:v>PUBMED-21126939</x:v>
      </x:c>
      <x:c r="B380" s="26" t="n">
        <x:v>2010</x:v>
      </x:c>
      <x:c r="C380" s="26" t="str">
        <x:v>21126939</x:v>
      </x:c>
      <x:c r="D380" s="28" t="str">
        <x:v>Organophosphate pesticide exposure and attention in young Mexican-American children: the CHAMACOS study.</x:v>
      </x:c>
      <x:c r="E380" s="28" t="str">
        <x:v>Primary study - cohort</x:v>
      </x:c>
      <x:c r="F380" s="28" t="str">
        <x:v>Development &amp; presentation; Recognition &amp; diagnosis; Family &amp; education; Social &amp; structural; Environmental &amp; lifestyle; Treatment &amp; support; Life outcomes &amp; lived experience</x:v>
      </x:c>
      <x:c r="G380" s="28" t="str">
        <x:v>Childhood; Adolescence; Adulthood</x:v>
      </x:c>
      <x:c r="H380" s="28" t="str">
        <x:v>Later specialized</x:v>
      </x:c>
      <x:c r="I380" s="28" t="str">
        <x:v>Direct or strongly ADHD-related record retained for later screening; typically narrower treatment, biomarker, mechanistic, or single-comorbidity focus.</x:v>
      </x:c>
      <x:c r="J380" s="38" t="e">
        <x:f>HYPERLINK("https://pubmed.ncbi.nlm.nih.gov/"&amp;C380&amp;"/","Open PubMed")</x:f>
        <x:v>HYPERLINK is not implemented. linkLocation=https://pubmed.ncbi.nlm.nih.gov/21126939/, friendlyName=Open PubMed</x:v>
      </x:c>
    </x:row>
    <x:row r="381">
      <x:c r="A381" s="26" t="str">
        <x:v>PUBMED-20875144</x:v>
      </x:c>
      <x:c r="B381" s="26" t="n">
        <x:v>2010</x:v>
      </x:c>
      <x:c r="C381" s="26" t="str">
        <x:v>20875144</x:v>
      </x:c>
      <x:c r="D381" s="28" t="str">
        <x:v>Database analysis of children and adolescents with bipolar disorder consuming a micronutrient formula.</x:v>
      </x:c>
      <x:c r="E381" s="28" t="str">
        <x:v>Primary/contextual journal article</x:v>
      </x:c>
      <x:c r="F381" s="28" t="str">
        <x:v>Development &amp; presentation; Recognition &amp; diagnosis; Family &amp; education; Social &amp; structural; Environmental &amp; lifestyle; Treatment &amp; support; Life outcomes &amp; lived experience</x:v>
      </x:c>
      <x:c r="G381" s="28" t="str">
        <x:v>Childhood; Adolescence</x:v>
      </x:c>
      <x:c r="H381" s="28" t="str">
        <x:v>Later specialized</x:v>
      </x:c>
      <x:c r="I381" s="28" t="str">
        <x:v>Direct or strongly ADHD-related record retained for later screening; typically narrower treatment, biomarker, mechanistic, or single-comorbidity focus.</x:v>
      </x:c>
      <x:c r="J381" s="38" t="e">
        <x:f>HYPERLINK("https://pubmed.ncbi.nlm.nih.gov/"&amp;C381&amp;"/","Open PubMed")</x:f>
        <x:v>HYPERLINK is not implemented. linkLocation=https://pubmed.ncbi.nlm.nih.gov/20875144/, friendlyName=Open PubMed</x:v>
      </x:c>
    </x:row>
    <x:row r="382">
      <x:c r="A382" s="26" t="str">
        <x:v>PUBMED-20854314</x:v>
      </x:c>
      <x:c r="B382" s="26" t="n">
        <x:v>2010</x:v>
      </x:c>
      <x:c r="C382" s="26" t="str">
        <x:v>20854314</x:v>
      </x:c>
      <x:c r="D382" s="28" t="str">
        <x:v>The challenge of providing child health care in the indigenous population of New Zealand.</x:v>
      </x:c>
      <x:c r="E382" s="28" t="str">
        <x:v>Evidence synthesis - review</x:v>
      </x:c>
      <x:c r="F382" s="28" t="str">
        <x:v>Development &amp; presentation; Family &amp; education; Social &amp; structural; Environmental &amp; lifestyle; Historical &amp; contemporary context</x:v>
      </x:c>
      <x:c r="G382" s="28" t="str">
        <x:v>Childhood</x:v>
      </x:c>
      <x:c r="H382" s="28" t="str">
        <x:v>Exclude/incidental</x:v>
      </x:c>
      <x:c r="I382" s="28" t="str">
        <x:v>ADHD appears peripheral or insufficiently aligned with the requested corpus scope based on accessible metadata/abstract.</x:v>
      </x:c>
      <x:c r="J382" s="38" t="e">
        <x:f>HYPERLINK("https://pubmed.ncbi.nlm.nih.gov/"&amp;C382&amp;"/","Open PubMed")</x:f>
        <x:v>HYPERLINK is not implemented. linkLocation=https://pubmed.ncbi.nlm.nih.gov/20854314/, friendlyName=Open PubMed</x:v>
      </x:c>
    </x:row>
    <x:row r="383">
      <x:c r="A383" s="26" t="str">
        <x:v>PUBMED-21141268</x:v>
      </x:c>
      <x:c r="B383" s="26" t="n">
        <x:v>2010</x:v>
      </x:c>
      <x:c r="C383" s="26" t="str">
        <x:v>21141268</x:v>
      </x:c>
      <x:c r="D383" s="28" t="str">
        <x:v>[Prevalence in adults of attention deficit hyperactivity disorder using the medical records of primary care].</x:v>
      </x:c>
      <x:c r="E383" s="28" t="str">
        <x:v>Primary study - cross-sectional</x:v>
      </x:c>
      <x:c r="F383" s="28" t="str">
        <x:v>Development &amp; presentation; Recognition &amp; diagnosis; Social &amp; structural; Treatment &amp; support</x:v>
      </x:c>
      <x:c r="G383" s="28" t="str">
        <x:v>Adolescence; Adulthood</x:v>
      </x:c>
      <x:c r="H383" s="28" t="str">
        <x:v>Later specialized</x:v>
      </x:c>
      <x:c r="I383" s="28" t="str">
        <x:v>Direct or strongly ADHD-related record retained for later screening; typically narrower treatment, biomarker, mechanistic, or single-comorbidity focus.</x:v>
      </x:c>
      <x:c r="J383" s="38" t="e">
        <x:f>HYPERLINK("https://pubmed.ncbi.nlm.nih.gov/"&amp;C383&amp;"/","Open PubMed")</x:f>
        <x:v>HYPERLINK is not implemented. linkLocation=https://pubmed.ncbi.nlm.nih.gov/21141268/, friendlyName=Open PubMed</x:v>
      </x:c>
    </x:row>
    <x:row r="384">
      <x:c r="A384" s="26" t="str">
        <x:v>PUBMED-21287795</x:v>
      </x:c>
      <x:c r="B384" s="26" t="n">
        <x:v>2010</x:v>
      </x:c>
      <x:c r="C384" s="26" t="str">
        <x:v>21287795</x:v>
      </x:c>
      <x:c r="D384" s="28" t="str">
        <x:v>Objective measures of attention-deficit/hyperactivity disorder: a pilot study.</x:v>
      </x:c>
      <x:c r="E384" s="28" t="str">
        <x:v>Primary study - clinical trial</x:v>
      </x:c>
      <x:c r="F384" s="28" t="str">
        <x:v>Development &amp; presentation; Recognition &amp; diagnosis; Social &amp; structural</x:v>
      </x:c>
      <x:c r="G384" s="28" t="str">
        <x:v>Childhood</x:v>
      </x:c>
      <x:c r="H384" s="28" t="str">
        <x:v>Later specialized</x:v>
      </x:c>
      <x:c r="I384" s="28" t="str">
        <x:v>Direct or strongly ADHD-related record retained for later screening; typically narrower treatment, biomarker, mechanistic, or single-comorbidity focus.</x:v>
      </x:c>
      <x:c r="J384" s="38" t="e">
        <x:f>HYPERLINK("https://pubmed.ncbi.nlm.nih.gov/"&amp;C384&amp;"/","Open PubMed")</x:f>
        <x:v>HYPERLINK is not implemented. linkLocation=https://pubmed.ncbi.nlm.nih.gov/21287795/, friendlyName=Open PubMed</x:v>
      </x:c>
    </x:row>
    <x:row r="385">
      <x:c r="A385" s="26" t="str">
        <x:v>PUBMED-21196923</x:v>
      </x:c>
      <x:c r="B385" s="26" t="n">
        <x:v>2010</x:v>
      </x:c>
      <x:c r="C385" s="26" t="str">
        <x:v>21196923</x:v>
      </x:c>
      <x:c r="D385" s="28" t="str">
        <x:v>Increased fractional anisotropy in white matter of the right frontal region in children with attention-deficit/hyperactivity disorder: a diffusion tensor imaging study.</x:v>
      </x:c>
      <x:c r="E385" s="28" t="str">
        <x:v>Primary study - case-control</x:v>
      </x:c>
      <x:c r="F385" s="28" t="str">
        <x:v>Development &amp; presentation; Recognition &amp; diagnosis; Life outcomes &amp; lived experience</x:v>
      </x:c>
      <x:c r="G385" s="28" t="str">
        <x:v>Childhood</x:v>
      </x:c>
      <x:c r="H385" s="28" t="str">
        <x:v>Later specialized</x:v>
      </x:c>
      <x:c r="I385" s="28" t="str">
        <x:v>Direct or strongly ADHD-related record retained for later screening; typically narrower treatment, biomarker, mechanistic, or single-comorbidity focus.</x:v>
      </x:c>
      <x:c r="J385" s="38" t="e">
        <x:f>HYPERLINK("https://pubmed.ncbi.nlm.nih.gov/"&amp;C385&amp;"/","Open PubMed")</x:f>
        <x:v>HYPERLINK is not implemented. linkLocation=https://pubmed.ncbi.nlm.nih.gov/21196923/, friendlyName=Open PubMed</x:v>
      </x:c>
    </x:row>
    <x:row r="386">
      <x:c r="A386" s="26" t="str">
        <x:v>PUBMED-21766545</x:v>
      </x:c>
      <x:c r="B386" s="26" t="n">
        <x:v>2010</x:v>
      </x:c>
      <x:c r="C386" s="26" t="str">
        <x:v>21766545</x:v>
      </x:c>
      <x:c r="D386" s="28" t="str">
        <x:v>Effectiveness of nutritional interventions on the functioning of children with ADHD and/or ASD. An updated review of research evidence.</x:v>
      </x:c>
      <x:c r="E386" s="28" t="str">
        <x:v>Evidence synthesis - review</x:v>
      </x:c>
      <x:c r="F386" s="28" t="str">
        <x:v>Development &amp; presentation; Family &amp; education; Social &amp; structural; Environmental &amp; lifestyle; Treatment &amp; support; Life outcomes &amp; lived experience</x:v>
      </x:c>
      <x:c r="G386" s="28" t="str">
        <x:v>Childhood; Adolescence</x:v>
      </x:c>
      <x:c r="H386" s="28" t="str">
        <x:v>Batch 1 core</x:v>
      </x:c>
      <x:c r="I386" s="28" t="str">
        <x:v>Direct ADHD evidence synthesis/guideline with broad multi-topic relevance.</x:v>
      </x:c>
      <x:c r="J386" s="38" t="e">
        <x:f>HYPERLINK("https://pubmed.ncbi.nlm.nih.gov/"&amp;C386&amp;"/","Open PubMed")</x:f>
        <x:v>HYPERLINK is not implemented. linkLocation=https://pubmed.ncbi.nlm.nih.gov/21766545/, friendlyName=Open PubMed</x:v>
      </x:c>
    </x:row>
    <x:row r="387">
      <x:c r="A387" s="26" t="str">
        <x:v>PUBMED-21563639</x:v>
      </x:c>
      <x:c r="B387" s="26" t="n">
        <x:v>2010</x:v>
      </x:c>
      <x:c r="C387" s="26" t="str">
        <x:v>21563639</x:v>
      </x:c>
      <x:c r="D387" s="28" t="str">
        <x:v>Summary health statistics for U.S. children: National Health Interview Survey, 2009.</x:v>
      </x:c>
      <x:c r="E387" s="28" t="str">
        <x:v>Primary/contextual journal article</x:v>
      </x:c>
      <x:c r="F387" s="28" t="str">
        <x:v>Development &amp; presentation; Recognition &amp; diagnosis; Family &amp; education; Social &amp; structural; Treatment &amp; support</x:v>
      </x:c>
      <x:c r="G387" s="28" t="str">
        <x:v>Childhood; Adolescence; Adulthood</x:v>
      </x:c>
      <x:c r="H387" s="28" t="str">
        <x:v>Later specialized</x:v>
      </x:c>
      <x:c r="I387" s="28" t="str">
        <x:v>Direct or strongly ADHD-related record retained for later screening; typically narrower treatment, biomarker, mechanistic, or single-comorbidity focus.</x:v>
      </x:c>
      <x:c r="J387" s="38" t="e">
        <x:f>HYPERLINK("https://pubmed.ncbi.nlm.nih.gov/"&amp;C387&amp;"/","Open PubMed")</x:f>
        <x:v>HYPERLINK is not implemented. linkLocation=https://pubmed.ncbi.nlm.nih.gov/21563639/, friendlyName=Open PubMed</x:v>
      </x:c>
    </x:row>
    <x:row r="388">
      <x:c r="A388" s="26" t="str">
        <x:v>PUBMED-21432599</x:v>
      </x:c>
      <x:c r="B388" s="26" t="n">
        <x:v>2010</x:v>
      </x:c>
      <x:c r="C388" s="26" t="str">
        <x:v>21432599</x:v>
      </x:c>
      <x:c r="D388" s="28" t="str">
        <x:v>A randomized, rater-blinded, crossover study comparing the clinical efficacy of Ritalin(®) LA (methylphenidate) treatment in children with attention-deficit hyperactivity disorder under different breakfast conditions over 2 weeks.</x:v>
      </x:c>
      <x:c r="E388" s="28" t="str">
        <x:v>Primary study - randomized controlled trial</x:v>
      </x:c>
      <x:c r="F388" s="28" t="str">
        <x:v>Development &amp; presentation; Recognition &amp; diagnosis; Family &amp; education; Social &amp; structural; Treatment &amp; support</x:v>
      </x:c>
      <x:c r="G388" s="28" t="str">
        <x:v>Childhood</x:v>
      </x:c>
      <x:c r="H388" s="28" t="str">
        <x:v>Later specialized</x:v>
      </x:c>
      <x:c r="I388" s="28" t="str">
        <x:v>Direct or strongly ADHD-related record retained for later screening; typically narrower treatment, biomarker, mechanistic, or single-comorbidity focus.</x:v>
      </x:c>
      <x:c r="J388" s="38" t="e">
        <x:f>HYPERLINK("https://pubmed.ncbi.nlm.nih.gov/"&amp;C388&amp;"/","Open PubMed")</x:f>
        <x:v>HYPERLINK is not implemented. linkLocation=https://pubmed.ncbi.nlm.nih.gov/21432599/, friendlyName=Open PubMed</x:v>
      </x:c>
    </x:row>
    <x:row r="389">
      <x:c r="A389" s="26" t="str">
        <x:v>PUBMED-20956425</x:v>
      </x:c>
      <x:c r="B389" s="26" t="n">
        <x:v>2010</x:v>
      </x:c>
      <x:c r="C389" s="26" t="str">
        <x:v>20956425</x:v>
      </x:c>
      <x:c r="D389" s="28" t="str">
        <x:v>The association between developmental coordination disorder and other developmental traits.</x:v>
      </x:c>
      <x:c r="E389" s="28" t="str">
        <x:v>Primary study - cohort</x:v>
      </x:c>
      <x:c r="F389" s="28" t="str">
        <x:v>Development &amp; presentation; Recognition &amp; diagnosis; Family &amp; education; Social &amp; structural</x:v>
      </x:c>
      <x:c r="G389" s="28" t="str">
        <x:v>Childhood</x:v>
      </x:c>
      <x:c r="H389" s="28" t="str">
        <x:v>Exclude/incidental</x:v>
      </x:c>
      <x:c r="I389" s="28" t="str">
        <x:v>ADHD appears peripheral or insufficiently aligned with the requested corpus scope based on accessible metadata/abstract.</x:v>
      </x:c>
      <x:c r="J389" s="38" t="e">
        <x:f>HYPERLINK("https://pubmed.ncbi.nlm.nih.gov/"&amp;C389&amp;"/","Open PubMed")</x:f>
        <x:v>HYPERLINK is not implemented. linkLocation=https://pubmed.ncbi.nlm.nih.gov/20956425/, friendlyName=Open PubMed</x:v>
      </x:c>
    </x:row>
    <x:row r="390">
      <x:c r="A390" s="26" t="str">
        <x:v>PUBMED-21169890</x:v>
      </x:c>
      <x:c r="B390" s="26" t="n">
        <x:v>2010</x:v>
      </x:c>
      <x:c r="C390" s="26" t="str">
        <x:v>21169890</x:v>
      </x:c>
      <x:c r="D390" s="28" t="str">
        <x:v>AD/HD in the genesis of conduct disorder--does biopsychosocial approach make sense?</x:v>
      </x:c>
      <x:c r="E390" s="28" t="str">
        <x:v>Primary/contextual journal article</x:v>
      </x:c>
      <x:c r="F390" s="28" t="str">
        <x:v>Development &amp; presentation; Recognition &amp; diagnosis; Family &amp; education; Social &amp; structural; Life outcomes &amp; lived experience</x:v>
      </x:c>
      <x:c r="G390" s="28" t="str">
        <x:v>Childhood</x:v>
      </x:c>
      <x:c r="H390" s="28" t="str">
        <x:v>Exclude/incidental</x:v>
      </x:c>
      <x:c r="I390" s="28" t="str">
        <x:v>ADHD appears peripheral or insufficiently aligned with the requested corpus scope based on accessible metadata/abstract.</x:v>
      </x:c>
      <x:c r="J390" s="38" t="e">
        <x:f>HYPERLINK("https://pubmed.ncbi.nlm.nih.gov/"&amp;C390&amp;"/","Open PubMed")</x:f>
        <x:v>HYPERLINK is not implemented. linkLocation=https://pubmed.ncbi.nlm.nih.gov/21169890/, friendlyName=Open PubMed</x:v>
      </x:c>
    </x:row>
    <x:row r="391">
      <x:c r="A391" s="26" t="str">
        <x:v>PUBMED-20933526</x:v>
      </x:c>
      <x:c r="B391" s="26" t="n">
        <x:v>2010</x:v>
      </x:c>
      <x:c r="C391" s="26" t="str">
        <x:v>20933526</x:v>
      </x:c>
      <x:c r="D391" s="28" t="str">
        <x:v>Behavioral and ERP evidence for amodal sluggish attentional shifting in developmental dyslexia.</x:v>
      </x:c>
      <x:c r="E391" s="28" t="str">
        <x:v>Primary/contextual journal article</x:v>
      </x:c>
      <x:c r="F391" s="28" t="str">
        <x:v>Development &amp; presentation; Recognition &amp; diagnosis; Social &amp; structural; Treatment &amp; support</x:v>
      </x:c>
      <x:c r="G391" s="28" t="str">
        <x:v>Adulthood</x:v>
      </x:c>
      <x:c r="H391" s="28" t="str">
        <x:v>Exclude/incidental</x:v>
      </x:c>
      <x:c r="I391" s="28" t="str">
        <x:v>ADHD appears peripheral or insufficiently aligned with the requested corpus scope based on accessible metadata/abstract.</x:v>
      </x:c>
      <x:c r="J391" s="38" t="e">
        <x:f>HYPERLINK("https://pubmed.ncbi.nlm.nih.gov/"&amp;C391&amp;"/","Open PubMed")</x:f>
        <x:v>HYPERLINK is not implemented. linkLocation=https://pubmed.ncbi.nlm.nih.gov/20933526/, friendlyName=Open PubMed</x:v>
      </x:c>
    </x:row>
    <x:row r="392">
      <x:c r="A392" s="26" t="str">
        <x:v>PUBMED-21058129</x:v>
      </x:c>
      <x:c r="B392" s="26" t="n">
        <x:v>2010</x:v>
      </x:c>
      <x:c r="C392" s="26" t="str">
        <x:v>21058129</x:v>
      </x:c>
      <x:c r="D392" s="28" t="str">
        <x:v>A controlled trial of working memory training for children and adolescents with ADHD.</x:v>
      </x:c>
      <x:c r="E392" s="28" t="str">
        <x:v>Primary study - randomized controlled trial</x:v>
      </x:c>
      <x:c r="F392" s="28" t="str">
        <x:v>Development &amp; presentation; Recognition &amp; diagnosis; Family &amp; education; Social &amp; structural; Treatment &amp; support; Life outcomes &amp; lived experience</x:v>
      </x:c>
      <x:c r="G392" s="28" t="str">
        <x:v>Childhood; Adolescence</x:v>
      </x:c>
      <x:c r="H392" s="28" t="str">
        <x:v>Later specialized</x:v>
      </x:c>
      <x:c r="I392" s="28" t="str">
        <x:v>Direct or strongly ADHD-related record retained for later screening; typically narrower treatment, biomarker, mechanistic, or single-comorbidity focus.</x:v>
      </x:c>
      <x:c r="J392" s="38" t="e">
        <x:f>HYPERLINK("https://pubmed.ncbi.nlm.nih.gov/"&amp;C392&amp;"/","Open PubMed")</x:f>
        <x:v>HYPERLINK is not implemented. linkLocation=https://pubmed.ncbi.nlm.nih.gov/21058129/, friendlyName=Open PubMed</x:v>
      </x:c>
    </x:row>
    <x:row r="393">
      <x:c r="A393" s="26" t="str">
        <x:v>PUBMED-20973709</x:v>
      </x:c>
      <x:c r="B393" s="26" t="n">
        <x:v>2010</x:v>
      </x:c>
      <x:c r="C393" s="26" t="str">
        <x:v>20973709</x:v>
      </x:c>
      <x:c r="D393" s="28" t="str">
        <x:v>Childhood stimulant treatment and teen depression: is there a relationship?</x:v>
      </x:c>
      <x:c r="E393" s="28" t="str">
        <x:v>Primary/contextual journal article</x:v>
      </x:c>
      <x:c r="F393" s="28" t="str">
        <x:v>Development &amp; presentation; Recognition &amp; diagnosis; Social &amp; structural; Treatment &amp; support; Life outcomes &amp; lived experience; Historical &amp; contemporary context</x:v>
      </x:c>
      <x:c r="G393" s="28" t="str">
        <x:v>Childhood; Adolescence</x:v>
      </x:c>
      <x:c r="H393" s="28" t="str">
        <x:v>Later specialized</x:v>
      </x:c>
      <x:c r="I393" s="28" t="str">
        <x:v>Direct or strongly ADHD-related record retained for later screening; typically narrower treatment, biomarker, mechanistic, or single-comorbidity focus.</x:v>
      </x:c>
      <x:c r="J393" s="38" t="e">
        <x:f>HYPERLINK("https://pubmed.ncbi.nlm.nih.gov/"&amp;C393&amp;"/","Open PubMed")</x:f>
        <x:v>HYPERLINK is not implemented. linkLocation=https://pubmed.ncbi.nlm.nih.gov/20973709/, friendlyName=Open PubMed</x:v>
      </x:c>
    </x:row>
    <x:row r="394">
      <x:c r="A394" s="26" t="str">
        <x:v>PUBMED-20849718</x:v>
      </x:c>
      <x:c r="B394" s="26" t="n">
        <x:v>2010</x:v>
      </x:c>
      <x:c r="C394" s="26" t="str">
        <x:v>20849718</x:v>
      </x:c>
      <x:c r="D394" s="28" t="str">
        <x:v>[Clinical features of various subtypes of attention deficit hyperactivity disorders in children].</x:v>
      </x:c>
      <x:c r="E394" s="28" t="str">
        <x:v>Primary/contextual journal article</x:v>
      </x:c>
      <x:c r="F394" s="28" t="str">
        <x:v>Development &amp; presentation; Recognition &amp; diagnosis; Family &amp; education; Social &amp; structural; Environmental &amp; lifestyle; Treatment &amp; support</x:v>
      </x:c>
      <x:c r="G394" s="28" t="str">
        <x:v>Childhood; Adolescence</x:v>
      </x:c>
      <x:c r="H394" s="28" t="str">
        <x:v>Later specialized</x:v>
      </x:c>
      <x:c r="I394" s="28" t="str">
        <x:v>Direct or strongly ADHD-related record retained for later screening; typically narrower treatment, biomarker, mechanistic, or single-comorbidity focus.</x:v>
      </x:c>
      <x:c r="J394" s="38" t="e">
        <x:f>HYPERLINK("https://pubmed.ncbi.nlm.nih.gov/"&amp;C394&amp;"/","Open PubMed")</x:f>
        <x:v>HYPERLINK is not implemented. linkLocation=https://pubmed.ncbi.nlm.nih.gov/20849718/, friendlyName=Open PubMed</x:v>
      </x:c>
    </x:row>
    <x:row r="395">
      <x:c r="A395" s="26" t="str">
        <x:v>PUBMED-21124854</x:v>
      </x:c>
      <x:c r="B395" s="26" t="n">
        <x:v>2010</x:v>
      </x:c>
      <x:c r="C395" s="26" t="str">
        <x:v>21124854</x:v>
      </x:c>
      <x:c r="D395" s="28" t="str">
        <x:v>Evidence of neurotoxicity of ecstasy: sustained effects on electroencephalographic activity in polydrug users.</x:v>
      </x:c>
      <x:c r="E395" s="28" t="str">
        <x:v>Primary/contextual journal article</x:v>
      </x:c>
      <x:c r="F395" s="28" t="str">
        <x:v>Development &amp; presentation; Recognition &amp; diagnosis; Social &amp; structural; Treatment &amp; support; Historical &amp; contemporary context</x:v>
      </x:c>
      <x:c r="G395" s="28" t="str">
        <x:v>Adolescence; Adulthood</x:v>
      </x:c>
      <x:c r="H395" s="28" t="str">
        <x:v>Exclude/incidental</x:v>
      </x:c>
      <x:c r="I395" s="28" t="str">
        <x:v>ADHD appears peripheral or insufficiently aligned with the requested corpus scope based on accessible metadata/abstract.</x:v>
      </x:c>
      <x:c r="J395" s="38" t="e">
        <x:f>HYPERLINK("https://pubmed.ncbi.nlm.nih.gov/"&amp;C395&amp;"/","Open PubMed")</x:f>
        <x:v>HYPERLINK is not implemented. linkLocation=https://pubmed.ncbi.nlm.nih.gov/21124854/, friendlyName=Open PubMed</x:v>
      </x:c>
    </x:row>
    <x:row r="396">
      <x:c r="A396" s="26" t="str">
        <x:v>PUBMED-21133329</x:v>
      </x:c>
      <x:c r="B396" s="26" t="n">
        <x:v>2010</x:v>
      </x:c>
      <x:c r="C396" s="26" t="str">
        <x:v>21133329</x:v>
      </x:c>
      <x:c r="D396" s="28" t="str">
        <x:v>Speeding through the frat house: a qualitative exploration of nonmedical ADHD stimulant use in fraternities.</x:v>
      </x:c>
      <x:c r="E396" s="28" t="str">
        <x:v>Primary study - qualitative</x:v>
      </x:c>
      <x:c r="F396" s="28" t="str">
        <x:v>Development &amp; presentation; Family &amp; education; Social &amp; structural; Environmental &amp; lifestyle; Treatment &amp; support; Life outcomes &amp; lived experience</x:v>
      </x:c>
      <x:c r="G396" s="28" t="str">
        <x:v>Not specified</x:v>
      </x:c>
      <x:c r="H396" s="28" t="str">
        <x:v>Batch 1 core</x:v>
      </x:c>
      <x:c r="I396" s="28" t="str">
        <x:v>Direct ADHD primary study on diagnosis, family/education, structural conditions, lived experience/outcomes, or environment/lifestyle.</x:v>
      </x:c>
      <x:c r="J396" s="38" t="e">
        <x:f>HYPERLINK("https://pubmed.ncbi.nlm.nih.gov/"&amp;C396&amp;"/","Open PubMed")</x:f>
        <x:v>HYPERLINK is not implemented. linkLocation=https://pubmed.ncbi.nlm.nih.gov/21133329/, friendlyName=Open PubMed</x:v>
      </x:c>
    </x:row>
    <x:row r="397">
      <x:c r="A397" s="26" t="str">
        <x:v>PUBMED-20879176</x:v>
      </x:c>
      <x:c r="B397" s="26" t="n">
        <x:v>2010</x:v>
      </x:c>
      <x:c r="C397" s="26" t="str">
        <x:v>20879176</x:v>
      </x:c>
      <x:c r="D397" s="28" t="str">
        <x:v>Fathering an ADHD child: an examination of paternal well-being and social support.</x:v>
      </x:c>
      <x:c r="E397" s="28" t="str">
        <x:v>Primary/contextual journal article</x:v>
      </x:c>
      <x:c r="F397" s="28" t="str">
        <x:v>Development &amp; presentation; Recognition &amp; diagnosis; Family &amp; education; Social &amp; structural; Treatment &amp; support; Historical &amp; contemporary context</x:v>
      </x:c>
      <x:c r="G397" s="28" t="str">
        <x:v>Childhood</x:v>
      </x:c>
      <x:c r="H397" s="28" t="str">
        <x:v>Later specialized</x:v>
      </x:c>
      <x:c r="I397" s="28" t="str">
        <x:v>Direct or strongly ADHD-related record retained for later screening; typically narrower treatment, biomarker, mechanistic, or single-comorbidity focus.</x:v>
      </x:c>
      <x:c r="J397" s="38" t="e">
        <x:f>HYPERLINK("https://pubmed.ncbi.nlm.nih.gov/"&amp;C397&amp;"/","Open PubMed")</x:f>
        <x:v>HYPERLINK is not implemented. linkLocation=https://pubmed.ncbi.nlm.nih.gov/20879176/, friendlyName=Open PubMed</x:v>
      </x:c>
    </x:row>
    <x:row r="398">
      <x:c r="A398" s="26" t="str">
        <x:v>PUBMED-21043394</x:v>
      </x:c>
      <x:c r="B398" s="26" t="n">
        <x:v>2010</x:v>
      </x:c>
      <x:c r="C398" s="26" t="str">
        <x:v>21043394</x:v>
      </x:c>
      <x:c r="D398" s="28" t="str">
        <x:v>Priapism associated with methylphenidate: a case report.</x:v>
      </x:c>
      <x:c r="E398" s="28" t="str">
        <x:v>Primary/contextual journal article</x:v>
      </x:c>
      <x:c r="F398" s="28" t="str">
        <x:v>Development &amp; presentation; Recognition &amp; diagnosis; Social &amp; structural; Treatment &amp; support</x:v>
      </x:c>
      <x:c r="G398" s="28" t="str">
        <x:v>Adolescence</x:v>
      </x:c>
      <x:c r="H398" s="28" t="str">
        <x:v>Exclude/incidental</x:v>
      </x:c>
      <x:c r="I398" s="28" t="str">
        <x:v>ADHD appears peripheral or insufficiently aligned with the requested corpus scope based on accessible metadata/abstract.</x:v>
      </x:c>
      <x:c r="J398" s="38" t="e">
        <x:f>HYPERLINK("https://pubmed.ncbi.nlm.nih.gov/"&amp;C398&amp;"/","Open PubMed")</x:f>
        <x:v>HYPERLINK is not implemented. linkLocation=https://pubmed.ncbi.nlm.nih.gov/21043394/, friendlyName=Open PubMed</x:v>
      </x:c>
    </x:row>
    <x:row r="399">
      <x:c r="A399" s="26" t="str">
        <x:v>PUBMED-20948445</x:v>
      </x:c>
      <x:c r="B399" s="26" t="n">
        <x:v>2010</x:v>
      </x:c>
      <x:c r="C399" s="26" t="str">
        <x:v>20948445</x:v>
      </x:c>
      <x:c r="D399" s="28" t="str">
        <x:v>Health status of patients with Alagille syndrome.</x:v>
      </x:c>
      <x:c r="E399" s="28" t="str">
        <x:v>Primary study - cohort</x:v>
      </x:c>
      <x:c r="F399" s="28" t="str">
        <x:v>Development &amp; presentation; Recognition &amp; diagnosis; Family &amp; education; Social &amp; structural; Environmental &amp; lifestyle; Life outcomes &amp; lived experience</x:v>
      </x:c>
      <x:c r="G399" s="28" t="str">
        <x:v>Childhood; Adolescence</x:v>
      </x:c>
      <x:c r="H399" s="28" t="str">
        <x:v>Exclude/incidental</x:v>
      </x:c>
      <x:c r="I399" s="28" t="str">
        <x:v>ADHD appears peripheral or insufficiently aligned with the requested corpus scope based on accessible metadata/abstract.</x:v>
      </x:c>
      <x:c r="J399" s="38" t="e">
        <x:f>HYPERLINK("https://pubmed.ncbi.nlm.nih.gov/"&amp;C399&amp;"/","Open PubMed")</x:f>
        <x:v>HYPERLINK is not implemented. linkLocation=https://pubmed.ncbi.nlm.nih.gov/20948445/, friendlyName=Open PubMed</x:v>
      </x:c>
    </x:row>
    <x:row r="400">
      <x:c r="A400" s="26" t="str">
        <x:v>PUBMED-20919763</x:v>
      </x:c>
      <x:c r="B400" s="26" t="n">
        <x:v>2010</x:v>
      </x:c>
      <x:c r="C400" s="26" t="str">
        <x:v>20919763</x:v>
      </x:c>
      <x:c r="D400" s="28" t="str">
        <x:v>Task switching performance reveals heterogeneity amongst patients with mild cognitive impairment.</x:v>
      </x:c>
      <x:c r="E400" s="28" t="str">
        <x:v>Primary/contextual journal article</x:v>
      </x:c>
      <x:c r="F400" s="28" t="str">
        <x:v>Development &amp; presentation; Recognition &amp; diagnosis; Family &amp; education; Social &amp; structural; Life outcomes &amp; lived experience</x:v>
      </x:c>
      <x:c r="G400" s="28" t="str">
        <x:v>Adulthood</x:v>
      </x:c>
      <x:c r="H400" s="28" t="str">
        <x:v>Exclude/incidental</x:v>
      </x:c>
      <x:c r="I400" s="28" t="str">
        <x:v>ADHD appears peripheral or insufficiently aligned with the requested corpus scope based on accessible metadata/abstract.</x:v>
      </x:c>
      <x:c r="J400" s="38" t="e">
        <x:f>HYPERLINK("https://pubmed.ncbi.nlm.nih.gov/"&amp;C400&amp;"/","Open PubMed")</x:f>
        <x:v>HYPERLINK is not implemented. linkLocation=https://pubmed.ncbi.nlm.nih.gov/20919763/, friendlyName=Open PubMed</x:v>
      </x:c>
    </x:row>
    <x:row r="401">
      <x:c r="A401" s="26" t="str">
        <x:v>PUBMED-21069642</x:v>
      </x:c>
      <x:c r="B401" s="26" t="n">
        <x:v>2010</x:v>
      </x:c>
      <x:c r="C401" s="26" t="str">
        <x:v>21069642</x:v>
      </x:c>
      <x:c r="D401" s="28" t="str">
        <x:v>[GEITDAH consensus on attention deficit hyperactivity disorder].</x:v>
      </x:c>
      <x:c r="E401" s="28" t="str">
        <x:v>Primary/contextual journal article</x:v>
      </x:c>
      <x:c r="F401" s="28" t="str">
        <x:v>Development &amp; presentation; Recognition &amp; diagnosis; Family &amp; education; Social &amp; structural; Treatment &amp; support</x:v>
      </x:c>
      <x:c r="G401" s="28" t="str">
        <x:v>Not specified</x:v>
      </x:c>
      <x:c r="H401" s="28" t="str">
        <x:v>Later specialized</x:v>
      </x:c>
      <x:c r="I401" s="28" t="str">
        <x:v>Direct or strongly ADHD-related record retained for later screening; typically narrower treatment, biomarker, mechanistic, or single-comorbidity focus.</x:v>
      </x:c>
      <x:c r="J401" s="38" t="e">
        <x:f>HYPERLINK("https://pubmed.ncbi.nlm.nih.gov/"&amp;C401&amp;"/","Open PubMed")</x:f>
        <x:v>HYPERLINK is not implemented. linkLocation=https://pubmed.ncbi.nlm.nih.gov/21069642/, friendlyName=Open PubMed</x:v>
      </x:c>
    </x:row>
    <x:row r="402">
      <x:c r="A402" s="26" t="str">
        <x:v>PUBMED-21114951</x:v>
      </x:c>
      <x:c r="B402" s="26" t="n">
        <x:v>2010</x:v>
      </x:c>
      <x:c r="C402" s="26" t="str">
        <x:v>21114951</x:v>
      </x:c>
      <x:c r="D402" s="28" t="str">
        <x:v>New findings on childhood mania.</x:v>
      </x:c>
      <x:c r="E402" s="28" t="str">
        <x:v>Primary/contextual journal article</x:v>
      </x:c>
      <x:c r="F402" s="28" t="str">
        <x:v>Development &amp; presentation; Recognition &amp; diagnosis; Treatment &amp; support</x:v>
      </x:c>
      <x:c r="G402" s="28" t="str">
        <x:v>Childhood; Adolescence</x:v>
      </x:c>
      <x:c r="H402" s="28" t="str">
        <x:v>Exclude/incidental</x:v>
      </x:c>
      <x:c r="I402" s="28" t="str">
        <x:v>ADHD appears peripheral or insufficiently aligned with the requested corpus scope based on accessible metadata/abstract.</x:v>
      </x:c>
      <x:c r="J402" s="38" t="e">
        <x:f>HYPERLINK("https://pubmed.ncbi.nlm.nih.gov/"&amp;C402&amp;"/","Open PubMed")</x:f>
        <x:v>HYPERLINK is not implemented. linkLocation=https://pubmed.ncbi.nlm.nih.gov/21114951/, friendlyName=Open PubMed</x:v>
      </x:c>
    </x:row>
    <x:row r="403">
      <x:c r="A403" s="26" t="str">
        <x:v>PUBMED-21432603</x:v>
      </x:c>
      <x:c r="B403" s="26" t="n">
        <x:v>2010</x:v>
      </x:c>
      <x:c r="C403" s="26" t="str">
        <x:v>21432603</x:v>
      </x:c>
      <x:c r="D403" s="28" t="str">
        <x:v>The quality of life of children and adolescents with ADHD undergoing outpatient psychiatric treatment: simple disorders of activity and attention and hyperkinetic conduct disorders in comparison with each other and with other diagnostic groups.</x:v>
      </x:c>
      <x:c r="E403" s="28" t="str">
        <x:v>Primary study - cross-sectional</x:v>
      </x:c>
      <x:c r="F403" s="28" t="str">
        <x:v>Development &amp; presentation; Recognition &amp; diagnosis; Family &amp; education; Social &amp; structural; Environmental &amp; lifestyle; Treatment &amp; support; Life outcomes &amp; lived experience</x:v>
      </x:c>
      <x:c r="G403" s="28" t="str">
        <x:v>Childhood; Adolescence</x:v>
      </x:c>
      <x:c r="H403" s="28" t="str">
        <x:v>Batch 1 core</x:v>
      </x:c>
      <x:c r="I403" s="28" t="str">
        <x:v>Direct ADHD primary study on diagnosis, family/education, structural conditions, lived experience/outcomes, or environment/lifestyle.</x:v>
      </x:c>
      <x:c r="J403" s="38" t="e">
        <x:f>HYPERLINK("https://pubmed.ncbi.nlm.nih.gov/"&amp;C403&amp;"/","Open PubMed")</x:f>
        <x:v>HYPERLINK is not implemented. linkLocation=https://pubmed.ncbi.nlm.nih.gov/21432603/, friendlyName=Open PubMed</x:v>
      </x:c>
    </x:row>
    <x:row r="404">
      <x:c r="A404" s="26" t="str">
        <x:v>PUBMED-21300997</x:v>
      </x:c>
      <x:c r="B404" s="26" t="n">
        <x:v>2010</x:v>
      </x:c>
      <x:c r="C404" s="26" t="str">
        <x:v>21300997</x:v>
      </x:c>
      <x:c r="D404" s="28" t="str">
        <x:v>[Screening childhood behavior problems using short questionnaires II.: The Hungarian version of the SWAN-scale (Strength and Weakness of ADHD-symptoms and Normal-behavior) for screening attention deficit/hyperactivity disorder].</x:v>
      </x:c>
      <x:c r="E404" s="28" t="str">
        <x:v>Primary/contextual journal article</x:v>
      </x:c>
      <x:c r="F404" s="28" t="str">
        <x:v>Development &amp; presentation; Recognition &amp; diagnosis; Family &amp; education; Social &amp; structural</x:v>
      </x:c>
      <x:c r="G404" s="28" t="str">
        <x:v>Childhood; Adolescence; Adulthood</x:v>
      </x:c>
      <x:c r="H404" s="28" t="str">
        <x:v>Later specialized</x:v>
      </x:c>
      <x:c r="I404" s="28" t="str">
        <x:v>Direct or strongly ADHD-related record retained for later screening; typically narrower treatment, biomarker, mechanistic, or single-comorbidity focus.</x:v>
      </x:c>
      <x:c r="J404" s="38" t="e">
        <x:f>HYPERLINK("https://pubmed.ncbi.nlm.nih.gov/"&amp;C404&amp;"/","Open PubMed")</x:f>
        <x:v>HYPERLINK is not implemented. linkLocation=https://pubmed.ncbi.nlm.nih.gov/21300997/, friendlyName=Open PubMed</x:v>
      </x:c>
    </x:row>
    <x:row r="405">
      <x:c r="A405" s="26" t="str">
        <x:v>PUBMED-21095960</x:v>
      </x:c>
      <x:c r="B405" s="26" t="n">
        <x:v>2010</x:v>
      </x:c>
      <x:c r="C405" s="26" t="str">
        <x:v>21095960</x:v>
      </x:c>
      <x:c r="D405" s="28" t="str">
        <x:v>Assisted diagnosis of attention-deficit hyperactivity disorder through EEG bandpower clustering with self-organizing maps.</x:v>
      </x:c>
      <x:c r="E405" s="28" t="str">
        <x:v>Primary study - case-control</x:v>
      </x:c>
      <x:c r="F405" s="28" t="str">
        <x:v>Development &amp; presentation; Recognition &amp; diagnosis; Social &amp; structural</x:v>
      </x:c>
      <x:c r="G405" s="28" t="str">
        <x:v>Childhood</x:v>
      </x:c>
      <x:c r="H405" s="28" t="str">
        <x:v>Batch 1 core</x:v>
      </x:c>
      <x:c r="I405" s="28" t="str">
        <x:v>Direct ADHD primary study on diagnosis, family/education, structural conditions, lived experience/outcomes, or environment/lifestyle.</x:v>
      </x:c>
      <x:c r="J405" s="38" t="e">
        <x:f>HYPERLINK("https://pubmed.ncbi.nlm.nih.gov/"&amp;C405&amp;"/","Open PubMed")</x:f>
        <x:v>HYPERLINK is not implemented. linkLocation=https://pubmed.ncbi.nlm.nih.gov/21095960/, friendlyName=Open PubMed</x:v>
      </x:c>
    </x:row>
    <x:row r="406">
      <x:c r="A406" s="26" t="str">
        <x:v>PUBMED-20837589</x:v>
      </x:c>
      <x:c r="B406" s="26" t="n">
        <x:v>2010</x:v>
      </x:c>
      <x:c r="C406" s="26" t="str">
        <x:v>20837589</x:v>
      </x:c>
      <x:c r="D406" s="28" t="str">
        <x:v>Stimulant-responsive and stimulant-refractory aggressive behavior among children with ADHD.</x:v>
      </x:c>
      <x:c r="E406" s="28" t="str">
        <x:v>Primary study - clinical trial</x:v>
      </x:c>
      <x:c r="F406" s="28" t="str">
        <x:v>Development &amp; presentation; Recognition &amp; diagnosis; Family &amp; education; Social &amp; structural; Treatment &amp; support; Historical &amp; contemporary context</x:v>
      </x:c>
      <x:c r="G406" s="28" t="str">
        <x:v>Childhood; Adolescence</x:v>
      </x:c>
      <x:c r="H406" s="28" t="str">
        <x:v>Later specialized</x:v>
      </x:c>
      <x:c r="I406" s="28" t="str">
        <x:v>Direct or strongly ADHD-related record retained for later screening; typically narrower treatment, biomarker, mechanistic, or single-comorbidity focus.</x:v>
      </x:c>
      <x:c r="J406" s="38" t="e">
        <x:f>HYPERLINK("https://pubmed.ncbi.nlm.nih.gov/"&amp;C406&amp;"/","Open PubMed")</x:f>
        <x:v>HYPERLINK is not implemented. linkLocation=https://pubmed.ncbi.nlm.nih.gov/20837589/, friendlyName=Open PubMed</x:v>
      </x:c>
    </x:row>
    <x:row r="407">
      <x:c r="A407" s="26" t="str">
        <x:v>PUBMED-21131803</x:v>
      </x:c>
      <x:c r="B407" s="26" t="n">
        <x:v>2010</x:v>
      </x:c>
      <x:c r="C407" s="26" t="str">
        <x:v>21131803</x:v>
      </x:c>
      <x:c r="D407" s="28" t="str">
        <x:v>Pediatric cannabinoid hyperemesis: two cases.</x:v>
      </x:c>
      <x:c r="E407" s="28" t="str">
        <x:v>Primary/contextual journal article</x:v>
      </x:c>
      <x:c r="F407" s="28" t="str">
        <x:v>Development &amp; presentation; Environmental &amp; lifestyle; Treatment &amp; support</x:v>
      </x:c>
      <x:c r="G407" s="28" t="str">
        <x:v>Childhood; Adolescence; Adulthood</x:v>
      </x:c>
      <x:c r="H407" s="28" t="str">
        <x:v>Exclude/incidental</x:v>
      </x:c>
      <x:c r="I407" s="28" t="str">
        <x:v>ADHD appears peripheral or insufficiently aligned with the requested corpus scope based on accessible metadata/abstract.</x:v>
      </x:c>
      <x:c r="J407" s="38" t="e">
        <x:f>HYPERLINK("https://pubmed.ncbi.nlm.nih.gov/"&amp;C407&amp;"/","Open PubMed")</x:f>
        <x:v>HYPERLINK is not implemented. linkLocation=https://pubmed.ncbi.nlm.nih.gov/21131803/, friendlyName=Open PubMed</x:v>
      </x:c>
    </x:row>
    <x:row r="408">
      <x:c r="A408" s="26" t="str">
        <x:v>PUBMED-20963293</x:v>
      </x:c>
      <x:c r="B408" s="26" t="n">
        <x:v>2010</x:v>
      </x:c>
      <x:c r="C408" s="26" t="str">
        <x:v>20963293</x:v>
      </x:c>
      <x:c r="D408" s="28" t="str">
        <x:v>Early determinants of attention and hyperactivity problems in adolescents: the 11-year follow-up of the 1993 Pelotas (Brazil) birth cohort study.</x:v>
      </x:c>
      <x:c r="E408" s="28" t="str">
        <x:v>Primary study - cohort</x:v>
      </x:c>
      <x:c r="F408" s="28" t="str">
        <x:v>Development &amp; presentation; Family &amp; education; Social &amp; structural; Environmental &amp; lifestyle; Treatment &amp; support; Life outcomes &amp; lived experience; Historical &amp; contemporary context</x:v>
      </x:c>
      <x:c r="G408" s="28" t="str">
        <x:v>Childhood; Adolescence</x:v>
      </x:c>
      <x:c r="H408" s="28" t="str">
        <x:v>Later specialized</x:v>
      </x:c>
      <x:c r="I408" s="28" t="str">
        <x:v>Direct or strongly ADHD-related record retained for later screening; typically narrower treatment, biomarker, mechanistic, or single-comorbidity focus.</x:v>
      </x:c>
      <x:c r="J408" s="38" t="e">
        <x:f>HYPERLINK("https://pubmed.ncbi.nlm.nih.gov/"&amp;C408&amp;"/","Open PubMed")</x:f>
        <x:v>HYPERLINK is not implemented. linkLocation=https://pubmed.ncbi.nlm.nih.gov/20963293/, friendlyName=Open PubMed</x:v>
      </x:c>
    </x:row>
    <x:row r="409">
      <x:c r="A409" s="26" t="str">
        <x:v>PUBMED-21082495</x:v>
      </x:c>
      <x:c r="B409" s="26" t="n">
        <x:v>2010</x:v>
      </x:c>
      <x:c r="C409" s="26" t="str">
        <x:v>21082495</x:v>
      </x:c>
      <x:c r="D409" s="28" t="str">
        <x:v>[Advances in treatment of fragile X syndrome].</x:v>
      </x:c>
      <x:c r="E409" s="28" t="str">
        <x:v>Evidence synthesis - review</x:v>
      </x:c>
      <x:c r="F409" s="28" t="str">
        <x:v>Development &amp; presentation; Recognition &amp; diagnosis; Family &amp; education; Social &amp; structural; Environmental &amp; lifestyle; Treatment &amp; support</x:v>
      </x:c>
      <x:c r="G409" s="28" t="str">
        <x:v>Childhood</x:v>
      </x:c>
      <x:c r="H409" s="28" t="str">
        <x:v>Exclude/incidental</x:v>
      </x:c>
      <x:c r="I409" s="28" t="str">
        <x:v>ADHD appears peripheral or insufficiently aligned with the requested corpus scope based on accessible metadata/abstract.</x:v>
      </x:c>
      <x:c r="J409" s="38" t="e">
        <x:f>HYPERLINK("https://pubmed.ncbi.nlm.nih.gov/"&amp;C409&amp;"/","Open PubMed")</x:f>
        <x:v>HYPERLINK is not implemented. linkLocation=https://pubmed.ncbi.nlm.nih.gov/21082495/, friendlyName=Open PubMed</x:v>
      </x:c>
    </x:row>
    <x:row r="410">
      <x:c r="A410" s="26" t="str">
        <x:v>PUBMED-20804247</x:v>
      </x:c>
      <x:c r="B410" s="26" t="n">
        <x:v>2010</x:v>
      </x:c>
      <x:c r="C410" s="26" t="str">
        <x:v>20804247</x:v>
      </x:c>
      <x:c r="D410" s="28" t="str">
        <x:v>Executive function in individuals with subthreshold autism traits.</x:v>
      </x:c>
      <x:c r="E410" s="28" t="str">
        <x:v>Primary/contextual journal article</x:v>
      </x:c>
      <x:c r="F410" s="28" t="str">
        <x:v>Development &amp; presentation; Recognition &amp; diagnosis; Social &amp; structural; Treatment &amp; support; Life outcomes &amp; lived experience</x:v>
      </x:c>
      <x:c r="G410" s="28" t="str">
        <x:v>Adolescence; Adulthood</x:v>
      </x:c>
      <x:c r="H410" s="28" t="str">
        <x:v>Later specialized</x:v>
      </x:c>
      <x:c r="I410" s="28" t="str">
        <x:v>Direct or strongly ADHD-related record retained for later screening; typically narrower treatment, biomarker, mechanistic, or single-comorbidity focus.</x:v>
      </x:c>
      <x:c r="J410" s="38" t="e">
        <x:f>HYPERLINK("https://pubmed.ncbi.nlm.nih.gov/"&amp;C410&amp;"/","Open PubMed")</x:f>
        <x:v>HYPERLINK is not implemented. linkLocation=https://pubmed.ncbi.nlm.nih.gov/20804247/, friendlyName=Open PubMed</x:v>
      </x:c>
    </x:row>
    <x:row r="411">
      <x:c r="A411" s="26" t="str">
        <x:v>PUBMED-21432600</x:v>
      </x:c>
      <x:c r="B411" s="26" t="n">
        <x:v>2010</x:v>
      </x:c>
      <x:c r="C411" s="26" t="str">
        <x:v>21432600</x:v>
      </x:c>
      <x:c r="D411" s="28" t="str">
        <x:v>Toward a better understanding of ADHD: LPHN3 gene variants and the susceptibility to develop ADHD.</x:v>
      </x:c>
      <x:c r="E411" s="28" t="str">
        <x:v>Evidence synthesis - review</x:v>
      </x:c>
      <x:c r="F411" s="28" t="str">
        <x:v>Development &amp; presentation; Social &amp; structural; Treatment &amp; support; Life outcomes &amp; lived experience; Historical &amp; contemporary context</x:v>
      </x:c>
      <x:c r="G411" s="28" t="str">
        <x:v>Not specified</x:v>
      </x:c>
      <x:c r="H411" s="28" t="str">
        <x:v>Later specialized</x:v>
      </x:c>
      <x:c r="I411" s="28" t="str">
        <x:v>Direct or strongly ADHD-related record retained for later screening; typically narrower treatment, biomarker, mechanistic, or single-comorbidity focus.</x:v>
      </x:c>
      <x:c r="J411" s="38" t="e">
        <x:f>HYPERLINK("https://pubmed.ncbi.nlm.nih.gov/"&amp;C411&amp;"/","Open PubMed")</x:f>
        <x:v>HYPERLINK is not implemented. linkLocation=https://pubmed.ncbi.nlm.nih.gov/21432600/, friendlyName=Open PubMed</x:v>
      </x:c>
    </x:row>
    <x:row r="412">
      <x:c r="A412" s="26" t="str">
        <x:v>PUBMED-21432597</x:v>
      </x:c>
      <x:c r="B412" s="26" t="n">
        <x:v>2010</x:v>
      </x:c>
      <x:c r="C412" s="26" t="str">
        <x:v>21432597</x:v>
      </x:c>
      <x:c r="D412" s="28" t="str">
        <x:v>Methylphenidate and if-then plans are comparable in modulating the P300 and increasing response inhibition in children with ADHD.</x:v>
      </x:c>
      <x:c r="E412" s="28" t="str">
        <x:v>Primary study - clinical trial</x:v>
      </x:c>
      <x:c r="F412" s="28" t="str">
        <x:v>Development &amp; presentation; Treatment &amp; support; Life outcomes &amp; lived experience</x:v>
      </x:c>
      <x:c r="G412" s="28" t="str">
        <x:v>Childhood; Adolescence</x:v>
      </x:c>
      <x:c r="H412" s="28" t="str">
        <x:v>Later specialized</x:v>
      </x:c>
      <x:c r="I412" s="28" t="str">
        <x:v>Direct or strongly ADHD-related record retained for later screening; typically narrower treatment, biomarker, mechanistic, or single-comorbidity focus.</x:v>
      </x:c>
      <x:c r="J412" s="38" t="e">
        <x:f>HYPERLINK("https://pubmed.ncbi.nlm.nih.gov/"&amp;C412&amp;"/","Open PubMed")</x:f>
        <x:v>HYPERLINK is not implemented. linkLocation=https://pubmed.ncbi.nlm.nih.gov/21432597/, friendlyName=Open PubMed</x:v>
      </x:c>
    </x:row>
    <x:row r="413">
      <x:c r="A413" s="26" t="str">
        <x:v>PUBMED-20854040</x:v>
      </x:c>
      <x:c r="B413" s="26" t="n">
        <x:v>2010</x:v>
      </x:c>
      <x:c r="C413" s="26" t="str">
        <x:v>20854040</x:v>
      </x:c>
      <x:c r="D413" s="28" t="str">
        <x:v>Adults with ADHD: who are we missing?</x:v>
      </x:c>
      <x:c r="E413" s="28" t="str">
        <x:v>Primary/contextual journal article</x:v>
      </x:c>
      <x:c r="F413" s="28" t="str">
        <x:v>Development &amp; presentation; Recognition &amp; diagnosis; Family &amp; education; Social &amp; structural; Environmental &amp; lifestyle; Treatment &amp; support</x:v>
      </x:c>
      <x:c r="G413" s="28" t="str">
        <x:v>Childhood; Adulthood</x:v>
      </x:c>
      <x:c r="H413" s="28" t="str">
        <x:v>Later specialized</x:v>
      </x:c>
      <x:c r="I413" s="28" t="str">
        <x:v>Direct or strongly ADHD-related record retained for later screening; typically narrower treatment, biomarker, mechanistic, or single-comorbidity focus.</x:v>
      </x:c>
      <x:c r="J413" s="38" t="e">
        <x:f>HYPERLINK("https://pubmed.ncbi.nlm.nih.gov/"&amp;C413&amp;"/","Open PubMed")</x:f>
        <x:v>HYPERLINK is not implemented. linkLocation=https://pubmed.ncbi.nlm.nih.gov/20854040/, friendlyName=Open PubMed</x:v>
      </x:c>
    </x:row>
    <x:row r="414">
      <x:c r="A414" s="26" t="str">
        <x:v>PUBMED-21123138</x:v>
      </x:c>
      <x:c r="B414" s="26" t="n">
        <x:v>2010</x:v>
      </x:c>
      <x:c r="C414" s="26" t="str">
        <x:v>21123138</x:v>
      </x:c>
      <x:c r="D414" s="28" t="str">
        <x:v>Parallel outcomes: comparing effects of environmental contaminant exposures with ADHD in children.</x:v>
      </x:c>
      <x:c r="E414" s="28" t="str">
        <x:v>Contextual - editorial/comment</x:v>
      </x:c>
      <x:c r="F414" s="28" t="str">
        <x:v>Development &amp; presentation; Social &amp; structural; Environmental &amp; lifestyle; Life outcomes &amp; lived experience</x:v>
      </x:c>
      <x:c r="G414" s="28" t="str">
        <x:v>Childhood</x:v>
      </x:c>
      <x:c r="H414" s="28" t="str">
        <x:v>Later specialized</x:v>
      </x:c>
      <x:c r="I414" s="28" t="str">
        <x:v>Direct or strongly ADHD-related record retained for later screening; typically narrower treatment, biomarker, mechanistic, or single-comorbidity focus.</x:v>
      </x:c>
      <x:c r="J414" s="38" t="e">
        <x:f>HYPERLINK("https://pubmed.ncbi.nlm.nih.gov/"&amp;C414&amp;"/","Open PubMed")</x:f>
        <x:v>HYPERLINK is not implemented. linkLocation=https://pubmed.ncbi.nlm.nih.gov/21123138/, friendlyName=Open PubMed</x:v>
      </x:c>
    </x:row>
    <x:row r="415">
      <x:c r="A415" s="26" t="str">
        <x:v>PUBMED-21358906</x:v>
      </x:c>
      <x:c r="B415" s="26" t="n">
        <x:v>2010</x:v>
      </x:c>
      <x:c r="C415" s="26" t="str">
        <x:v>21358906</x:v>
      </x:c>
      <x:c r="D415" s="28" t="str">
        <x:v>Predicting preference for items during periods of extended access based on early response allocation.</x:v>
      </x:c>
      <x:c r="E415" s="28" t="str">
        <x:v>Primary/contextual journal article</x:v>
      </x:c>
      <x:c r="F415" s="28" t="str">
        <x:v>Development &amp; presentation; Recognition &amp; diagnosis; Family &amp; education; Social &amp; structural</x:v>
      </x:c>
      <x:c r="G415" s="28" t="str">
        <x:v>Childhood</x:v>
      </x:c>
      <x:c r="H415" s="28" t="str">
        <x:v>Exclude/incidental</x:v>
      </x:c>
      <x:c r="I415" s="28" t="str">
        <x:v>ADHD appears peripheral or insufficiently aligned with the requested corpus scope based on accessible metadata/abstract.</x:v>
      </x:c>
      <x:c r="J415" s="38" t="e">
        <x:f>HYPERLINK("https://pubmed.ncbi.nlm.nih.gov/"&amp;C415&amp;"/","Open PubMed")</x:f>
        <x:v>HYPERLINK is not implemented. linkLocation=https://pubmed.ncbi.nlm.nih.gov/21358906/, friendlyName=Open PubMed</x:v>
      </x:c>
    </x:row>
    <x:row r="416">
      <x:c r="A416" s="26" t="str">
        <x:v>PUBMED-21048285</x:v>
      </x:c>
      <x:c r="B416" s="26" t="n">
        <x:v>2010</x:v>
      </x:c>
      <x:c r="C416" s="26" t="str">
        <x:v>21048285</x:v>
      </x:c>
      <x:c r="D416" s="28" t="str">
        <x:v>Proposing an adaptive mutation to improve XCSF performance to classify ADHD and BMD patients.</x:v>
      </x:c>
      <x:c r="E416" s="28" t="str">
        <x:v>Primary/contextual journal article</x:v>
      </x:c>
      <x:c r="F416" s="28" t="str">
        <x:v>Development &amp; presentation; Recognition &amp; diagnosis; Social &amp; structural; Environmental &amp; lifestyle</x:v>
      </x:c>
      <x:c r="G416" s="28" t="str">
        <x:v>Childhood</x:v>
      </x:c>
      <x:c r="H416" s="28" t="str">
        <x:v>Later specialized</x:v>
      </x:c>
      <x:c r="I416" s="28" t="str">
        <x:v>Direct or strongly ADHD-related record retained for later screening; typically narrower treatment, biomarker, mechanistic, or single-comorbidity focus.</x:v>
      </x:c>
      <x:c r="J416" s="38" t="e">
        <x:f>HYPERLINK("https://pubmed.ncbi.nlm.nih.gov/"&amp;C416&amp;"/","Open PubMed")</x:f>
        <x:v>HYPERLINK is not implemented. linkLocation=https://pubmed.ncbi.nlm.nih.gov/21048285/, friendlyName=Open PubMed</x:v>
      </x:c>
    </x:row>
    <x:row r="417">
      <x:c r="A417" s="26" t="str">
        <x:v>PUBMED-21143898</x:v>
      </x:c>
      <x:c r="B417" s="26" t="n">
        <x:v>2010</x:v>
      </x:c>
      <x:c r="C417" s="26" t="str">
        <x:v>21143898</x:v>
      </x:c>
      <x:c r="D417" s="28" t="str">
        <x:v>Reinforcing effects of methamphetamine in an animal model of attention-deficit/hyperactivity disorder--the spontaneously hypertensive rat.</x:v>
      </x:c>
      <x:c r="E417" s="28" t="str">
        <x:v>Primary/contextual journal article</x:v>
      </x:c>
      <x:c r="F417" s="28" t="str">
        <x:v>Development &amp; presentation; Social &amp; structural; Treatment &amp; support; Life outcomes &amp; lived experience</x:v>
      </x:c>
      <x:c r="G417" s="28" t="str">
        <x:v>Adolescence</x:v>
      </x:c>
      <x:c r="H417" s="28" t="str">
        <x:v>Exclude/incidental</x:v>
      </x:c>
      <x:c r="I417" s="28" t="str">
        <x:v>Animal-only record; retained outside the human-focused core corpus.</x:v>
      </x:c>
      <x:c r="J417" s="38" t="e">
        <x:f>HYPERLINK("https://pubmed.ncbi.nlm.nih.gov/"&amp;C417&amp;"/","Open PubMed")</x:f>
        <x:v>HYPERLINK is not implemented. linkLocation=https://pubmed.ncbi.nlm.nih.gov/21143898/, friendlyName=Open PubMed</x:v>
      </x:c>
    </x:row>
    <x:row r="418">
      <x:c r="A418" s="26" t="str">
        <x:v>PUBMED-21037222</x:v>
      </x:c>
      <x:c r="B418" s="26" t="n">
        <x:v>2010</x:v>
      </x:c>
      <x:c r="C418" s="26" t="str">
        <x:v>21037222</x:v>
      </x:c>
      <x:c r="D418" s="28" t="str">
        <x:v>Does medication benefit the long-term psychiatric outcomes of children with ADHD?</x:v>
      </x:c>
      <x:c r="E418" s="28" t="str">
        <x:v>Contextual - editorial/comment</x:v>
      </x:c>
      <x:c r="F418" s="28" t="str">
        <x:v>Development &amp; presentation; Social &amp; structural; Treatment &amp; support; Life outcomes &amp; lived experience</x:v>
      </x:c>
      <x:c r="G418" s="28" t="str">
        <x:v>Childhood</x:v>
      </x:c>
      <x:c r="H418" s="28" t="str">
        <x:v>Later specialized</x:v>
      </x:c>
      <x:c r="I418" s="28" t="str">
        <x:v>Direct or strongly ADHD-related record retained for later screening; typically narrower treatment, biomarker, mechanistic, or single-comorbidity focus.</x:v>
      </x:c>
      <x:c r="J418" s="38" t="e">
        <x:f>HYPERLINK("https://pubmed.ncbi.nlm.nih.gov/"&amp;C418&amp;"/","Open PubMed")</x:f>
        <x:v>HYPERLINK is not implemented. linkLocation=https://pubmed.ncbi.nlm.nih.gov/21037222/, friendlyName=Open PubMed</x:v>
      </x:c>
    </x:row>
    <x:row r="419">
      <x:c r="A419" s="26" t="str">
        <x:v>PUBMED-20826448</x:v>
      </x:c>
      <x:c r="B419" s="26" t="n">
        <x:v>2010</x:v>
      </x:c>
      <x:c r="C419" s="26" t="str">
        <x:v>20826448</x:v>
      </x:c>
      <x:c r="D419" s="28" t="str">
        <x:v>Reduced striatal dopamine underlies the attention system dysfunction in neurofibromatosis-1 mutant mice.</x:v>
      </x:c>
      <x:c r="E419" s="28" t="str">
        <x:v>Primary/contextual journal article</x:v>
      </x:c>
      <x:c r="F419" s="28" t="str">
        <x:v>Development &amp; presentation; Social &amp; structural; Environmental &amp; lifestyle; Treatment &amp; support</x:v>
      </x:c>
      <x:c r="G419" s="28" t="str">
        <x:v>Childhood</x:v>
      </x:c>
      <x:c r="H419" s="28" t="str">
        <x:v>Later specialized</x:v>
      </x:c>
      <x:c r="I419" s="28" t="str">
        <x:v>Direct or strongly ADHD-related record retained for later screening; typically narrower treatment, biomarker, mechanistic, or single-comorbidity focus.</x:v>
      </x:c>
      <x:c r="J419" s="38" t="e">
        <x:f>HYPERLINK("https://pubmed.ncbi.nlm.nih.gov/"&amp;C419&amp;"/","Open PubMed")</x:f>
        <x:v>HYPERLINK is not implemented. linkLocation=https://pubmed.ncbi.nlm.nih.gov/20826448/, friendlyName=Open PubMed</x:v>
      </x:c>
    </x:row>
    <x:row r="420">
      <x:c r="A420" s="26" t="str">
        <x:v>PUBMED-21034284</x:v>
      </x:c>
      <x:c r="B420" s="26" t="n">
        <x:v>2010</x:v>
      </x:c>
      <x:c r="C420" s="26" t="str">
        <x:v>21034284</x:v>
      </x:c>
      <x:c r="D420" s="28" t="str">
        <x:v>Investigating the efficacy of an attention training programme in children with foetal alcohol spectrum disorder.</x:v>
      </x:c>
      <x:c r="E420" s="28" t="str">
        <x:v>Primary/contextual journal article</x:v>
      </x:c>
      <x:c r="F420" s="28" t="str">
        <x:v>Development &amp; presentation; Recognition &amp; diagnosis; Family &amp; education; Social &amp; structural; Environmental &amp; lifestyle; Treatment &amp; support; Life outcomes &amp; lived experience</x:v>
      </x:c>
      <x:c r="G420" s="28" t="str">
        <x:v>Childhood; Adolescence</x:v>
      </x:c>
      <x:c r="H420" s="28" t="str">
        <x:v>Later specialized</x:v>
      </x:c>
      <x:c r="I420" s="28" t="str">
        <x:v>Direct or strongly ADHD-related record retained for later screening; typically narrower treatment, biomarker, mechanistic, or single-comorbidity focus.</x:v>
      </x:c>
      <x:c r="J420" s="38" t="e">
        <x:f>HYPERLINK("https://pubmed.ncbi.nlm.nih.gov/"&amp;C420&amp;"/","Open PubMed")</x:f>
        <x:v>HYPERLINK is not implemented. linkLocation=https://pubmed.ncbi.nlm.nih.gov/21034284/, friendlyName=Open PubMed</x:v>
      </x:c>
    </x:row>
    <x:row r="421">
      <x:c r="A421" s="26" t="str">
        <x:v>PUBMED-20934918</x:v>
      </x:c>
      <x:c r="B421" s="26" t="n">
        <x:v>2010</x:v>
      </x:c>
      <x:c r="C421" s="26" t="str">
        <x:v>20934918</x:v>
      </x:c>
      <x:c r="D421" s="28" t="str">
        <x:v>Do sleep-deprived EEG recordings reflect spike index as found in full-night EEG recordings?</x:v>
      </x:c>
      <x:c r="E421" s="28" t="str">
        <x:v>Primary/contextual journal article</x:v>
      </x:c>
      <x:c r="F421" s="28" t="str">
        <x:v>Development &amp; presentation; Social &amp; structural; Environmental &amp; lifestyle</x:v>
      </x:c>
      <x:c r="G421" s="28" t="str">
        <x:v>Childhood</x:v>
      </x:c>
      <x:c r="H421" s="28" t="str">
        <x:v>Exclude/incidental</x:v>
      </x:c>
      <x:c r="I421" s="28" t="str">
        <x:v>ADHD appears peripheral or insufficiently aligned with the requested corpus scope based on accessible metadata/abstract.</x:v>
      </x:c>
      <x:c r="J421" s="38" t="e">
        <x:f>HYPERLINK("https://pubmed.ncbi.nlm.nih.gov/"&amp;C421&amp;"/","Open PubMed")</x:f>
        <x:v>HYPERLINK is not implemented. linkLocation=https://pubmed.ncbi.nlm.nih.gov/20934918/, friendlyName=Open PubMed</x:v>
      </x:c>
    </x:row>
    <x:row r="422">
      <x:c r="A422" s="26" t="str">
        <x:v>PUBMED-20855045</x:v>
      </x:c>
      <x:c r="B422" s="26" t="n">
        <x:v>2010</x:v>
      </x:c>
      <x:c r="C422" s="26" t="str">
        <x:v>20855045</x:v>
      </x:c>
      <x:c r="D422" s="28" t="str">
        <x:v>National trends in child and adolescent psychotropic polypharmacy in office-based practice, 1996-2007.</x:v>
      </x:c>
      <x:c r="E422" s="28" t="str">
        <x:v>Primary/contextual journal article</x:v>
      </x:c>
      <x:c r="F422" s="28" t="str">
        <x:v>Development &amp; presentation; Recognition &amp; diagnosis; Social &amp; structural; Treatment &amp; support</x:v>
      </x:c>
      <x:c r="G422" s="28" t="str">
        <x:v>Childhood; Adolescence</x:v>
      </x:c>
      <x:c r="H422" s="28" t="str">
        <x:v>Later specialized</x:v>
      </x:c>
      <x:c r="I422" s="28" t="str">
        <x:v>Direct or strongly ADHD-related record retained for later screening; typically narrower treatment, biomarker, mechanistic, or single-comorbidity focus.</x:v>
      </x:c>
      <x:c r="J422" s="38" t="e">
        <x:f>HYPERLINK("https://pubmed.ncbi.nlm.nih.gov/"&amp;C422&amp;"/","Open PubMed")</x:f>
        <x:v>HYPERLINK is not implemented. linkLocation=https://pubmed.ncbi.nlm.nih.gov/20855045/, friendlyName=Open PubMed</x:v>
      </x:c>
    </x:row>
    <x:row r="423">
      <x:c r="A423" s="26" t="str">
        <x:v>PUBMED-21432606</x:v>
      </x:c>
      <x:c r="B423" s="26" t="n">
        <x:v>2010</x:v>
      </x:c>
      <x:c r="C423" s="26" t="str">
        <x:v>21432606</x:v>
      </x:c>
      <x:c r="D423" s="28" t="str">
        <x:v>Association of ADHD with reactive and proactive violent behavior in a forensic population.</x:v>
      </x:c>
      <x:c r="E423" s="28" t="str">
        <x:v>Primary/contextual journal article</x:v>
      </x:c>
      <x:c r="F423" s="28" t="str">
        <x:v>Development &amp; presentation; Recognition &amp; diagnosis; Social &amp; structural; Life outcomes &amp; lived experience</x:v>
      </x:c>
      <x:c r="G423" s="28" t="str">
        <x:v>Childhood; Adulthood</x:v>
      </x:c>
      <x:c r="H423" s="28" t="str">
        <x:v>Later specialized</x:v>
      </x:c>
      <x:c r="I423" s="28" t="str">
        <x:v>Direct or strongly ADHD-related record retained for later screening; typically narrower treatment, biomarker, mechanistic, or single-comorbidity focus.</x:v>
      </x:c>
      <x:c r="J423" s="38" t="e">
        <x:f>HYPERLINK("https://pubmed.ncbi.nlm.nih.gov/"&amp;C423&amp;"/","Open PubMed")</x:f>
        <x:v>HYPERLINK is not implemented. linkLocation=https://pubmed.ncbi.nlm.nih.gov/21432606/, friendlyName=Open PubMed</x:v>
      </x:c>
    </x:row>
    <x:row r="424">
      <x:c r="A424" s="26" t="str">
        <x:v>PUBMED-20958854</x:v>
      </x:c>
      <x:c r="B424" s="26" t="n">
        <x:v>2010</x:v>
      </x:c>
      <x:c r="C424" s="26" t="str">
        <x:v>20958854</x:v>
      </x:c>
      <x:c r="D424" s="28" t="str">
        <x:v>Stimulant formulation and motivation for nonmedical use of prescription attention-deficit/hyperactivity disorder medications in a college-aged population.</x:v>
      </x:c>
      <x:c r="E424" s="28" t="str">
        <x:v>Primary/contextual journal article</x:v>
      </x:c>
      <x:c r="F424" s="28" t="str">
        <x:v>Development &amp; presentation; Social &amp; structural; Treatment &amp; support; Life outcomes &amp; lived experience</x:v>
      </x:c>
      <x:c r="G424" s="28" t="str">
        <x:v>Adolescence; Adulthood</x:v>
      </x:c>
      <x:c r="H424" s="28" t="str">
        <x:v>Later specialized</x:v>
      </x:c>
      <x:c r="I424" s="28" t="str">
        <x:v>Direct or strongly ADHD-related record retained for later screening; typically narrower treatment, biomarker, mechanistic, or single-comorbidity focus.</x:v>
      </x:c>
      <x:c r="J424" s="38" t="e">
        <x:f>HYPERLINK("https://pubmed.ncbi.nlm.nih.gov/"&amp;C424&amp;"/","Open PubMed")</x:f>
        <x:v>HYPERLINK is not implemented. linkLocation=https://pubmed.ncbi.nlm.nih.gov/20958854/, friendlyName=Open PubMed</x:v>
      </x:c>
    </x:row>
    <x:row r="425">
      <x:c r="A425" s="26" t="str">
        <x:v>PUBMED-21128217</x:v>
      </x:c>
      <x:c r="B425" s="26" t="n">
        <x:v>2010</x:v>
      </x:c>
      <x:c r="C425" s="26" t="str">
        <x:v>21128217</x:v>
      </x:c>
      <x:c r="D425" s="28" t="str">
        <x:v>[Neurofeedback training in children with ADHD: behavioral and neurophysiological effects].</x:v>
      </x:c>
      <x:c r="E425" s="28" t="str">
        <x:v>Primary study - randomized controlled trial</x:v>
      </x:c>
      <x:c r="F425" s="28" t="str">
        <x:v>Development &amp; presentation; Recognition &amp; diagnosis; Social &amp; structural; Treatment &amp; support; Life outcomes &amp; lived experience</x:v>
      </x:c>
      <x:c r="G425" s="28" t="str">
        <x:v>Childhood</x:v>
      </x:c>
      <x:c r="H425" s="28" t="str">
        <x:v>Later specialized</x:v>
      </x:c>
      <x:c r="I425" s="28" t="str">
        <x:v>Direct or strongly ADHD-related record retained for later screening; typically narrower treatment, biomarker, mechanistic, or single-comorbidity focus.</x:v>
      </x:c>
      <x:c r="J425" s="38" t="e">
        <x:f>HYPERLINK("https://pubmed.ncbi.nlm.nih.gov/"&amp;C425&amp;"/","Open PubMed")</x:f>
        <x:v>HYPERLINK is not implemented. linkLocation=https://pubmed.ncbi.nlm.nih.gov/21128217/, friendlyName=Open PubMed</x:v>
      </x:c>
    </x:row>
    <x:row r="426">
      <x:c r="A426" s="26" t="str">
        <x:v>PUBMED-20807778</x:v>
      </x:c>
      <x:c r="B426" s="26" t="n">
        <x:v>2010</x:v>
      </x:c>
      <x:c r="C426" s="26" t="str">
        <x:v>20807778</x:v>
      </x:c>
      <x:c r="D426" s="28" t="str">
        <x:v>Psychiatric characterization of children with genetic causes of hyperandrogenism.</x:v>
      </x:c>
      <x:c r="E426" s="28" t="str">
        <x:v>Primary study - clinical trial</x:v>
      </x:c>
      <x:c r="F426" s="28" t="str">
        <x:v>Development &amp; presentation; Recognition &amp; diagnosis; Social &amp; structural; Treatment &amp; support</x:v>
      </x:c>
      <x:c r="G426" s="28" t="str">
        <x:v>Childhood; Adolescence</x:v>
      </x:c>
      <x:c r="H426" s="28" t="str">
        <x:v>Later specialized</x:v>
      </x:c>
      <x:c r="I426" s="28" t="str">
        <x:v>Direct or strongly ADHD-related record retained for later screening; typically narrower treatment, biomarker, mechanistic, or single-comorbidity focus.</x:v>
      </x:c>
      <x:c r="J426" s="38" t="e">
        <x:f>HYPERLINK("https://pubmed.ncbi.nlm.nih.gov/"&amp;C426&amp;"/","Open PubMed")</x:f>
        <x:v>HYPERLINK is not implemented. linkLocation=https://pubmed.ncbi.nlm.nih.gov/20807778/, friendlyName=Open PubMed</x:v>
      </x:c>
    </x:row>
    <x:row r="427">
      <x:c r="A427" s="26" t="str">
        <x:v>PUBMED-20823730</x:v>
      </x:c>
      <x:c r="B427" s="26" t="n">
        <x:v>2010</x:v>
      </x:c>
      <x:c r="C427" s="26" t="str">
        <x:v>20823730</x:v>
      </x:c>
      <x:c r="D427" s="28" t="str">
        <x:v>Prenatal exposure to maternal and paternal smoking on attention deficit hyperactivity disorders symptoms and diagnosis in offspring.</x:v>
      </x:c>
      <x:c r="E427" s="28" t="str">
        <x:v>Primary/contextual journal article</x:v>
      </x:c>
      <x:c r="F427" s="28" t="str">
        <x:v>Development &amp; presentation; Recognition &amp; diagnosis; Family &amp; education; Environmental &amp; lifestyle; Treatment &amp; support</x:v>
      </x:c>
      <x:c r="G427" s="28" t="str">
        <x:v>Childhood</x:v>
      </x:c>
      <x:c r="H427" s="28" t="str">
        <x:v>Later specialized</x:v>
      </x:c>
      <x:c r="I427" s="28" t="str">
        <x:v>Direct or strongly ADHD-related record retained for later screening; typically narrower treatment, biomarker, mechanistic, or single-comorbidity focus.</x:v>
      </x:c>
      <x:c r="J427" s="38" t="e">
        <x:f>HYPERLINK("https://pubmed.ncbi.nlm.nih.gov/"&amp;C427&amp;"/","Open PubMed")</x:f>
        <x:v>HYPERLINK is not implemented. linkLocation=https://pubmed.ncbi.nlm.nih.gov/20823730/, friendlyName=Open PubMed</x:v>
      </x:c>
    </x:row>
    <x:row r="428">
      <x:c r="A428" s="26" t="str">
        <x:v>PUBMED-21029446</x:v>
      </x:c>
      <x:c r="B428" s="26" t="n">
        <x:v>2010</x:v>
      </x:c>
      <x:c r="C428" s="26" t="str">
        <x:v>21029446</x:v>
      </x:c>
      <x:c r="D428" s="28" t="str">
        <x:v>Electrophysiological evidence for abnormal preparatory states and inhibitory processing in adult ADHD.</x:v>
      </x:c>
      <x:c r="E428" s="28" t="str">
        <x:v>Primary/contextual journal article</x:v>
      </x:c>
      <x:c r="F428" s="28" t="str">
        <x:v>Development &amp; presentation; Recognition &amp; diagnosis; Social &amp; structural</x:v>
      </x:c>
      <x:c r="G428" s="28" t="str">
        <x:v>Childhood; Adolescence; Adulthood</x:v>
      </x:c>
      <x:c r="H428" s="28" t="str">
        <x:v>Later specialized</x:v>
      </x:c>
      <x:c r="I428" s="28" t="str">
        <x:v>Direct or strongly ADHD-related record retained for later screening; typically narrower treatment, biomarker, mechanistic, or single-comorbidity focus.</x:v>
      </x:c>
      <x:c r="J428" s="38" t="e">
        <x:f>HYPERLINK("https://pubmed.ncbi.nlm.nih.gov/"&amp;C428&amp;"/","Open PubMed")</x:f>
        <x:v>HYPERLINK is not implemented. linkLocation=https://pubmed.ncbi.nlm.nih.gov/21029446/, friendlyName=Open PubMed</x:v>
      </x:c>
    </x:row>
    <x:row r="429">
      <x:c r="A429" s="26" t="str">
        <x:v>PUBMED-20868469</x:v>
      </x:c>
      <x:c r="B429" s="26" t="n">
        <x:v>2010</x:v>
      </x:c>
      <x:c r="C429" s="26" t="str">
        <x:v>20868469</x:v>
      </x:c>
      <x:c r="D429" s="28" t="str">
        <x:v>Supplementation of polyunsaturated fatty acids, magnesium and zinc in children seeking medical advice for attention-deficit/hyperactivity problems - an observational cohort study.</x:v>
      </x:c>
      <x:c r="E429" s="28" t="str">
        <x:v>Primary study - clinical trial</x:v>
      </x:c>
      <x:c r="F429" s="28" t="str">
        <x:v>Development &amp; presentation; Recognition &amp; diagnosis; Family &amp; education; Social &amp; structural; Environmental &amp; lifestyle; Treatment &amp; support; Life outcomes &amp; lived experience</x:v>
      </x:c>
      <x:c r="G429" s="28" t="str">
        <x:v>Childhood; Adolescence</x:v>
      </x:c>
      <x:c r="H429" s="28" t="str">
        <x:v>Later specialized</x:v>
      </x:c>
      <x:c r="I429" s="28" t="str">
        <x:v>Direct or strongly ADHD-related record retained for later screening; typically narrower treatment, biomarker, mechanistic, or single-comorbidity focus.</x:v>
      </x:c>
      <x:c r="J429" s="38" t="e">
        <x:f>HYPERLINK("https://pubmed.ncbi.nlm.nih.gov/"&amp;C429&amp;"/","Open PubMed")</x:f>
        <x:v>HYPERLINK is not implemented. linkLocation=https://pubmed.ncbi.nlm.nih.gov/20868469/, friendlyName=Open PubMed</x:v>
      </x:c>
    </x:row>
    <x:row r="430">
      <x:c r="A430" s="26" t="str">
        <x:v>PUBMED-21052044</x:v>
      </x:c>
      <x:c r="B430" s="26" t="n">
        <x:v>2010</x:v>
      </x:c>
      <x:c r="C430" s="26" t="str">
        <x:v>21052044</x:v>
      </x:c>
      <x:c r="D430" s="28" t="str">
        <x:v>Drug induced mania in a boy with high functioning autism.</x:v>
      </x:c>
      <x:c r="E430" s="28" t="str">
        <x:v>Primary/contextual journal article</x:v>
      </x:c>
      <x:c r="F430" s="28" t="str">
        <x:v>Development &amp; presentation; Recognition &amp; diagnosis; Social &amp; structural; Treatment &amp; support; Life outcomes &amp; lived experience</x:v>
      </x:c>
      <x:c r="G430" s="28" t="str">
        <x:v>Adolescence</x:v>
      </x:c>
      <x:c r="H430" s="28" t="str">
        <x:v>Exclude/incidental</x:v>
      </x:c>
      <x:c r="I430" s="28" t="str">
        <x:v>ADHD appears peripheral or insufficiently aligned with the requested corpus scope based on accessible metadata/abstract.</x:v>
      </x:c>
      <x:c r="J430" s="38" t="e">
        <x:f>HYPERLINK("https://pubmed.ncbi.nlm.nih.gov/"&amp;C430&amp;"/","Open PubMed")</x:f>
        <x:v>HYPERLINK is not implemented. linkLocation=https://pubmed.ncbi.nlm.nih.gov/21052044/, friendlyName=Open PubMed</x:v>
      </x:c>
    </x:row>
    <x:row r="431">
      <x:c r="A431" s="26" t="str">
        <x:v>PUBMED-20880313</x:v>
      </x:c>
      <x:c r="B431" s="26" t="n">
        <x:v>2010</x:v>
      </x:c>
      <x:c r="C431" s="26" t="str">
        <x:v>20880313</x:v>
      </x:c>
      <x:c r="D431" s="28" t="str">
        <x:v>Oral megadose methylphenidate ingestion for suicide attempt.</x:v>
      </x:c>
      <x:c r="E431" s="28" t="str">
        <x:v>Contextual - editorial/comment</x:v>
      </x:c>
      <x:c r="F431" s="28" t="str">
        <x:v>Development &amp; presentation; Recognition &amp; diagnosis; Social &amp; structural; Treatment &amp; support; Life outcomes &amp; lived experience</x:v>
      </x:c>
      <x:c r="G431" s="28" t="str">
        <x:v>Childhood</x:v>
      </x:c>
      <x:c r="H431" s="28" t="str">
        <x:v>Exclude/incidental</x:v>
      </x:c>
      <x:c r="I431" s="28" t="str">
        <x:v>ADHD appears peripheral or insufficiently aligned with the requested corpus scope based on accessible metadata/abstract.</x:v>
      </x:c>
      <x:c r="J431" s="38" t="e">
        <x:f>HYPERLINK("https://pubmed.ncbi.nlm.nih.gov/"&amp;C431&amp;"/","Open PubMed")</x:f>
        <x:v>HYPERLINK is not implemented. linkLocation=https://pubmed.ncbi.nlm.nih.gov/20880313/, friendlyName=Open PubMed</x:v>
      </x:c>
    </x:row>
    <x:row r="432">
      <x:c r="A432" s="26" t="str">
        <x:v>PUBMED-21086222</x:v>
      </x:c>
      <x:c r="B432" s="26" t="n">
        <x:v>2010</x:v>
      </x:c>
      <x:c r="C432" s="26" t="str">
        <x:v>21086222</x:v>
      </x:c>
      <x:c r="D432" s="28" t="str">
        <x:v>Predictors of different types of developmental coordination problems in ADHD: the effect of age, gender, ADHD symptom severity and comorbidities.</x:v>
      </x:c>
      <x:c r="E432" s="28" t="str">
        <x:v>Primary/contextual journal article</x:v>
      </x:c>
      <x:c r="F432" s="28" t="str">
        <x:v>Development &amp; presentation; Recognition &amp; diagnosis; Family &amp; education; Social &amp; structural</x:v>
      </x:c>
      <x:c r="G432" s="28" t="str">
        <x:v>Childhood; Adolescence</x:v>
      </x:c>
      <x:c r="H432" s="28" t="str">
        <x:v>Later specialized</x:v>
      </x:c>
      <x:c r="I432" s="28" t="str">
        <x:v>Direct or strongly ADHD-related record retained for later screening; typically narrower treatment, biomarker, mechanistic, or single-comorbidity focus.</x:v>
      </x:c>
      <x:c r="J432" s="38" t="e">
        <x:f>HYPERLINK("https://pubmed.ncbi.nlm.nih.gov/"&amp;C432&amp;"/","Open PubMed")</x:f>
        <x:v>HYPERLINK is not implemented. linkLocation=https://pubmed.ncbi.nlm.nih.gov/21086222/, friendlyName=Open PubMed</x:v>
      </x:c>
    </x:row>
    <x:row r="433">
      <x:c r="A433" s="26" t="str">
        <x:v>PUBMED-21071387</x:v>
      </x:c>
      <x:c r="B433" s="26" t="n">
        <x:v>2010</x:v>
      </x:c>
      <x:c r="C433" s="26" t="str">
        <x:v>21071387</x:v>
      </x:c>
      <x:c r="D433" s="28" t="str">
        <x:v>Multispectral brain morphometry in Tourette syndrome persisting into adulthood.</x:v>
      </x:c>
      <x:c r="E433" s="28" t="str">
        <x:v>Primary/contextual journal article</x:v>
      </x:c>
      <x:c r="F433" s="28" t="str">
        <x:v>Development &amp; presentation; Social &amp; structural</x:v>
      </x:c>
      <x:c r="G433" s="28" t="str">
        <x:v>Childhood; Adolescence; Adulthood</x:v>
      </x:c>
      <x:c r="H433" s="28" t="str">
        <x:v>Exclude/incidental</x:v>
      </x:c>
      <x:c r="I433" s="28" t="str">
        <x:v>ADHD appears peripheral or insufficiently aligned with the requested corpus scope based on accessible metadata/abstract.</x:v>
      </x:c>
      <x:c r="J433" s="38" t="e">
        <x:f>HYPERLINK("https://pubmed.ncbi.nlm.nih.gov/"&amp;C433&amp;"/","Open PubMed")</x:f>
        <x:v>HYPERLINK is not implemented. linkLocation=https://pubmed.ncbi.nlm.nih.gov/21071387/, friendlyName=Open PubMed</x:v>
      </x:c>
    </x:row>
    <x:row r="434">
      <x:c r="A434" s="26" t="str">
        <x:v>PUBMED-21311491</x:v>
      </x:c>
      <x:c r="B434" s="26" t="n">
        <x:v>2010</x:v>
      </x:c>
      <x:c r="C434" s="26" t="str">
        <x:v>21311491</x:v>
      </x:c>
      <x:c r="D434" s="28" t="str">
        <x:v>[Diagnosis of attention-deficit hyperactivity disorder with a conditioned reflexes approach].</x:v>
      </x:c>
      <x:c r="E434" s="28" t="str">
        <x:v>Primary/contextual journal article</x:v>
      </x:c>
      <x:c r="F434" s="28" t="str">
        <x:v>Development &amp; presentation; Recognition &amp; diagnosis; Social &amp; structural; Treatment &amp; support</x:v>
      </x:c>
      <x:c r="G434" s="28" t="str">
        <x:v>Childhood</x:v>
      </x:c>
      <x:c r="H434" s="28" t="str">
        <x:v>Later specialized</x:v>
      </x:c>
      <x:c r="I434" s="28" t="str">
        <x:v>Direct or strongly ADHD-related record retained for later screening; typically narrower treatment, biomarker, mechanistic, or single-comorbidity focus.</x:v>
      </x:c>
      <x:c r="J434" s="38" t="e">
        <x:f>HYPERLINK("https://pubmed.ncbi.nlm.nih.gov/"&amp;C434&amp;"/","Open PubMed")</x:f>
        <x:v>HYPERLINK is not implemented. linkLocation=https://pubmed.ncbi.nlm.nih.gov/21311491/, friendlyName=Open PubMed</x:v>
      </x:c>
    </x:row>
    <x:row r="435">
      <x:c r="A435" s="26" t="str">
        <x:v>PUBMED-21058122</x:v>
      </x:c>
      <x:c r="B435" s="26" t="n">
        <x:v>2010</x:v>
      </x:c>
      <x:c r="C435" s="26" t="str">
        <x:v>21058122</x:v>
      </x:c>
      <x:c r="D435" s="28" t="str">
        <x:v>Do hyperactive symptoms matter in ADHD-I restricted phenotype?</x:v>
      </x:c>
      <x:c r="E435" s="28" t="str">
        <x:v>Primary/contextual journal article</x:v>
      </x:c>
      <x:c r="F435" s="28" t="str">
        <x:v>Development &amp; presentation; Recognition &amp; diagnosis; Family &amp; education; Life outcomes &amp; lived experience</x:v>
      </x:c>
      <x:c r="G435" s="28" t="str">
        <x:v>Childhood; Adolescence</x:v>
      </x:c>
      <x:c r="H435" s="28" t="str">
        <x:v>Later specialized</x:v>
      </x:c>
      <x:c r="I435" s="28" t="str">
        <x:v>Direct or strongly ADHD-related record retained for later screening; typically narrower treatment, biomarker, mechanistic, or single-comorbidity focus.</x:v>
      </x:c>
      <x:c r="J435" s="38" t="e">
        <x:f>HYPERLINK("https://pubmed.ncbi.nlm.nih.gov/"&amp;C435&amp;"/","Open PubMed")</x:f>
        <x:v>HYPERLINK is not implemented. linkLocation=https://pubmed.ncbi.nlm.nih.gov/21058122/, friendlyName=Open PubMed</x:v>
      </x:c>
    </x:row>
    <x:row r="436">
      <x:c r="A436" s="26" t="str">
        <x:v>PUBMED-20799150</x:v>
      </x:c>
      <x:c r="B436" s="26" t="n">
        <x:v>2010</x:v>
      </x:c>
      <x:c r="C436" s="26" t="str">
        <x:v>20799150</x:v>
      </x:c>
      <x:c r="D436" s="28" t="str">
        <x:v>Impact of long-term treatment of methylphenidate on height and weight of school age children with ADHD.</x:v>
      </x:c>
      <x:c r="E436" s="28" t="str">
        <x:v>Primary study - clinical trial</x:v>
      </x:c>
      <x:c r="F436" s="28" t="str">
        <x:v>Development &amp; presentation; Recognition &amp; diagnosis; Family &amp; education; Social &amp; structural; Treatment &amp; support</x:v>
      </x:c>
      <x:c r="G436" s="28" t="str">
        <x:v>Childhood; Adolescence</x:v>
      </x:c>
      <x:c r="H436" s="28" t="str">
        <x:v>Later specialized</x:v>
      </x:c>
      <x:c r="I436" s="28" t="str">
        <x:v>Direct or strongly ADHD-related record retained for later screening; typically narrower treatment, biomarker, mechanistic, or single-comorbidity focus.</x:v>
      </x:c>
      <x:c r="J436" s="38" t="e">
        <x:f>HYPERLINK("https://pubmed.ncbi.nlm.nih.gov/"&amp;C436&amp;"/","Open PubMed")</x:f>
        <x:v>HYPERLINK is not implemented. linkLocation=https://pubmed.ncbi.nlm.nih.gov/20799150/, friendlyName=Open PubMed</x:v>
      </x:c>
    </x:row>
    <x:row r="437">
      <x:c r="A437" s="26" t="str">
        <x:v>PUBMED-20799152</x:v>
      </x:c>
      <x:c r="B437" s="26" t="n">
        <x:v>2010</x:v>
      </x:c>
      <x:c r="C437" s="26" t="str">
        <x:v>20799152</x:v>
      </x:c>
      <x:c r="D437" s="28" t="str">
        <x:v>Unusual neuroimaging in a young boy with cerebral X-linked adrenoleukodystrophy.</x:v>
      </x:c>
      <x:c r="E437" s="28" t="str">
        <x:v>Primary/contextual journal article</x:v>
      </x:c>
      <x:c r="F437" s="28" t="str">
        <x:v>Development &amp; presentation; Social &amp; structural; Environmental &amp; lifestyle; Treatment &amp; support; Historical &amp; contemporary context</x:v>
      </x:c>
      <x:c r="G437" s="28" t="str">
        <x:v>Childhood</x:v>
      </x:c>
      <x:c r="H437" s="28" t="str">
        <x:v>Later specialized</x:v>
      </x:c>
      <x:c r="I437" s="28" t="str">
        <x:v>Direct or strongly ADHD-related record retained for later screening; typically narrower treatment, biomarker, mechanistic, or single-comorbidity focus.</x:v>
      </x:c>
      <x:c r="J437" s="38" t="e">
        <x:f>HYPERLINK("https://pubmed.ncbi.nlm.nih.gov/"&amp;C437&amp;"/","Open PubMed")</x:f>
        <x:v>HYPERLINK is not implemented. linkLocation=https://pubmed.ncbi.nlm.nih.gov/20799152/, friendlyName=Open PubMed</x:v>
      </x:c>
    </x:row>
    <x:row r="438">
      <x:c r="A438" s="26" t="str">
        <x:v>PUBMED-21432596</x:v>
      </x:c>
      <x:c r="B438" s="26" t="n">
        <x:v>2010</x:v>
      </x:c>
      <x:c r="C438" s="26" t="str">
        <x:v>21432596</x:v>
      </x:c>
      <x:c r="D438" s="28" t="str">
        <x:v>Reboxetine for ADHD in children non-responders or with poor tolerance to methylphenidate: a prospective long-term open-label study.</x:v>
      </x:c>
      <x:c r="E438" s="28" t="str">
        <x:v>Primary study - clinical trial</x:v>
      </x:c>
      <x:c r="F438" s="28" t="str">
        <x:v>Development &amp; presentation; Recognition &amp; diagnosis; Social &amp; structural; Treatment &amp; support</x:v>
      </x:c>
      <x:c r="G438" s="28" t="str">
        <x:v>Childhood; Adolescence</x:v>
      </x:c>
      <x:c r="H438" s="28" t="str">
        <x:v>Later specialized</x:v>
      </x:c>
      <x:c r="I438" s="28" t="str">
        <x:v>Direct or strongly ADHD-related record retained for later screening; typically narrower treatment, biomarker, mechanistic, or single-comorbidity focus.</x:v>
      </x:c>
      <x:c r="J438" s="38" t="e">
        <x:f>HYPERLINK("https://pubmed.ncbi.nlm.nih.gov/"&amp;C438&amp;"/","Open PubMed")</x:f>
        <x:v>HYPERLINK is not implemented. linkLocation=https://pubmed.ncbi.nlm.nih.gov/21432596/, friendlyName=Open PubMed</x:v>
      </x:c>
    </x:row>
    <x:row r="439">
      <x:c r="A439" s="26" t="str">
        <x:v>PUBMED-21111247</x:v>
      </x:c>
      <x:c r="B439" s="26" t="n">
        <x:v>2010</x:v>
      </x:c>
      <x:c r="C439" s="26" t="str">
        <x:v>21111247</x:v>
      </x:c>
      <x:c r="D439" s="28" t="str">
        <x:v>The impact of early alleged maltreatment on behavioral trajectories.</x:v>
      </x:c>
      <x:c r="E439" s="28" t="str">
        <x:v>Primary/contextual journal article</x:v>
      </x:c>
      <x:c r="F439" s="28" t="str">
        <x:v>Development &amp; presentation; Recognition &amp; diagnosis; Family &amp; education; Social &amp; structural; Treatment &amp; support; Life outcomes &amp; lived experience; Historical &amp; contemporary context</x:v>
      </x:c>
      <x:c r="G439" s="28" t="str">
        <x:v>Childhood</x:v>
      </x:c>
      <x:c r="H439" s="28" t="str">
        <x:v>Exclude/incidental</x:v>
      </x:c>
      <x:c r="I439" s="28" t="str">
        <x:v>ADHD appears peripheral or insufficiently aligned with the requested corpus scope based on accessible metadata/abstract.</x:v>
      </x:c>
      <x:c r="J439" s="38" t="e">
        <x:f>HYPERLINK("https://pubmed.ncbi.nlm.nih.gov/"&amp;C439&amp;"/","Open PubMed")</x:f>
        <x:v>HYPERLINK is not implemented. linkLocation=https://pubmed.ncbi.nlm.nih.gov/21111247/, friendlyName=Open PubMed</x:v>
      </x:c>
    </x:row>
    <x:row r="440">
      <x:c r="A440" s="26" t="str">
        <x:v>PUBMED-21432605</x:v>
      </x:c>
      <x:c r="B440" s="26" t="n">
        <x:v>2010</x:v>
      </x:c>
      <x:c r="C440" s="26" t="str">
        <x:v>21432605</x:v>
      </x:c>
      <x:c r="D440" s="28" t="str">
        <x:v>Associations between trait anxiety and psychopathological characteristics of children at high risk for severe antisocial development.</x:v>
      </x:c>
      <x:c r="E440" s="28" t="str">
        <x:v>Primary/contextual journal article</x:v>
      </x:c>
      <x:c r="F440" s="28" t="str">
        <x:v>Development &amp; presentation; Recognition &amp; diagnosis; Social &amp; structural; Treatment &amp; support; Life outcomes &amp; lived experience</x:v>
      </x:c>
      <x:c r="G440" s="28" t="str">
        <x:v>Childhood; Adolescence</x:v>
      </x:c>
      <x:c r="H440" s="28" t="str">
        <x:v>Later specialized</x:v>
      </x:c>
      <x:c r="I440" s="28" t="str">
        <x:v>Direct or strongly ADHD-related record retained for later screening; typically narrower treatment, biomarker, mechanistic, or single-comorbidity focus.</x:v>
      </x:c>
      <x:c r="J440" s="38" t="e">
        <x:f>HYPERLINK("https://pubmed.ncbi.nlm.nih.gov/"&amp;C440&amp;"/","Open PubMed")</x:f>
        <x:v>HYPERLINK is not implemented. linkLocation=https://pubmed.ncbi.nlm.nih.gov/21432605/, friendlyName=Open PubMed</x:v>
      </x:c>
    </x:row>
    <x:row r="441">
      <x:c r="A441" s="26" t="str">
        <x:v>PUBMED-20861585</x:v>
      </x:c>
      <x:c r="B441" s="26" t="n">
        <x:v>2010</x:v>
      </x:c>
      <x:c r="C441" s="26" t="str">
        <x:v>20861585</x:v>
      </x:c>
      <x:c r="D441" s="28" t="str">
        <x:v>Does prior exposure to stimulants in children with ADHD impact cardiovascular parameters from lisdexamfetamine dimesylate?</x:v>
      </x:c>
      <x:c r="E441" s="28" t="str">
        <x:v>Primary study - clinical trial</x:v>
      </x:c>
      <x:c r="F441" s="28" t="str">
        <x:v>Development &amp; presentation; Recognition &amp; diagnosis; Family &amp; education; Social &amp; structural; Environmental &amp; lifestyle; Treatment &amp; support; Life outcomes &amp; lived experience</x:v>
      </x:c>
      <x:c r="G441" s="28" t="str">
        <x:v>Childhood</x:v>
      </x:c>
      <x:c r="H441" s="28" t="str">
        <x:v>Later specialized</x:v>
      </x:c>
      <x:c r="I441" s="28" t="str">
        <x:v>Direct or strongly ADHD-related record retained for later screening; typically narrower treatment, biomarker, mechanistic, or single-comorbidity focus.</x:v>
      </x:c>
      <x:c r="J441" s="38" t="e">
        <x:f>HYPERLINK("https://pubmed.ncbi.nlm.nih.gov/"&amp;C441&amp;"/","Open PubMed")</x:f>
        <x:v>HYPERLINK is not implemented. linkLocation=https://pubmed.ncbi.nlm.nih.gov/20861585/, friendlyName=Open PubMed</x:v>
      </x:c>
    </x:row>
    <x:row r="442">
      <x:c r="A442" s="26" t="str">
        <x:v>PUBMED-20858053</x:v>
      </x:c>
      <x:c r="B442" s="26" t="n">
        <x:v>2010</x:v>
      </x:c>
      <x:c r="C442" s="26" t="str">
        <x:v>20858053</x:v>
      </x:c>
      <x:c r="D442" s="28" t="str">
        <x:v>A simple allele-specific polymerase chain reaction method to detect the Gly143Glu polymorphism in the human carboxylesterase 1 gene: importance of genotyping for pharmacogenetic treatment.</x:v>
      </x:c>
      <x:c r="E442" s="28" t="str">
        <x:v>Primary/contextual journal article</x:v>
      </x:c>
      <x:c r="F442" s="28" t="str">
        <x:v>Development &amp; presentation; Social &amp; structural; Environmental &amp; lifestyle; Treatment &amp; support</x:v>
      </x:c>
      <x:c r="G442" s="28" t="str">
        <x:v>Adolescence; Adulthood</x:v>
      </x:c>
      <x:c r="H442" s="28" t="str">
        <x:v>Exclude/incidental</x:v>
      </x:c>
      <x:c r="I442" s="28" t="str">
        <x:v>ADHD appears peripheral or insufficiently aligned with the requested corpus scope based on accessible metadata/abstract.</x:v>
      </x:c>
      <x:c r="J442" s="38" t="e">
        <x:f>HYPERLINK("https://pubmed.ncbi.nlm.nih.gov/"&amp;C442&amp;"/","Open PubMed")</x:f>
        <x:v>HYPERLINK is not implemented. linkLocation=https://pubmed.ncbi.nlm.nih.gov/20858053/, friendlyName=Open PubMed</x:v>
      </x:c>
    </x:row>
    <x:row r="443">
      <x:c r="A443" s="26" t="str">
        <x:v>PUBMED-21432588</x:v>
      </x:c>
      <x:c r="B443" s="26" t="n">
        <x:v>2010</x:v>
      </x:c>
      <x:c r="C443" s="26" t="str">
        <x:v>21432588</x:v>
      </x:c>
      <x:c r="D443" s="28" t="str">
        <x:v>A pilot study of combined working memory and inhibition training for children with AD/HD.</x:v>
      </x:c>
      <x:c r="E443" s="28" t="str">
        <x:v>Primary study - randomized controlled trial</x:v>
      </x:c>
      <x:c r="F443" s="28" t="str">
        <x:v>Development &amp; presentation; Recognition &amp; diagnosis; Social &amp; structural; Treatment &amp; support; Life outcomes &amp; lived experience</x:v>
      </x:c>
      <x:c r="G443" s="28" t="str">
        <x:v>Childhood</x:v>
      </x:c>
      <x:c r="H443" s="28" t="str">
        <x:v>Exclude/incidental</x:v>
      </x:c>
      <x:c r="I443" s="28" t="str">
        <x:v>ADHD appears peripheral or insufficiently aligned with the requested corpus scope based on accessible metadata/abstract.</x:v>
      </x:c>
      <x:c r="J443" s="38" t="e">
        <x:f>HYPERLINK("https://pubmed.ncbi.nlm.nih.gov/"&amp;C443&amp;"/","Open PubMed")</x:f>
        <x:v>HYPERLINK is not implemented. linkLocation=https://pubmed.ncbi.nlm.nih.gov/21432588/, friendlyName=Open PubMed</x:v>
      </x:c>
    </x:row>
    <x:row r="444">
      <x:c r="A444" s="26" t="str">
        <x:v>PUBMED-20813507</x:v>
      </x:c>
      <x:c r="B444" s="26" t="n">
        <x:v>2010</x:v>
      </x:c>
      <x:c r="C444" s="26" t="str">
        <x:v>20813507</x:v>
      </x:c>
      <x:c r="D444" s="28" t="str">
        <x:v>Disruptive symptoms in childhood and adolescence and early initiation of tobacco and cannabis use: the Gazel Youth study.</x:v>
      </x:c>
      <x:c r="E444" s="28" t="str">
        <x:v>Primary/contextual journal article</x:v>
      </x:c>
      <x:c r="F444" s="28" t="str">
        <x:v>Development &amp; presentation; Recognition &amp; diagnosis; Family &amp; education; Social &amp; structural; Environmental &amp; lifestyle; Treatment &amp; support; Life outcomes &amp; lived experience</x:v>
      </x:c>
      <x:c r="G444" s="28" t="str">
        <x:v>Childhood; Adolescence</x:v>
      </x:c>
      <x:c r="H444" s="28" t="str">
        <x:v>Exclude/incidental</x:v>
      </x:c>
      <x:c r="I444" s="28" t="str">
        <x:v>ADHD appears peripheral or insufficiently aligned with the requested corpus scope based on accessible metadata/abstract.</x:v>
      </x:c>
      <x:c r="J444" s="38" t="e">
        <x:f>HYPERLINK("https://pubmed.ncbi.nlm.nih.gov/"&amp;C444&amp;"/","Open PubMed")</x:f>
        <x:v>HYPERLINK is not implemented. linkLocation=https://pubmed.ncbi.nlm.nih.gov/20813507/, friendlyName=Open PubMed</x:v>
      </x:c>
    </x:row>
    <x:row r="445">
      <x:c r="A445" s="26" t="str">
        <x:v>PUBMED-21096317</x:v>
      </x:c>
      <x:c r="B445" s="26" t="n">
        <x:v>2010</x:v>
      </x:c>
      <x:c r="C445" s="26" t="str">
        <x:v>21096317</x:v>
      </x:c>
      <x:c r="D445" s="28" t="str">
        <x:v>Evaluation of feature extraction techniques on event-related potentials for detection of attention-deficit/hyperactivity disorder.</x:v>
      </x:c>
      <x:c r="E445" s="28" t="str">
        <x:v>Primary/contextual journal article</x:v>
      </x:c>
      <x:c r="F445" s="28" t="str">
        <x:v>Development &amp; presentation; Recognition &amp; diagnosis; Family &amp; education; Historical &amp; contemporary context</x:v>
      </x:c>
      <x:c r="G445" s="28" t="str">
        <x:v>Childhood; Adolescence</x:v>
      </x:c>
      <x:c r="H445" s="28" t="str">
        <x:v>Later specialized</x:v>
      </x:c>
      <x:c r="I445" s="28" t="str">
        <x:v>Direct or strongly ADHD-related record retained for later screening; typically narrower treatment, biomarker, mechanistic, or single-comorbidity focus.</x:v>
      </x:c>
      <x:c r="J445" s="38" t="e">
        <x:f>HYPERLINK("https://pubmed.ncbi.nlm.nih.gov/"&amp;C445&amp;"/","Open PubMed")</x:f>
        <x:v>HYPERLINK is not implemented. linkLocation=https://pubmed.ncbi.nlm.nih.gov/21096317/, friendlyName=Open PubMed</x:v>
      </x:c>
    </x:row>
    <x:row r="446">
      <x:c r="A446" s="26" t="str">
        <x:v>PUBMED-21061929</x:v>
      </x:c>
      <x:c r="B446" s="26" t="n">
        <x:v>2010</x:v>
      </x:c>
      <x:c r="C446" s="26" t="str">
        <x:v>21061929</x:v>
      </x:c>
      <x:c r="D446" s="28" t="str">
        <x:v>The effect of hemisphere specific remediation strategies on the academic performance outcome of children with ADD/ADHD.</x:v>
      </x:c>
      <x:c r="E446" s="28" t="str">
        <x:v>Primary study - clinical trial</x:v>
      </x:c>
      <x:c r="F446" s="28" t="str">
        <x:v>Development &amp; presentation; Family &amp; education; Social &amp; structural; Treatment &amp; support; Life outcomes &amp; lived experience</x:v>
      </x:c>
      <x:c r="G446" s="28" t="str">
        <x:v>Childhood</x:v>
      </x:c>
      <x:c r="H446" s="28" t="str">
        <x:v>Later specialized</x:v>
      </x:c>
      <x:c r="I446" s="28" t="str">
        <x:v>Direct or strongly ADHD-related record retained for later screening; typically narrower treatment, biomarker, mechanistic, or single-comorbidity focus.</x:v>
      </x:c>
      <x:c r="J446" s="38" t="e">
        <x:f>HYPERLINK("https://pubmed.ncbi.nlm.nih.gov/"&amp;C446&amp;"/","Open PubMed")</x:f>
        <x:v>HYPERLINK is not implemented. linkLocation=https://pubmed.ncbi.nlm.nih.gov/21061929/, friendlyName=Open PubMed</x:v>
      </x:c>
    </x:row>
    <x:row r="447">
      <x:c r="A447" s="26" t="str">
        <x:v>PUBMED-21064018</x:v>
      </x:c>
      <x:c r="B447" s="26" t="n">
        <x:v>2010</x:v>
      </x:c>
      <x:c r="C447" s="26" t="str">
        <x:v>21064018</x:v>
      </x:c>
      <x:c r="D447" s="28" t="str">
        <x:v>[Assessment of comorbidity in autism spectrum disorders].</x:v>
      </x:c>
      <x:c r="E447" s="28" t="str">
        <x:v>Evidence synthesis - review</x:v>
      </x:c>
      <x:c r="F447" s="28" t="str">
        <x:v>Development &amp; presentation; Recognition &amp; diagnosis; Social &amp; structural; Treatment &amp; support; Historical &amp; contemporary context</x:v>
      </x:c>
      <x:c r="G447" s="28" t="str">
        <x:v>Childhood; Adulthood</x:v>
      </x:c>
      <x:c r="H447" s="28" t="str">
        <x:v>Exclude/incidental</x:v>
      </x:c>
      <x:c r="I447" s="28" t="str">
        <x:v>ADHD appears peripheral or insufficiently aligned with the requested corpus scope based on accessible metadata/abstract.</x:v>
      </x:c>
      <x:c r="J447" s="38" t="e">
        <x:f>HYPERLINK("https://pubmed.ncbi.nlm.nih.gov/"&amp;C447&amp;"/","Open PubMed")</x:f>
        <x:v>HYPERLINK is not implemented. linkLocation=https://pubmed.ncbi.nlm.nih.gov/21064018/, friendlyName=Open PubMed</x:v>
      </x:c>
    </x:row>
    <x:row r="448">
      <x:c r="A448" s="26" t="str">
        <x:v>PUBMED-20805091</x:v>
      </x:c>
      <x:c r="B448" s="26" t="n">
        <x:v>2010</x:v>
      </x:c>
      <x:c r="C448" s="26" t="str">
        <x:v>20805091</x:v>
      </x:c>
      <x:c r="D448" s="28" t="str">
        <x:v>Patient-centered design of an information management module for a personally controlled health record.</x:v>
      </x:c>
      <x:c r="E448" s="28" t="str">
        <x:v>Primary study - cohort</x:v>
      </x:c>
      <x:c r="F448" s="28" t="str">
        <x:v>Development &amp; presentation; Recognition &amp; diagnosis; Family &amp; education; Social &amp; structural; Environmental &amp; lifestyle; Treatment &amp; support; Life outcomes &amp; lived experience; Historical &amp; contemporary context</x:v>
      </x:c>
      <x:c r="G448" s="28" t="str">
        <x:v>Childhood; Adulthood</x:v>
      </x:c>
      <x:c r="H448" s="28" t="str">
        <x:v>Later specialized</x:v>
      </x:c>
      <x:c r="I448" s="28" t="str">
        <x:v>Direct or strongly ADHD-related record retained for later screening; typically narrower treatment, biomarker, mechanistic, or single-comorbidity focus.</x:v>
      </x:c>
      <x:c r="J448" s="38" t="e">
        <x:f>HYPERLINK("https://pubmed.ncbi.nlm.nih.gov/"&amp;C448&amp;"/","Open PubMed")</x:f>
        <x:v>HYPERLINK is not implemented. linkLocation=https://pubmed.ncbi.nlm.nih.gov/20805091/, friendlyName=Open PubMed</x:v>
      </x:c>
    </x:row>
    <x:row r="449">
      <x:c r="A449" s="26" t="str">
        <x:v>PUBMED-20821338</x:v>
      </x:c>
      <x:c r="B449" s="26" t="n">
        <x:v>2010</x:v>
      </x:c>
      <x:c r="C449" s="26" t="str">
        <x:v>20821338</x:v>
      </x:c>
      <x:c r="D449" s="28" t="str">
        <x:v>Time processing in children and adults with ADHD.</x:v>
      </x:c>
      <x:c r="E449" s="28" t="str">
        <x:v>Primary/contextual journal article</x:v>
      </x:c>
      <x:c r="F449" s="28" t="str">
        <x:v>Development &amp; presentation; Recognition &amp; diagnosis; Social &amp; structural</x:v>
      </x:c>
      <x:c r="G449" s="28" t="str">
        <x:v>Childhood; Adolescence; Adulthood</x:v>
      </x:c>
      <x:c r="H449" s="28" t="str">
        <x:v>Later specialized</x:v>
      </x:c>
      <x:c r="I449" s="28" t="str">
        <x:v>Direct or strongly ADHD-related record retained for later screening; typically narrower treatment, biomarker, mechanistic, or single-comorbidity focus.</x:v>
      </x:c>
      <x:c r="J449" s="38" t="e">
        <x:f>HYPERLINK("https://pubmed.ncbi.nlm.nih.gov/"&amp;C449&amp;"/","Open PubMed")</x:f>
        <x:v>HYPERLINK is not implemented. linkLocation=https://pubmed.ncbi.nlm.nih.gov/20821338/, friendlyName=Open PubMed</x:v>
      </x:c>
    </x:row>
    <x:row r="450">
      <x:c r="A450" s="26" t="str">
        <x:v>PUBMED-21258431</x:v>
      </x:c>
      <x:c r="B450" s="26" t="n">
        <x:v>2010</x:v>
      </x:c>
      <x:c r="C450" s="26" t="str">
        <x:v>21258431</x:v>
      </x:c>
      <x:c r="D450" s="28" t="str">
        <x:v>Less discontinuation of ADHD drug use since the availability of long-acting ADHD medication in children, adolescents and adults under the age of 45 years in the Netherlands.</x:v>
      </x:c>
      <x:c r="E450" s="28" t="str">
        <x:v>Primary study - cohort</x:v>
      </x:c>
      <x:c r="F450" s="28" t="str">
        <x:v>Development &amp; presentation; Family &amp; education; Social &amp; structural; Treatment &amp; support</x:v>
      </x:c>
      <x:c r="G450" s="28" t="str">
        <x:v>Childhood; Adolescence; Adulthood</x:v>
      </x:c>
      <x:c r="H450" s="28" t="str">
        <x:v>Later specialized</x:v>
      </x:c>
      <x:c r="I450" s="28" t="str">
        <x:v>Direct or strongly ADHD-related record retained for later screening; typically narrower treatment, biomarker, mechanistic, or single-comorbidity focus.</x:v>
      </x:c>
      <x:c r="J450" s="38" t="e">
        <x:f>HYPERLINK("https://pubmed.ncbi.nlm.nih.gov/"&amp;C450&amp;"/","Open PubMed")</x:f>
        <x:v>HYPERLINK is not implemented. linkLocation=https://pubmed.ncbi.nlm.nih.gov/21258431/, friendlyName=Open PubMed</x:v>
      </x:c>
    </x:row>
    <x:row r="451">
      <x:c r="A451" s="26" t="str">
        <x:v>PUBMED-20799100</x:v>
      </x:c>
      <x:c r="B451" s="26" t="n">
        <x:v>2010</x:v>
      </x:c>
      <x:c r="C451" s="26" t="str">
        <x:v>20799100</x:v>
      </x:c>
      <x:c r="D451" s="28" t="str">
        <x:v>Mental disorders in the pediatric setting – results of a Swiss survey.</x:v>
      </x:c>
      <x:c r="E451" s="28" t="str">
        <x:v>Primary study - cross-sectional</x:v>
      </x:c>
      <x:c r="F451" s="28" t="str">
        <x:v>Development &amp; presentation; Recognition &amp; diagnosis; Family &amp; education; Social &amp; structural; Environmental &amp; lifestyle; Treatment &amp; support</x:v>
      </x:c>
      <x:c r="G451" s="28" t="str">
        <x:v>Childhood; Adolescence; Adulthood</x:v>
      </x:c>
      <x:c r="H451" s="28" t="str">
        <x:v>Later specialized</x:v>
      </x:c>
      <x:c r="I451" s="28" t="str">
        <x:v>Direct or strongly ADHD-related record retained for later screening; typically narrower treatment, biomarker, mechanistic, or single-comorbidity focus.</x:v>
      </x:c>
      <x:c r="J451" s="38" t="e">
        <x:f>HYPERLINK("https://pubmed.ncbi.nlm.nih.gov/"&amp;C451&amp;"/","Open PubMed")</x:f>
        <x:v>HYPERLINK is not implemented. linkLocation=https://pubmed.ncbi.nlm.nih.gov/20799100/, friendlyName=Open PubMed</x:v>
      </x:c>
    </x:row>
    <x:row r="452">
      <x:c r="A452" s="26" t="str">
        <x:v>PUBMED-20863843</x:v>
      </x:c>
      <x:c r="B452" s="26" t="n">
        <x:v>2010</x:v>
      </x:c>
      <x:c r="C452" s="26" t="str">
        <x:v>20863843</x:v>
      </x:c>
      <x:c r="D452" s="28" t="str">
        <x:v>Inhibitory control of memory retrieval and motor processing associated with the right lateral prefrontal cortex: evidence from deficits in individuals with ADHD.</x:v>
      </x:c>
      <x:c r="E452" s="28" t="str">
        <x:v>Primary/contextual journal article</x:v>
      </x:c>
      <x:c r="F452" s="28" t="str">
        <x:v>Development &amp; presentation; Recognition &amp; diagnosis; Treatment &amp; support</x:v>
      </x:c>
      <x:c r="G452" s="28" t="str">
        <x:v>Adolescence; Adulthood</x:v>
      </x:c>
      <x:c r="H452" s="28" t="str">
        <x:v>Later specialized</x:v>
      </x:c>
      <x:c r="I452" s="28" t="str">
        <x:v>Direct or strongly ADHD-related record retained for later screening; typically narrower treatment, biomarker, mechanistic, or single-comorbidity focus.</x:v>
      </x:c>
      <x:c r="J452" s="38" t="e">
        <x:f>HYPERLINK("https://pubmed.ncbi.nlm.nih.gov/"&amp;C452&amp;"/","Open PubMed")</x:f>
        <x:v>HYPERLINK is not implemented. linkLocation=https://pubmed.ncbi.nlm.nih.gov/20863843/, friendlyName=Open PubMed</x:v>
      </x:c>
    </x:row>
    <x:row r="453">
      <x:c r="A453" s="26" t="str">
        <x:v>PUBMED-20853914</x:v>
      </x:c>
      <x:c r="B453" s="26" t="n">
        <x:v>2010</x:v>
      </x:c>
      <x:c r="C453" s="26" t="str">
        <x:v>20853914</x:v>
      </x:c>
      <x:c r="D453" s="28" t="str">
        <x:v>Classification of behavior disorders in adolescence: scaling methods, predictive validity, and gender differences.</x:v>
      </x:c>
      <x:c r="E453" s="28" t="str">
        <x:v>Primary study - cohort</x:v>
      </x:c>
      <x:c r="F453" s="28" t="str">
        <x:v>Development &amp; presentation; Recognition &amp; diagnosis; Family &amp; education; Social &amp; structural; Environmental &amp; lifestyle; Life outcomes &amp; lived experience</x:v>
      </x:c>
      <x:c r="G453" s="28" t="str">
        <x:v>Childhood; Adolescence; Adulthood</x:v>
      </x:c>
      <x:c r="H453" s="28" t="str">
        <x:v>Later specialized</x:v>
      </x:c>
      <x:c r="I453" s="28" t="str">
        <x:v>Direct or strongly ADHD-related record retained for later screening; typically narrower treatment, biomarker, mechanistic, or single-comorbidity focus.</x:v>
      </x:c>
      <x:c r="J453" s="38" t="e">
        <x:f>HYPERLINK("https://pubmed.ncbi.nlm.nih.gov/"&amp;C453&amp;"/","Open PubMed")</x:f>
        <x:v>HYPERLINK is not implemented. linkLocation=https://pubmed.ncbi.nlm.nih.gov/20853914/, friendlyName=Open PubMed</x:v>
      </x:c>
    </x:row>
    <x:row r="454">
      <x:c r="A454" s="26" t="str">
        <x:v>PUBMED-21268412</x:v>
      </x:c>
      <x:c r="B454" s="26" t="n">
        <x:v>2010</x:v>
      </x:c>
      <x:c r="C454" s="26" t="str">
        <x:v>21268412</x:v>
      </x:c>
      <x:c r="D454" s="28" t="str">
        <x:v>[Reward processing and psychopathology].</x:v>
      </x:c>
      <x:c r="E454" s="28" t="str">
        <x:v>Evidence synthesis - review</x:v>
      </x:c>
      <x:c r="F454" s="28" t="str">
        <x:v>Development &amp; presentation; Social &amp; structural; Environmental &amp; lifestyle</x:v>
      </x:c>
      <x:c r="G454" s="28" t="str">
        <x:v>Not specified</x:v>
      </x:c>
      <x:c r="H454" s="28" t="str">
        <x:v>Exclude/incidental</x:v>
      </x:c>
      <x:c r="I454" s="28" t="str">
        <x:v>ADHD appears peripheral or insufficiently aligned with the requested corpus scope based on accessible metadata/abstract.</x:v>
      </x:c>
      <x:c r="J454" s="38" t="e">
        <x:f>HYPERLINK("https://pubmed.ncbi.nlm.nih.gov/"&amp;C454&amp;"/","Open PubMed")</x:f>
        <x:v>HYPERLINK is not implemented. linkLocation=https://pubmed.ncbi.nlm.nih.gov/21268412/, friendlyName=Open PubMed</x:v>
      </x:c>
    </x:row>
    <x:row r="455">
      <x:c r="A455" s="26" t="str">
        <x:v>PUBMED-20825975</x:v>
      </x:c>
      <x:c r="B455" s="26" t="n">
        <x:v>2010</x:v>
      </x:c>
      <x:c r="C455" s="26" t="str">
        <x:v>20825975</x:v>
      </x:c>
      <x:c r="D455" s="28" t="str">
        <x:v>Association between blood lead levels (&lt;5 μg/dL) and inattention-hyperactivity and neurocognitive profiles in school-aged Korean children.</x:v>
      </x:c>
      <x:c r="E455" s="28" t="str">
        <x:v>Primary/contextual journal article</x:v>
      </x:c>
      <x:c r="F455" s="28" t="str">
        <x:v>Development &amp; presentation; Recognition &amp; diagnosis; Family &amp; education; Social &amp; structural; Environmental &amp; lifestyle</x:v>
      </x:c>
      <x:c r="G455" s="28" t="str">
        <x:v>Childhood</x:v>
      </x:c>
      <x:c r="H455" s="28" t="str">
        <x:v>Later specialized</x:v>
      </x:c>
      <x:c r="I455" s="28" t="str">
        <x:v>Direct or strongly ADHD-related record retained for later screening; typically narrower treatment, biomarker, mechanistic, or single-comorbidity focus.</x:v>
      </x:c>
      <x:c r="J455" s="38" t="e">
        <x:f>HYPERLINK("https://pubmed.ncbi.nlm.nih.gov/"&amp;C455&amp;"/","Open PubMed")</x:f>
        <x:v>HYPERLINK is not implemented. linkLocation=https://pubmed.ncbi.nlm.nih.gov/20825975/, friendlyName=Open PubMed</x:v>
      </x:c>
    </x:row>
    <x:row r="456">
      <x:c r="A456" s="26" t="str">
        <x:v>PUBMED-21077569</x:v>
      </x:c>
      <x:c r="B456" s="26" t="n">
        <x:v>2010</x:v>
      </x:c>
      <x:c r="C456" s="26" t="str">
        <x:v>21077569</x:v>
      </x:c>
      <x:c r="D456" s="28" t="str">
        <x:v>EEG alpha asymmetry in schizophrenia, depression, PTSD, panic disorder, ADHD and conduct disorder.</x:v>
      </x:c>
      <x:c r="E456" s="28" t="str">
        <x:v>Primary/contextual journal article</x:v>
      </x:c>
      <x:c r="F456" s="28" t="str">
        <x:v>Development &amp; presentation; Recognition &amp; diagnosis; Social &amp; structural; Environmental &amp; lifestyle; Treatment &amp; support</x:v>
      </x:c>
      <x:c r="G456" s="28" t="str">
        <x:v>Childhood; Adolescence; Adulthood</x:v>
      </x:c>
      <x:c r="H456" s="28" t="str">
        <x:v>Later specialized</x:v>
      </x:c>
      <x:c r="I456" s="28" t="str">
        <x:v>Direct or strongly ADHD-related record retained for later screening; typically narrower treatment, biomarker, mechanistic, or single-comorbidity focus.</x:v>
      </x:c>
      <x:c r="J456" s="38" t="e">
        <x:f>HYPERLINK("https://pubmed.ncbi.nlm.nih.gov/"&amp;C456&amp;"/","Open PubMed")</x:f>
        <x:v>HYPERLINK is not implemented. linkLocation=https://pubmed.ncbi.nlm.nih.gov/21077569/, friendlyName=Open PubMed</x:v>
      </x:c>
    </x:row>
    <x:row r="457">
      <x:c r="A457" s="26" t="str">
        <x:v>PUBMED-20868372</x:v>
      </x:c>
      <x:c r="B457" s="26" t="n">
        <x:v>2010</x:v>
      </x:c>
      <x:c r="C457" s="26" t="str">
        <x:v>20868372</x:v>
      </x:c>
      <x:c r="D457" s="28" t="str">
        <x:v>Perinatal risk factors interacting with catechol O-methyltransferase and the serotonin transporter gene predict ASD symptoms in children with ADHD.</x:v>
      </x:c>
      <x:c r="E457" s="28" t="str">
        <x:v>Primary/contextual journal article</x:v>
      </x:c>
      <x:c r="F457" s="28" t="str">
        <x:v>Development &amp; presentation; Social &amp; structural; Environmental &amp; lifestyle</x:v>
      </x:c>
      <x:c r="G457" s="28" t="str">
        <x:v>Childhood; Adolescence</x:v>
      </x:c>
      <x:c r="H457" s="28" t="str">
        <x:v>Later specialized</x:v>
      </x:c>
      <x:c r="I457" s="28" t="str">
        <x:v>Direct or strongly ADHD-related record retained for later screening; typically narrower treatment, biomarker, mechanistic, or single-comorbidity focus.</x:v>
      </x:c>
      <x:c r="J457" s="38" t="e">
        <x:f>HYPERLINK("https://pubmed.ncbi.nlm.nih.gov/"&amp;C457&amp;"/","Open PubMed")</x:f>
        <x:v>HYPERLINK is not implemented. linkLocation=https://pubmed.ncbi.nlm.nih.gov/20868372/, friendlyName=Open PubMed</x:v>
      </x:c>
    </x:row>
    <x:row r="458">
      <x:c r="A458" s="26" t="str">
        <x:v>PUBMED-20855396</x:v>
      </x:c>
      <x:c r="B458" s="26" t="n">
        <x:v>2010</x:v>
      </x:c>
      <x:c r="C458" s="26" t="str">
        <x:v>20855396</x:v>
      </x:c>
      <x:c r="D458" s="28" t="str">
        <x:v>Racial differences in the effects of postnatal environmental tobacco smoke on neurodevelopment.</x:v>
      </x:c>
      <x:c r="E458" s="28" t="str">
        <x:v>Primary/contextual journal article</x:v>
      </x:c>
      <x:c r="F458" s="28" t="str">
        <x:v>Development &amp; presentation; Family &amp; education; Social &amp; structural; Environmental &amp; lifestyle; Treatment &amp; support</x:v>
      </x:c>
      <x:c r="G458" s="28" t="str">
        <x:v>Childhood; Adolescence</x:v>
      </x:c>
      <x:c r="H458" s="28" t="str">
        <x:v>Later specialized</x:v>
      </x:c>
      <x:c r="I458" s="28" t="str">
        <x:v>Direct or strongly ADHD-related record retained for later screening; typically narrower treatment, biomarker, mechanistic, or single-comorbidity focus.</x:v>
      </x:c>
      <x:c r="J458" s="38" t="e">
        <x:f>HYPERLINK("https://pubmed.ncbi.nlm.nih.gov/"&amp;C458&amp;"/","Open PubMed")</x:f>
        <x:v>HYPERLINK is not implemented. linkLocation=https://pubmed.ncbi.nlm.nih.gov/20855396/, friendlyName=Open PubMed</x:v>
      </x:c>
    </x:row>
    <x:row r="459">
      <x:c r="A459" s="26" t="str">
        <x:v>PUBMED-20970695</x:v>
      </x:c>
      <x:c r="B459" s="26" t="n">
        <x:v>2010</x:v>
      </x:c>
      <x:c r="C459" s="26" t="str">
        <x:v>20970695</x:v>
      </x:c>
      <x:c r="D459" s="28" t="str">
        <x:v>In this issue/abstract thinking: the new normal.</x:v>
      </x:c>
      <x:c r="E459" s="28" t="str">
        <x:v>Primary/contextual journal article</x:v>
      </x:c>
      <x:c r="F459" s="28" t="str">
        <x:v>Development &amp; presentation; Recognition &amp; diagnosis; Social &amp; structural; Treatment &amp; support</x:v>
      </x:c>
      <x:c r="G459" s="28" t="str">
        <x:v>Childhood; Adolescence</x:v>
      </x:c>
      <x:c r="H459" s="28" t="str">
        <x:v>Exclude/incidental</x:v>
      </x:c>
      <x:c r="I459" s="28" t="str">
        <x:v>ADHD appears peripheral or insufficiently aligned with the requested corpus scope based on accessible metadata/abstract.</x:v>
      </x:c>
      <x:c r="J459" s="38" t="e">
        <x:f>HYPERLINK("https://pubmed.ncbi.nlm.nih.gov/"&amp;C459&amp;"/","Open PubMed")</x:f>
        <x:v>HYPERLINK is not implemented. linkLocation=https://pubmed.ncbi.nlm.nih.gov/20970695/, friendlyName=Open PubMed</x:v>
      </x:c>
    </x:row>
    <x:row r="460">
      <x:c r="A460" s="26" t="str">
        <x:v>PUBMED-21270505</x:v>
      </x:c>
      <x:c r="B460" s="26" t="n">
        <x:v>2010</x:v>
      </x:c>
      <x:c r="C460" s="26" t="str">
        <x:v>21270505</x:v>
      </x:c>
      <x:c r="D460" s="28" t="str">
        <x:v>Diagnosing ADHD in Israeli adults: the psychometric properties of the adult ADHD Self Report Scale (ASRS) in Hebrew.</x:v>
      </x:c>
      <x:c r="E460" s="28" t="str">
        <x:v>Primary/contextual journal article</x:v>
      </x:c>
      <x:c r="F460" s="28" t="str">
        <x:v>Development &amp; presentation; Recognition &amp; diagnosis; Social &amp; structural</x:v>
      </x:c>
      <x:c r="G460" s="28" t="str">
        <x:v>Adulthood</x:v>
      </x:c>
      <x:c r="H460" s="28" t="str">
        <x:v>Later specialized</x:v>
      </x:c>
      <x:c r="I460" s="28" t="str">
        <x:v>Direct or strongly ADHD-related record retained for later screening; typically narrower treatment, biomarker, mechanistic, or single-comorbidity focus.</x:v>
      </x:c>
      <x:c r="J460" s="38" t="e">
        <x:f>HYPERLINK("https://pubmed.ncbi.nlm.nih.gov/"&amp;C460&amp;"/","Open PubMed")</x:f>
        <x:v>HYPERLINK is not implemented. linkLocation=https://pubmed.ncbi.nlm.nih.gov/21270505/, friendlyName=Open PubMed</x:v>
      </x:c>
    </x:row>
    <x:row r="461">
      <x:c r="A461" s="26" t="str">
        <x:v>PUBMED-20837314</x:v>
      </x:c>
      <x:c r="B461" s="26" t="n">
        <x:v>2010</x:v>
      </x:c>
      <x:c r="C461" s="26" t="str">
        <x:v>20837314</x:v>
      </x:c>
      <x:c r="D461" s="28" t="str">
        <x:v>Paternal age in autism spectrum disorders and ADHD.</x:v>
      </x:c>
      <x:c r="E461" s="28" t="str">
        <x:v>Primary/contextual journal article</x:v>
      </x:c>
      <x:c r="F461" s="28" t="str">
        <x:v>Development &amp; presentation; Recognition &amp; diagnosis; Social &amp; structural; Environmental &amp; lifestyle</x:v>
      </x:c>
      <x:c r="G461" s="28" t="str">
        <x:v>Childhood</x:v>
      </x:c>
      <x:c r="H461" s="28" t="str">
        <x:v>Later specialized</x:v>
      </x:c>
      <x:c r="I461" s="28" t="str">
        <x:v>Direct or strongly ADHD-related record retained for later screening; typically narrower treatment, biomarker, mechanistic, or single-comorbidity focus.</x:v>
      </x:c>
      <x:c r="J461" s="38" t="e">
        <x:f>HYPERLINK("https://pubmed.ncbi.nlm.nih.gov/"&amp;C461&amp;"/","Open PubMed")</x:f>
        <x:v>HYPERLINK is not implemented. linkLocation=https://pubmed.ncbi.nlm.nih.gov/20837314/, friendlyName=Open PubMed</x:v>
      </x:c>
    </x:row>
    <x:row r="462">
      <x:c r="A462" s="26" t="str">
        <x:v>PUBMED-20937653</x:v>
      </x:c>
      <x:c r="B462" s="26" t="n">
        <x:v>2010</x:v>
      </x:c>
      <x:c r="C462" s="26" t="str">
        <x:v>20937653</x:v>
      </x:c>
      <x:c r="D462" s="28" t="str">
        <x:v>Clinical utility of the Vanderbilt ADHD Rating Scale for ruling out comorbid learning disorders.</x:v>
      </x:c>
      <x:c r="E462" s="28" t="str">
        <x:v>Primary/contextual journal article</x:v>
      </x:c>
      <x:c r="F462" s="28" t="str">
        <x:v>Development &amp; presentation; Recognition &amp; diagnosis; Family &amp; education; Social &amp; structural; Treatment &amp; support; Life outcomes &amp; lived experience</x:v>
      </x:c>
      <x:c r="G462" s="28" t="str">
        <x:v>Childhood</x:v>
      </x:c>
      <x:c r="H462" s="28" t="str">
        <x:v>Later specialized</x:v>
      </x:c>
      <x:c r="I462" s="28" t="str">
        <x:v>Direct or strongly ADHD-related record retained for later screening; typically narrower treatment, biomarker, mechanistic, or single-comorbidity focus.</x:v>
      </x:c>
      <x:c r="J462" s="38" t="e">
        <x:f>HYPERLINK("https://pubmed.ncbi.nlm.nih.gov/"&amp;C462&amp;"/","Open PubMed")</x:f>
        <x:v>HYPERLINK is not implemented. linkLocation=https://pubmed.ncbi.nlm.nih.gov/20937653/, friendlyName=Open PubMed</x:v>
      </x:c>
    </x:row>
    <x:row r="463">
      <x:c r="A463" s="26" t="str">
        <x:v>PUBMED-21432593</x:v>
      </x:c>
      <x:c r="B463" s="26" t="n">
        <x:v>2010</x:v>
      </x:c>
      <x:c r="C463" s="26" t="str">
        <x:v>21432593</x:v>
      </x:c>
      <x:c r="D463" s="28" t="str">
        <x:v>The mixed amphetamine salt extended release (Adderall XR, Max-XR) as an adjunctive to SSRIS or SNRIS in the treatment of adult ADHD patients with comorbid partially responsive generalized anxiety: an open-label study.</x:v>
      </x:c>
      <x:c r="E463" s="28" t="str">
        <x:v>Primary study - clinical trial</x:v>
      </x:c>
      <x:c r="F463" s="28" t="str">
        <x:v>Development &amp; presentation; Recognition &amp; diagnosis; Social &amp; structural; Treatment &amp; support</x:v>
      </x:c>
      <x:c r="G463" s="28" t="str">
        <x:v>Adulthood</x:v>
      </x:c>
      <x:c r="H463" s="28" t="str">
        <x:v>Later specialized</x:v>
      </x:c>
      <x:c r="I463" s="28" t="str">
        <x:v>Direct or strongly ADHD-related record retained for later screening; typically narrower treatment, biomarker, mechanistic, or single-comorbidity focus.</x:v>
      </x:c>
      <x:c r="J463" s="38" t="e">
        <x:f>HYPERLINK("https://pubmed.ncbi.nlm.nih.gov/"&amp;C463&amp;"/","Open PubMed")</x:f>
        <x:v>HYPERLINK is not implemented. linkLocation=https://pubmed.ncbi.nlm.nih.gov/21432593/, friendlyName=Open PubMed</x:v>
      </x:c>
    </x:row>
    <x:row r="464">
      <x:c r="A464" s="26" t="str">
        <x:v>PUBMED-21095943</x:v>
      </x:c>
      <x:c r="B464" s="26" t="n">
        <x:v>2010</x:v>
      </x:c>
      <x:c r="C464" s="26" t="str">
        <x:v>21095943</x:v>
      </x:c>
      <x:c r="D464" s="28" t="str">
        <x:v>Feasibility study of a smart pen for autonomous detection of concentration lapses during reading.</x:v>
      </x:c>
      <x:c r="E464" s="28" t="str">
        <x:v>Primary/contextual journal article</x:v>
      </x:c>
      <x:c r="F464" s="28" t="str">
        <x:v>Development &amp; presentation; Social &amp; structural; Environmental &amp; lifestyle; Treatment &amp; support</x:v>
      </x:c>
      <x:c r="G464" s="28" t="str">
        <x:v>Not specified</x:v>
      </x:c>
      <x:c r="H464" s="28" t="str">
        <x:v>Later specialized</x:v>
      </x:c>
      <x:c r="I464" s="28" t="str">
        <x:v>Direct or strongly ADHD-related record retained for later screening; typically narrower treatment, biomarker, mechanistic, or single-comorbidity focus.</x:v>
      </x:c>
      <x:c r="J464" s="38" t="e">
        <x:f>HYPERLINK("https://pubmed.ncbi.nlm.nih.gov/"&amp;C464&amp;"/","Open PubMed")</x:f>
        <x:v>HYPERLINK is not implemented. linkLocation=https://pubmed.ncbi.nlm.nih.gov/21095943/, friendlyName=Open PubMed</x:v>
      </x:c>
    </x:row>
    <x:row r="465">
      <x:c r="A465" s="26" t="str">
        <x:v>PUBMED-21239370</x:v>
      </x:c>
      <x:c r="B465" s="26" t="n">
        <x:v>2010</x:v>
      </x:c>
      <x:c r="C465" s="26" t="str">
        <x:v>21239370</x:v>
      </x:c>
      <x:c r="D465" s="28" t="str">
        <x:v>Attention deficits after incident stroke in the acute period: frequency across types of attention and relationships to patient characteristics and functional outcomes.</x:v>
      </x:c>
      <x:c r="E465" s="28" t="str">
        <x:v>Primary/contextual journal article</x:v>
      </x:c>
      <x:c r="F465" s="28" t="str">
        <x:v>Development &amp; presentation; Recognition &amp; diagnosis; Social &amp; structural; Life outcomes &amp; lived experience</x:v>
      </x:c>
      <x:c r="G465" s="28" t="str">
        <x:v>Adulthood</x:v>
      </x:c>
      <x:c r="H465" s="28" t="str">
        <x:v>Later specialized</x:v>
      </x:c>
      <x:c r="I465" s="28" t="str">
        <x:v>Direct or strongly ADHD-related record retained for later screening; typically narrower treatment, biomarker, mechanistic, or single-comorbidity focus.</x:v>
      </x:c>
      <x:c r="J465" s="38" t="e">
        <x:f>HYPERLINK("https://pubmed.ncbi.nlm.nih.gov/"&amp;C465&amp;"/","Open PubMed")</x:f>
        <x:v>HYPERLINK is not implemented. linkLocation=https://pubmed.ncbi.nlm.nih.gov/21239370/, friendlyName=Open PubMed</x:v>
      </x:c>
    </x:row>
    <x:row r="466">
      <x:c r="A466" s="26" t="str">
        <x:v>PUBMED-21183903</x:v>
      </x:c>
      <x:c r="B466" s="26" t="n">
        <x:v>2010</x:v>
      </x:c>
      <x:c r="C466" s="26" t="str">
        <x:v>21183903</x:v>
      </x:c>
      <x:c r="D466" s="28" t="str">
        <x:v>[New approaches to the treatment of chronic daily headache].</x:v>
      </x:c>
      <x:c r="E466" s="28" t="str">
        <x:v>Primary/contextual journal article</x:v>
      </x:c>
      <x:c r="F466" s="28" t="str">
        <x:v>Development &amp; presentation; Social &amp; structural; Treatment &amp; support; Life outcomes &amp; lived experience</x:v>
      </x:c>
      <x:c r="G466" s="28" t="str">
        <x:v>Adulthood</x:v>
      </x:c>
      <x:c r="H466" s="28" t="str">
        <x:v>Exclude/incidental</x:v>
      </x:c>
      <x:c r="I466" s="28" t="str">
        <x:v>ADHD appears peripheral or insufficiently aligned with the requested corpus scope based on accessible metadata/abstract.</x:v>
      </x:c>
      <x:c r="J466" s="38" t="e">
        <x:f>HYPERLINK("https://pubmed.ncbi.nlm.nih.gov/"&amp;C466&amp;"/","Open PubMed")</x:f>
        <x:v>HYPERLINK is not implemented. linkLocation=https://pubmed.ncbi.nlm.nih.gov/21183903/, friendlyName=Open PubMed</x:v>
      </x:c>
    </x:row>
    <x:row r="467">
      <x:c r="A467" s="26" t="str">
        <x:v>PUBMED-21063141</x:v>
      </x:c>
      <x:c r="B467" s="26" t="n">
        <x:v>2010</x:v>
      </x:c>
      <x:c r="C467" s="26" t="str">
        <x:v>21063141</x:v>
      </x:c>
      <x:c r="D467" s="28" t="str">
        <x:v>Score of inattention subscale of ADHD rating scale-IV is significantly higher for AD/HD than PDD.</x:v>
      </x:c>
      <x:c r="E467" s="28" t="str">
        <x:v>Primary/contextual journal article</x:v>
      </x:c>
      <x:c r="F467" s="28" t="str">
        <x:v>Development &amp; presentation; Recognition &amp; diagnosis; Social &amp; structural; Treatment &amp; support</x:v>
      </x:c>
      <x:c r="G467" s="28" t="str">
        <x:v>Childhood</x:v>
      </x:c>
      <x:c r="H467" s="28" t="str">
        <x:v>Later specialized</x:v>
      </x:c>
      <x:c r="I467" s="28" t="str">
        <x:v>Direct or strongly ADHD-related record retained for later screening; typically narrower treatment, biomarker, mechanistic, or single-comorbidity focus.</x:v>
      </x:c>
      <x:c r="J467" s="38" t="e">
        <x:f>HYPERLINK("https://pubmed.ncbi.nlm.nih.gov/"&amp;C467&amp;"/","Open PubMed")</x:f>
        <x:v>HYPERLINK is not implemented. linkLocation=https://pubmed.ncbi.nlm.nih.gov/21063141/, friendlyName=Open PubMed</x:v>
      </x:c>
    </x:row>
    <x:row r="468">
      <x:c r="A468" s="26" t="str">
        <x:v>PUBMED-20979327</x:v>
      </x:c>
      <x:c r="B468" s="26" t="n">
        <x:v>2010</x:v>
      </x:c>
      <x:c r="C468" s="26" t="str">
        <x:v>20979327</x:v>
      </x:c>
      <x:c r="D468" s="28" t="str">
        <x:v>Bad seeds, bad science, and fairly black cats?</x:v>
      </x:c>
      <x:c r="E468" s="28" t="str">
        <x:v>Other/unclear</x:v>
      </x:c>
      <x:c r="F468" s="28" t="str">
        <x:v>Development &amp; presentation</x:v>
      </x:c>
      <x:c r="G468" s="28" t="str">
        <x:v>Childhood</x:v>
      </x:c>
      <x:c r="H468" s="28" t="str">
        <x:v>Exclude/incidental</x:v>
      </x:c>
      <x:c r="I468" s="28" t="str">
        <x:v>ADHD appears peripheral or insufficiently aligned with the requested corpus scope based on accessible metadata/abstract.</x:v>
      </x:c>
      <x:c r="J468" s="38" t="e">
        <x:f>HYPERLINK("https://pubmed.ncbi.nlm.nih.gov/"&amp;C468&amp;"/","Open PubMed")</x:f>
        <x:v>HYPERLINK is not implemented. linkLocation=https://pubmed.ncbi.nlm.nih.gov/20979327/, friendlyName=Open PubMed</x:v>
      </x:c>
    </x:row>
    <x:row r="469">
      <x:c r="A469" s="26" t="str">
        <x:v>PUBMED-20851299</x:v>
      </x:c>
      <x:c r="B469" s="26" t="n">
        <x:v>2010</x:v>
      </x:c>
      <x:c r="C469" s="26" t="str">
        <x:v>20851299</x:v>
      </x:c>
      <x:c r="D469" s="28" t="str">
        <x:v>G6PD Deficiency as a predisposing factor for attention deficit/hyperactivity disorder: a hypothesis.</x:v>
      </x:c>
      <x:c r="E469" s="28" t="str">
        <x:v>Primary/contextual journal article</x:v>
      </x:c>
      <x:c r="F469" s="28" t="str">
        <x:v>Development &amp; presentation; Environmental &amp; lifestyle</x:v>
      </x:c>
      <x:c r="G469" s="28" t="str">
        <x:v>Not specified</x:v>
      </x:c>
      <x:c r="H469" s="28" t="str">
        <x:v>Later specialized</x:v>
      </x:c>
      <x:c r="I469" s="28" t="str">
        <x:v>Direct or strongly ADHD-related record retained for later screening; typically narrower treatment, biomarker, mechanistic, or single-comorbidity focus.</x:v>
      </x:c>
      <x:c r="J469" s="38" t="e">
        <x:f>HYPERLINK("https://pubmed.ncbi.nlm.nih.gov/"&amp;C469&amp;"/","Open PubMed")</x:f>
        <x:v>HYPERLINK is not implemented. linkLocation=https://pubmed.ncbi.nlm.nih.gov/20851299/, friendlyName=Open PubMed</x:v>
      </x:c>
    </x:row>
    <x:row r="470">
      <x:c r="A470" s="26" t="str">
        <x:v>PUBMED-21432589</x:v>
      </x:c>
      <x:c r="B470" s="26" t="n">
        <x:v>2010</x:v>
      </x:c>
      <x:c r="C470" s="26" t="str">
        <x:v>21432589</x:v>
      </x:c>
      <x:c r="D470" s="28" t="str">
        <x:v>The quick delay questionnaire: a measure of delay aversion and discounting in adults.</x:v>
      </x:c>
      <x:c r="E470" s="28" t="str">
        <x:v>Primary/contextual journal article</x:v>
      </x:c>
      <x:c r="F470" s="28" t="str">
        <x:v>Development &amp; presentation; Recognition &amp; diagnosis; Social &amp; structural</x:v>
      </x:c>
      <x:c r="G470" s="28" t="str">
        <x:v>Childhood; Adolescence; Adulthood</x:v>
      </x:c>
      <x:c r="H470" s="28" t="str">
        <x:v>Later specialized</x:v>
      </x:c>
      <x:c r="I470" s="28" t="str">
        <x:v>Direct or strongly ADHD-related record retained for later screening; typically narrower treatment, biomarker, mechanistic, or single-comorbidity focus.</x:v>
      </x:c>
      <x:c r="J470" s="38" t="e">
        <x:f>HYPERLINK("https://pubmed.ncbi.nlm.nih.gov/"&amp;C470&amp;"/","Open PubMed")</x:f>
        <x:v>HYPERLINK is not implemented. linkLocation=https://pubmed.ncbi.nlm.nih.gov/21432589/, friendlyName=Open PubMed</x:v>
      </x:c>
    </x:row>
    <x:row r="471">
      <x:c r="A471" s="26" t="str">
        <x:v>PUBMED-20814340</x:v>
      </x:c>
      <x:c r="B471" s="26" t="n">
        <x:v>2010</x:v>
      </x:c>
      <x:c r="C471" s="26" t="str">
        <x:v>20814340</x:v>
      </x:c>
      <x:c r="D471" s="28" t="str">
        <x:v>Associations between sleep and inattentive/hyperactive problem behavior among foster and community children.</x:v>
      </x:c>
      <x:c r="E471" s="28" t="str">
        <x:v>Primary study - case-control</x:v>
      </x:c>
      <x:c r="F471" s="28" t="str">
        <x:v>Development &amp; presentation; Recognition &amp; diagnosis; Family &amp; education; Social &amp; structural; Environmental &amp; lifestyle; Treatment &amp; support; Life outcomes &amp; lived experience</x:v>
      </x:c>
      <x:c r="G471" s="28" t="str">
        <x:v>Childhood</x:v>
      </x:c>
      <x:c r="H471" s="28" t="str">
        <x:v>Batch 1 core</x:v>
      </x:c>
      <x:c r="I471" s="28" t="str">
        <x:v>Direct ADHD primary study on diagnosis, family/education, structural conditions, lived experience/outcomes, or environment/lifestyle.</x:v>
      </x:c>
      <x:c r="J471" s="38" t="e">
        <x:f>HYPERLINK("https://pubmed.ncbi.nlm.nih.gov/"&amp;C471&amp;"/","Open PubMed")</x:f>
        <x:v>HYPERLINK is not implemented. linkLocation=https://pubmed.ncbi.nlm.nih.gov/20814340/, friendlyName=Open PubMed</x:v>
      </x:c>
    </x:row>
    <x:row r="472">
      <x:c r="A472" s="26" t="str">
        <x:v>PUBMED-21133546</x:v>
      </x:c>
      <x:c r="B472" s="26" t="n">
        <x:v>2010</x:v>
      </x:c>
      <x:c r="C472" s="26" t="str">
        <x:v>21133546</x:v>
      </x:c>
      <x:c r="D472" s="28" t="str">
        <x:v>The structure of childhood disruptive behaviors.</x:v>
      </x:c>
      <x:c r="E472" s="28" t="str">
        <x:v>Primary/contextual journal article</x:v>
      </x:c>
      <x:c r="F472" s="28" t="str">
        <x:v>Development &amp; presentation; Recognition &amp; diagnosis; Family &amp; education; Social &amp; structural; Environmental &amp; lifestyle; Life outcomes &amp; lived experience</x:v>
      </x:c>
      <x:c r="G472" s="28" t="str">
        <x:v>Childhood; Adolescence</x:v>
      </x:c>
      <x:c r="H472" s="28" t="str">
        <x:v>Later specialized</x:v>
      </x:c>
      <x:c r="I472" s="28" t="str">
        <x:v>Direct or strongly ADHD-related record retained for later screening; typically narrower treatment, biomarker, mechanistic, or single-comorbidity focus.</x:v>
      </x:c>
      <x:c r="J472" s="38" t="e">
        <x:f>HYPERLINK("https://pubmed.ncbi.nlm.nih.gov/"&amp;C472&amp;"/","Open PubMed")</x:f>
        <x:v>HYPERLINK is not implemented. linkLocation=https://pubmed.ncbi.nlm.nih.gov/21133546/, friendlyName=Open PubMed</x:v>
      </x:c>
    </x:row>
    <x:row r="473">
      <x:c r="A473" s="26" t="str">
        <x:v>PUBMED-21254501</x:v>
      </x:c>
      <x:c r="B473" s="26" t="n">
        <x:v>2010</x:v>
      </x:c>
      <x:c r="C473" s="26" t="str">
        <x:v>21254501</x:v>
      </x:c>
      <x:c r="D473" s="28" t="str">
        <x:v>Attention deficit hyperactivity disorder and sleep. Insomnia and other sleep problems may worsen symptoms of ADHD; treatment options exist.</x:v>
      </x:c>
      <x:c r="E473" s="28" t="str">
        <x:v>Primary/contextual journal article</x:v>
      </x:c>
      <x:c r="F473" s="28" t="str">
        <x:v>Development &amp; presentation; Social &amp; structural; Environmental &amp; lifestyle; Treatment &amp; support</x:v>
      </x:c>
      <x:c r="G473" s="28" t="str">
        <x:v>Childhood; Adolescence</x:v>
      </x:c>
      <x:c r="H473" s="28" t="str">
        <x:v>Later specialized</x:v>
      </x:c>
      <x:c r="I473" s="28" t="str">
        <x:v>Direct or strongly ADHD-related record retained for later screening; typically narrower treatment, biomarker, mechanistic, or single-comorbidity focus.</x:v>
      </x:c>
      <x:c r="J473" s="38" t="e">
        <x:f>HYPERLINK("https://pubmed.ncbi.nlm.nih.gov/"&amp;C473&amp;"/","Open PubMed")</x:f>
        <x:v>HYPERLINK is not implemented. linkLocation=https://pubmed.ncbi.nlm.nih.gov/21254501/, friendlyName=Open PubMed</x:v>
      </x:c>
    </x:row>
    <x:row r="474">
      <x:c r="A474" s="26" t="str">
        <x:v>PUBMED-20802444</x:v>
      </x:c>
      <x:c r="B474" s="26" t="n">
        <x:v>2010</x:v>
      </x:c>
      <x:c r="C474" s="26" t="str">
        <x:v>20802444</x:v>
      </x:c>
      <x:c r="D474" s="28" t="str">
        <x:v>Potential pathomechanisms of ADHD based on neurometabolite changes.</x:v>
      </x:c>
      <x:c r="E474" s="28" t="str">
        <x:v>Evidence synthesis - review</x:v>
      </x:c>
      <x:c r="F474" s="28" t="str">
        <x:v>Development &amp; presentation; Social &amp; structural</x:v>
      </x:c>
      <x:c r="G474" s="28" t="str">
        <x:v>Childhood</x:v>
      </x:c>
      <x:c r="H474" s="28" t="str">
        <x:v>Later specialized</x:v>
      </x:c>
      <x:c r="I474" s="28" t="str">
        <x:v>Direct or strongly ADHD-related record retained for later screening; typically narrower treatment, biomarker, mechanistic, or single-comorbidity focus.</x:v>
      </x:c>
      <x:c r="J474" s="38" t="e">
        <x:f>HYPERLINK("https://pubmed.ncbi.nlm.nih.gov/"&amp;C474&amp;"/","Open PubMed")</x:f>
        <x:v>HYPERLINK is not implemented. linkLocation=https://pubmed.ncbi.nlm.nih.gov/20802444/, friendlyName=Open PubMed</x:v>
      </x:c>
    </x:row>
    <x:row r="475">
      <x:c r="A475" s="26" t="str">
        <x:v>PUBMED-20925933</x:v>
      </x:c>
      <x:c r="B475" s="26" t="n">
        <x:v>2010</x:v>
      </x:c>
      <x:c r="C475" s="26" t="str">
        <x:v>20925933</x:v>
      </x:c>
      <x:c r="D475" s="28" t="str">
        <x:v>Intraindividual variability (IIV) in an animal model of ADHD - the Spontaneously Hypertensive Rat.</x:v>
      </x:c>
      <x:c r="E475" s="28" t="str">
        <x:v>Primary/contextual journal article</x:v>
      </x:c>
      <x:c r="F475" s="28" t="str">
        <x:v>Development &amp; presentation; Social &amp; structural; Treatment &amp; support</x:v>
      </x:c>
      <x:c r="G475" s="28" t="str">
        <x:v>Not specified</x:v>
      </x:c>
      <x:c r="H475" s="28" t="str">
        <x:v>Exclude/incidental</x:v>
      </x:c>
      <x:c r="I475" s="28" t="str">
        <x:v>Animal-only record; retained outside the human-focused core corpus.</x:v>
      </x:c>
      <x:c r="J475" s="38" t="e">
        <x:f>HYPERLINK("https://pubmed.ncbi.nlm.nih.gov/"&amp;C475&amp;"/","Open PubMed")</x:f>
        <x:v>HYPERLINK is not implemented. linkLocation=https://pubmed.ncbi.nlm.nih.gov/20925933/, friendlyName=Open PubMed</x:v>
      </x:c>
    </x:row>
    <x:row r="476">
      <x:c r="A476" s="26" t="str">
        <x:v>PUBMED-20736471</x:v>
      </x:c>
      <x:c r="B476" s="26" t="n">
        <x:v>2010</x:v>
      </x:c>
      <x:c r="C476" s="26" t="str">
        <x:v>20736471</x:v>
      </x:c>
      <x:c r="D476" s="28" t="str">
        <x:v>Cognitive behavioral therapy vs relaxation with educational support for medication-treated adults with ADHD and persistent symptoms: a randomized controlled trial.</x:v>
      </x:c>
      <x:c r="E476" s="28" t="str">
        <x:v>Primary study - randomized controlled trial</x:v>
      </x:c>
      <x:c r="F476" s="28" t="str">
        <x:v>Development &amp; presentation; Recognition &amp; diagnosis; Family &amp; education; Social &amp; structural; Environmental &amp; lifestyle; Treatment &amp; support; Life outcomes &amp; lived experience</x:v>
      </x:c>
      <x:c r="G476" s="28" t="str">
        <x:v>Adulthood</x:v>
      </x:c>
      <x:c r="H476" s="28" t="str">
        <x:v>Later specialized</x:v>
      </x:c>
      <x:c r="I476" s="28" t="str">
        <x:v>Direct or strongly ADHD-related record retained for later screening; typically narrower treatment, biomarker, mechanistic, or single-comorbidity focus.</x:v>
      </x:c>
      <x:c r="J476" s="38" t="e">
        <x:f>HYPERLINK("https://pubmed.ncbi.nlm.nih.gov/"&amp;C476&amp;"/","Open PubMed")</x:f>
        <x:v>HYPERLINK is not implemented. linkLocation=https://pubmed.ncbi.nlm.nih.gov/20736471/, friendlyName=Open PubMed</x:v>
      </x:c>
    </x:row>
    <x:row r="477">
      <x:c r="A477" s="26" t="str">
        <x:v>PUBMED-20839170</x:v>
      </x:c>
      <x:c r="B477" s="26" t="n">
        <x:v>2010</x:v>
      </x:c>
      <x:c r="C477" s="26" t="str">
        <x:v>20839170</x:v>
      </x:c>
      <x:c r="D477" s="28" t="str">
        <x:v>[Attention deficit hyperactivity disorder in teenagers: appraisal of the EDAH (a) scale].</x:v>
      </x:c>
      <x:c r="E477" s="28" t="str">
        <x:v>Primary/contextual journal article</x:v>
      </x:c>
      <x:c r="F477" s="28" t="str">
        <x:v>Development &amp; presentation; Recognition &amp; diagnosis; Social &amp; structural</x:v>
      </x:c>
      <x:c r="G477" s="28" t="str">
        <x:v>Childhood; Adolescence</x:v>
      </x:c>
      <x:c r="H477" s="28" t="str">
        <x:v>Later specialized</x:v>
      </x:c>
      <x:c r="I477" s="28" t="str">
        <x:v>Direct or strongly ADHD-related record retained for later screening; typically narrower treatment, biomarker, mechanistic, or single-comorbidity focus.</x:v>
      </x:c>
      <x:c r="J477" s="38" t="e">
        <x:f>HYPERLINK("https://pubmed.ncbi.nlm.nih.gov/"&amp;C477&amp;"/","Open PubMed")</x:f>
        <x:v>HYPERLINK is not implemented. linkLocation=https://pubmed.ncbi.nlm.nih.gov/20839170/, friendlyName=Open PubMed</x:v>
      </x:c>
    </x:row>
    <x:row r="478">
      <x:c r="A478" s="26" t="str">
        <x:v>PUBMED-21154036</x:v>
      </x:c>
      <x:c r="B478" s="26" t="n">
        <x:v>2010</x:v>
      </x:c>
      <x:c r="C478" s="26" t="str">
        <x:v>21154036</x:v>
      </x:c>
      <x:c r="D478" s="28" t="str">
        <x:v>Reliable change indices for the ruff 2 and 7 selective attention test in older adults.</x:v>
      </x:c>
      <x:c r="E478" s="28" t="str">
        <x:v>Primary study - randomized controlled trial</x:v>
      </x:c>
      <x:c r="F478" s="28" t="str">
        <x:v>Development &amp; presentation; Recognition &amp; diagnosis; Social &amp; structural; Environmental &amp; lifestyle; Treatment &amp; support; Life outcomes &amp; lived experience</x:v>
      </x:c>
      <x:c r="G478" s="28" t="str">
        <x:v>Adulthood</x:v>
      </x:c>
      <x:c r="H478" s="28" t="str">
        <x:v>Later specialized</x:v>
      </x:c>
      <x:c r="I478" s="28" t="str">
        <x:v>Direct or strongly ADHD-related record retained for later screening; typically narrower treatment, biomarker, mechanistic, or single-comorbidity focus.</x:v>
      </x:c>
      <x:c r="J478" s="38" t="e">
        <x:f>HYPERLINK("https://pubmed.ncbi.nlm.nih.gov/"&amp;C478&amp;"/","Open PubMed")</x:f>
        <x:v>HYPERLINK is not implemented. linkLocation=https://pubmed.ncbi.nlm.nih.gov/21154036/, friendlyName=Open PubMed</x:v>
      </x:c>
    </x:row>
    <x:row r="479">
      <x:c r="A479" s="26" t="str">
        <x:v>PUBMED-21035628</x:v>
      </x:c>
      <x:c r="B479" s="26" t="n">
        <x:v>2010</x:v>
      </x:c>
      <x:c r="C479" s="26" t="str">
        <x:v>21035628</x:v>
      </x:c>
      <x:c r="D479" s="28" t="str">
        <x:v>[Psychometric properties of the French version of the Wender Utah Rating Scale and Brown's Attention Deficit Disorders Scale for adults].</x:v>
      </x:c>
      <x:c r="E479" s="28" t="str">
        <x:v>Primary/contextual journal article</x:v>
      </x:c>
      <x:c r="F479" s="28" t="str">
        <x:v>Development &amp; presentation; Recognition &amp; diagnosis; Social &amp; structural; Environmental &amp; lifestyle</x:v>
      </x:c>
      <x:c r="G479" s="28" t="str">
        <x:v>Childhood; Adulthood</x:v>
      </x:c>
      <x:c r="H479" s="28" t="str">
        <x:v>Later specialized</x:v>
      </x:c>
      <x:c r="I479" s="28" t="str">
        <x:v>Direct or strongly ADHD-related record retained for later screening; typically narrower treatment, biomarker, mechanistic, or single-comorbidity focus.</x:v>
      </x:c>
      <x:c r="J479" s="38" t="e">
        <x:f>HYPERLINK("https://pubmed.ncbi.nlm.nih.gov/"&amp;C479&amp;"/","Open PubMed")</x:f>
        <x:v>HYPERLINK is not implemented. linkLocation=https://pubmed.ncbi.nlm.nih.gov/21035628/, friendlyName=Open PubMed</x:v>
      </x:c>
    </x:row>
    <x:row r="480">
      <x:c r="A480" s="26" t="str">
        <x:v>PUBMED-20926354</x:v>
      </x:c>
      <x:c r="B480" s="26" t="n">
        <x:v>2010</x:v>
      </x:c>
      <x:c r="C480" s="26" t="str">
        <x:v>20926354</x:v>
      </x:c>
      <x:c r="D480" s="28" t="str">
        <x:v>Parents report more ADHD symptoms than do teachers in children with epilepsy.</x:v>
      </x:c>
      <x:c r="E480" s="28" t="str">
        <x:v>Primary/contextual journal article</x:v>
      </x:c>
      <x:c r="F480" s="28" t="str">
        <x:v>Development &amp; presentation; Recognition &amp; diagnosis; Family &amp; education; Social &amp; structural; Life outcomes &amp; lived experience</x:v>
      </x:c>
      <x:c r="G480" s="28" t="str">
        <x:v>Childhood; Adolescence; Adulthood</x:v>
      </x:c>
      <x:c r="H480" s="28" t="str">
        <x:v>Later specialized</x:v>
      </x:c>
      <x:c r="I480" s="28" t="str">
        <x:v>Direct or strongly ADHD-related record retained for later screening; typically narrower treatment, biomarker, mechanistic, or single-comorbidity focus.</x:v>
      </x:c>
      <x:c r="J480" s="38" t="e">
        <x:f>HYPERLINK("https://pubmed.ncbi.nlm.nih.gov/"&amp;C480&amp;"/","Open PubMed")</x:f>
        <x:v>HYPERLINK is not implemented. linkLocation=https://pubmed.ncbi.nlm.nih.gov/20926354/, friendlyName=Open PubMed</x:v>
      </x:c>
    </x:row>
    <x:row r="481">
      <x:c r="A481" s="26" t="str">
        <x:v>PUBMED-20977471</x:v>
      </x:c>
      <x:c r="B481" s="26" t="n">
        <x:v>2010</x:v>
      </x:c>
      <x:c r="C481" s="26" t="str">
        <x:v>20977471</x:v>
      </x:c>
      <x:c r="D481" s="28" t="str">
        <x:v>Prevalence of epileptiform discharges in healthy children.</x:v>
      </x:c>
      <x:c r="E481" s="28" t="str">
        <x:v>Primary study - cross-sectional</x:v>
      </x:c>
      <x:c r="F481" s="28" t="str">
        <x:v>Development &amp; presentation; Recognition &amp; diagnosis; Family &amp; education</x:v>
      </x:c>
      <x:c r="G481" s="28" t="str">
        <x:v>Childhood; Adolescence</x:v>
      </x:c>
      <x:c r="H481" s="28" t="str">
        <x:v>Exclude/incidental</x:v>
      </x:c>
      <x:c r="I481" s="28" t="str">
        <x:v>ADHD appears peripheral or insufficiently aligned with the requested corpus scope based on accessible metadata/abstract.</x:v>
      </x:c>
      <x:c r="J481" s="38" t="e">
        <x:f>HYPERLINK("https://pubmed.ncbi.nlm.nih.gov/"&amp;C481&amp;"/","Open PubMed")</x:f>
        <x:v>HYPERLINK is not implemented. linkLocation=https://pubmed.ncbi.nlm.nih.gov/20977471/, friendlyName=Open PubMed</x:v>
      </x:c>
    </x:row>
    <x:row r="482">
      <x:c r="A482" s="26" t="str">
        <x:v>PUBMED-21249142</x:v>
      </x:c>
      <x:c r="B482" s="26" t="n">
        <x:v>2010</x:v>
      </x:c>
      <x:c r="C482" s="26" t="str">
        <x:v>21249142</x:v>
      </x:c>
      <x:c r="D482" s="28" t="str">
        <x:v>Correspondence (letter to the editor): Uncritical prescription.</x:v>
      </x:c>
      <x:c r="E482" s="28" t="str">
        <x:v>Contextual - editorial/comment</x:v>
      </x:c>
      <x:c r="F482" s="28" t="str">
        <x:v>Development &amp; presentation; Family &amp; education; Treatment &amp; support; Life outcomes &amp; lived experience</x:v>
      </x:c>
      <x:c r="G482" s="28" t="str">
        <x:v>Childhood; Adolescence</x:v>
      </x:c>
      <x:c r="H482" s="28" t="str">
        <x:v>Exclude/incidental</x:v>
      </x:c>
      <x:c r="I482" s="28" t="str">
        <x:v>ADHD appears peripheral or insufficiently aligned with the requested corpus scope based on accessible metadata/abstract.</x:v>
      </x:c>
      <x:c r="J482" s="38" t="e">
        <x:f>HYPERLINK("https://pubmed.ncbi.nlm.nih.gov/"&amp;C482&amp;"/","Open PubMed")</x:f>
        <x:v>HYPERLINK is not implemented. linkLocation=https://pubmed.ncbi.nlm.nih.gov/21249142/, friendlyName=Open PubMed</x:v>
      </x:c>
    </x:row>
    <x:row r="483">
      <x:c r="A483" s="26" t="str">
        <x:v>PUBMED-20738447</x:v>
      </x:c>
      <x:c r="B483" s="26" t="n">
        <x:v>2010</x:v>
      </x:c>
      <x:c r="C483" s="26" t="str">
        <x:v>20738447</x:v>
      </x:c>
      <x:c r="D483" s="28" t="str">
        <x:v>Co-occurring problems of early onset persistent, childhood limited, and adolescent onset conduct problem youth.</x:v>
      </x:c>
      <x:c r="E483" s="28" t="str">
        <x:v>Primary study - cohort</x:v>
      </x:c>
      <x:c r="F483" s="28" t="str">
        <x:v>Development &amp; presentation; Recognition &amp; diagnosis; Family &amp; education; Social &amp; structural</x:v>
      </x:c>
      <x:c r="G483" s="28" t="str">
        <x:v>Childhood; Adolescence; Adulthood</x:v>
      </x:c>
      <x:c r="H483" s="28" t="str">
        <x:v>Later specialized</x:v>
      </x:c>
      <x:c r="I483" s="28" t="str">
        <x:v>Direct or strongly ADHD-related record retained for later screening; typically narrower treatment, biomarker, mechanistic, or single-comorbidity focus.</x:v>
      </x:c>
      <x:c r="J483" s="38" t="e">
        <x:f>HYPERLINK("https://pubmed.ncbi.nlm.nih.gov/"&amp;C483&amp;"/","Open PubMed")</x:f>
        <x:v>HYPERLINK is not implemented. linkLocation=https://pubmed.ncbi.nlm.nih.gov/20738447/, friendlyName=Open PubMed</x:v>
      </x:c>
    </x:row>
    <x:row r="484">
      <x:c r="A484" s="26" t="str">
        <x:v>PUBMED-20881428</x:v>
      </x:c>
      <x:c r="B484" s="26" t="n">
        <x:v>2010</x:v>
      </x:c>
      <x:c r="C484" s="26" t="str">
        <x:v>20881428</x:v>
      </x:c>
      <x:c r="D484" s="28" t="str">
        <x:v>Natural history of attention deficits and their influence on functional recovery from acute stages to 6 months after stroke.</x:v>
      </x:c>
      <x:c r="E484" s="28" t="str">
        <x:v>Primary/contextual journal article</x:v>
      </x:c>
      <x:c r="F484" s="28" t="str">
        <x:v>Development &amp; presentation; Recognition &amp; diagnosis; Social &amp; structural; Life outcomes &amp; lived experience; Historical &amp; contemporary context</x:v>
      </x:c>
      <x:c r="G484" s="28" t="str">
        <x:v>Adulthood</x:v>
      </x:c>
      <x:c r="H484" s="28" t="str">
        <x:v>Later specialized</x:v>
      </x:c>
      <x:c r="I484" s="28" t="str">
        <x:v>Direct or strongly ADHD-related record retained for later screening; typically narrower treatment, biomarker, mechanistic, or single-comorbidity focus.</x:v>
      </x:c>
      <x:c r="J484" s="38" t="e">
        <x:f>HYPERLINK("https://pubmed.ncbi.nlm.nih.gov/"&amp;C484&amp;"/","Open PubMed")</x:f>
        <x:v>HYPERLINK is not implemented. linkLocation=https://pubmed.ncbi.nlm.nih.gov/20881428/, friendlyName=Open PubMed</x:v>
      </x:c>
    </x:row>
    <x:row r="485">
      <x:c r="A485" s="26" t="str">
        <x:v>PUBMED-20809977</x:v>
      </x:c>
      <x:c r="B485" s="26" t="n">
        <x:v>2010</x:v>
      </x:c>
      <x:c r="C485" s="26" t="str">
        <x:v>20809977</x:v>
      </x:c>
      <x:c r="D485" s="28" t="str">
        <x:v>Deficits in fine motor skills in a genetic animal model of ADHD.</x:v>
      </x:c>
      <x:c r="E485" s="28" t="str">
        <x:v>Primary/contextual journal article</x:v>
      </x:c>
      <x:c r="F485" s="28" t="str">
        <x:v>Development &amp; presentation; Social &amp; structural; Environmental &amp; lifestyle; Treatment &amp; support</x:v>
      </x:c>
      <x:c r="G485" s="28" t="str">
        <x:v>Childhood; Adolescence</x:v>
      </x:c>
      <x:c r="H485" s="28" t="str">
        <x:v>Later specialized</x:v>
      </x:c>
      <x:c r="I485" s="28" t="str">
        <x:v>Direct or strongly ADHD-related record retained for later screening; typically narrower treatment, biomarker, mechanistic, or single-comorbidity focus.</x:v>
      </x:c>
      <x:c r="J485" s="38" t="e">
        <x:f>HYPERLINK("https://pubmed.ncbi.nlm.nih.gov/"&amp;C485&amp;"/","Open PubMed")</x:f>
        <x:v>HYPERLINK is not implemented. linkLocation=https://pubmed.ncbi.nlm.nih.gov/20809977/, friendlyName=Open PubMed</x:v>
      </x:c>
    </x:row>
    <x:row r="486">
      <x:c r="A486" s="26" t="str">
        <x:v>PUBMED-21355881</x:v>
      </x:c>
      <x:c r="B486" s="26" t="n">
        <x:v>2010</x:v>
      </x:c>
      <x:c r="C486" s="26" t="str">
        <x:v>21355881</x:v>
      </x:c>
      <x:c r="D486" s="28" t="str">
        <x:v>ADHD and epilepsy in children with Tourette syndrome: a triple comorbidity?</x:v>
      </x:c>
      <x:c r="E486" s="28" t="str">
        <x:v>Primary/contextual journal article</x:v>
      </x:c>
      <x:c r="F486" s="28" t="str">
        <x:v>Development &amp; presentation; Recognition &amp; diagnosis</x:v>
      </x:c>
      <x:c r="G486" s="28" t="str">
        <x:v>Childhood; Adolescence</x:v>
      </x:c>
      <x:c r="H486" s="28" t="str">
        <x:v>Later specialized</x:v>
      </x:c>
      <x:c r="I486" s="28" t="str">
        <x:v>Direct or strongly ADHD-related record retained for later screening; typically narrower treatment, biomarker, mechanistic, or single-comorbidity focus.</x:v>
      </x:c>
      <x:c r="J486" s="38" t="e">
        <x:f>HYPERLINK("https://pubmed.ncbi.nlm.nih.gov/"&amp;C486&amp;"/","Open PubMed")</x:f>
        <x:v>HYPERLINK is not implemented. linkLocation=https://pubmed.ncbi.nlm.nih.gov/21355881/, friendlyName=Open PubMed</x:v>
      </x:c>
    </x:row>
    <x:row r="487">
      <x:c r="A487" s="26" t="str">
        <x:v>PUBMED-20873932</x:v>
      </x:c>
      <x:c r="B487" s="26" t="n">
        <x:v>2010</x:v>
      </x:c>
      <x:c r="C487" s="26" t="str">
        <x:v>20873932</x:v>
      </x:c>
      <x:c r="D487" s="28" t="str">
        <x:v>Attention to gaze and emotion in schizophrenia.</x:v>
      </x:c>
      <x:c r="E487" s="28" t="str">
        <x:v>Primary/contextual journal article</x:v>
      </x:c>
      <x:c r="F487" s="28" t="str">
        <x:v>Development &amp; presentation; Recognition &amp; diagnosis</x:v>
      </x:c>
      <x:c r="G487" s="28" t="str">
        <x:v>Adulthood</x:v>
      </x:c>
      <x:c r="H487" s="28" t="str">
        <x:v>Later specialized</x:v>
      </x:c>
      <x:c r="I487" s="28" t="str">
        <x:v>Direct or strongly ADHD-related record retained for later screening; typically narrower treatment, biomarker, mechanistic, or single-comorbidity focus.</x:v>
      </x:c>
      <x:c r="J487" s="38" t="e">
        <x:f>HYPERLINK("https://pubmed.ncbi.nlm.nih.gov/"&amp;C487&amp;"/","Open PubMed")</x:f>
        <x:v>HYPERLINK is not implemented. linkLocation=https://pubmed.ncbi.nlm.nih.gov/20873932/, friendlyName=Open PubMed</x:v>
      </x:c>
    </x:row>
    <x:row r="488">
      <x:c r="A488" s="26" t="str">
        <x:v>PUBMED-21038161</x:v>
      </x:c>
      <x:c r="B488" s="26" t="n">
        <x:v>2010</x:v>
      </x:c>
      <x:c r="C488" s="26" t="str">
        <x:v>21038161</x:v>
      </x:c>
      <x:c r="D488" s="28" t="str">
        <x:v>Prevalence of neurological soft signs and their neuropsychological correlates in typically developing Chinese children and Chinese children with ADHD.</x:v>
      </x:c>
      <x:c r="E488" s="28" t="str">
        <x:v>Primary study - case-control</x:v>
      </x:c>
      <x:c r="F488" s="28" t="str">
        <x:v>Development &amp; presentation; Recognition &amp; diagnosis; Family &amp; education; Social &amp; structural</x:v>
      </x:c>
      <x:c r="G488" s="28" t="str">
        <x:v>Childhood; Adolescence</x:v>
      </x:c>
      <x:c r="H488" s="28" t="str">
        <x:v>Later specialized</x:v>
      </x:c>
      <x:c r="I488" s="28" t="str">
        <x:v>Direct or strongly ADHD-related record retained for later screening; typically narrower treatment, biomarker, mechanistic, or single-comorbidity focus.</x:v>
      </x:c>
      <x:c r="J488" s="38" t="e">
        <x:f>HYPERLINK("https://pubmed.ncbi.nlm.nih.gov/"&amp;C488&amp;"/","Open PubMed")</x:f>
        <x:v>HYPERLINK is not implemented. linkLocation=https://pubmed.ncbi.nlm.nih.gov/21038161/, friendlyName=Open PubMed</x:v>
      </x:c>
    </x:row>
    <x:row r="489">
      <x:c r="A489" s="26" t="str">
        <x:v>PUBMED-21034685</x:v>
      </x:c>
      <x:c r="B489" s="26" t="n">
        <x:v>2010</x:v>
      </x:c>
      <x:c r="C489" s="26" t="str">
        <x:v>21034685</x:v>
      </x:c>
      <x:c r="D489" s="28" t="str">
        <x:v>Characteristics of children with elevated symptoms of mania: the Longitudinal Assessment of Manic Symptoms (LAMS) study.</x:v>
      </x:c>
      <x:c r="E489" s="28" t="str">
        <x:v>Primary study - cohort</x:v>
      </x:c>
      <x:c r="F489" s="28" t="str">
        <x:v>Development &amp; presentation; Recognition &amp; diagnosis; Family &amp; education; Social &amp; structural; Environmental &amp; lifestyle; Treatment &amp; support; Life outcomes &amp; lived experience; Historical &amp; contemporary context</x:v>
      </x:c>
      <x:c r="G489" s="28" t="str">
        <x:v>Childhood</x:v>
      </x:c>
      <x:c r="H489" s="28" t="str">
        <x:v>Exclude/incidental</x:v>
      </x:c>
      <x:c r="I489" s="28" t="str">
        <x:v>ADHD appears peripheral or insufficiently aligned with the requested corpus scope based on accessible metadata/abstract.</x:v>
      </x:c>
      <x:c r="J489" s="38" t="e">
        <x:f>HYPERLINK("https://pubmed.ncbi.nlm.nih.gov/"&amp;C489&amp;"/","Open PubMed")</x:f>
        <x:v>HYPERLINK is not implemented. linkLocation=https://pubmed.ncbi.nlm.nih.gov/21034685/, friendlyName=Open PubMed</x:v>
      </x:c>
    </x:row>
    <x:row r="490">
      <x:c r="A490" s="26" t="str">
        <x:v>PUBMED-21137538</x:v>
      </x:c>
      <x:c r="B490" s="26" t="n">
        <x:v>2010</x:v>
      </x:c>
      <x:c r="C490" s="26" t="str">
        <x:v>21137538</x:v>
      </x:c>
      <x:c r="D490" s="28" t="str">
        <x:v>[Adult psychiatry makes wrong assessment of autism spectrum conditions. Correct diagnosis can protect against serious therapeutic errors].</x:v>
      </x:c>
      <x:c r="E490" s="28" t="str">
        <x:v>Primary/contextual journal article</x:v>
      </x:c>
      <x:c r="F490" s="28" t="str">
        <x:v>Development &amp; presentation; Recognition &amp; diagnosis; Family &amp; education; Social &amp; structural; Treatment &amp; support</x:v>
      </x:c>
      <x:c r="G490" s="28" t="str">
        <x:v>Childhood; Adulthood</x:v>
      </x:c>
      <x:c r="H490" s="28" t="str">
        <x:v>Exclude/incidental</x:v>
      </x:c>
      <x:c r="I490" s="28" t="str">
        <x:v>ADHD appears peripheral or insufficiently aligned with the requested corpus scope based on accessible metadata/abstract.</x:v>
      </x:c>
      <x:c r="J490" s="38" t="e">
        <x:f>HYPERLINK("https://pubmed.ncbi.nlm.nih.gov/"&amp;C490&amp;"/","Open PubMed")</x:f>
        <x:v>HYPERLINK is not implemented. linkLocation=https://pubmed.ncbi.nlm.nih.gov/21137538/, friendlyName=Open PubMed</x:v>
      </x:c>
    </x:row>
    <x:row r="491">
      <x:c r="A491" s="26" t="str">
        <x:v>PUBMED-20801134</x:v>
      </x:c>
      <x:c r="B491" s="26" t="n">
        <x:v>2010</x:v>
      </x:c>
      <x:c r="C491" s="26" t="str">
        <x:v>20801134</x:v>
      </x:c>
      <x:c r="D491" s="28" t="str">
        <x:v>Right fronto-parietal dysfunction in children with ADHD and developmental dyslexia as determined by line bisection judgements.</x:v>
      </x:c>
      <x:c r="E491" s="28" t="str">
        <x:v>Primary study - case-control</x:v>
      </x:c>
      <x:c r="F491" s="28" t="str">
        <x:v>Development &amp; presentation; Recognition &amp; diagnosis; Social &amp; structural; Life outcomes &amp; lived experience</x:v>
      </x:c>
      <x:c r="G491" s="28" t="str">
        <x:v>Childhood</x:v>
      </x:c>
      <x:c r="H491" s="28" t="str">
        <x:v>Later specialized</x:v>
      </x:c>
      <x:c r="I491" s="28" t="str">
        <x:v>Direct or strongly ADHD-related record retained for later screening; typically narrower treatment, biomarker, mechanistic, or single-comorbidity focus.</x:v>
      </x:c>
      <x:c r="J491" s="38" t="e">
        <x:f>HYPERLINK("https://pubmed.ncbi.nlm.nih.gov/"&amp;C491&amp;"/","Open PubMed")</x:f>
        <x:v>HYPERLINK is not implemented. linkLocation=https://pubmed.ncbi.nlm.nih.gov/20801134/, friendlyName=Open PubMed</x:v>
      </x:c>
    </x:row>
    <x:row r="492">
      <x:c r="A492" s="26" t="str">
        <x:v>PUBMED-20804955</x:v>
      </x:c>
      <x:c r="B492" s="26" t="n">
        <x:v>2010</x:v>
      </x:c>
      <x:c r="C492" s="26" t="str">
        <x:v>20804955</x:v>
      </x:c>
      <x:c r="D492" s="28" t="str">
        <x:v>Attention deficit hyperactivity disorder: Part II.</x:v>
      </x:c>
      <x:c r="E492" s="28" t="str">
        <x:v>Primary/contextual journal article</x:v>
      </x:c>
      <x:c r="F492" s="28" t="str">
        <x:v>Development &amp; presentation</x:v>
      </x:c>
      <x:c r="G492" s="28" t="str">
        <x:v>Not specified</x:v>
      </x:c>
      <x:c r="H492" s="28" t="str">
        <x:v>Later specialized</x:v>
      </x:c>
      <x:c r="I492" s="28" t="str">
        <x:v>Direct or strongly ADHD-related record retained for later screening; typically narrower treatment, biomarker, mechanistic, or single-comorbidity focus.</x:v>
      </x:c>
      <x:c r="J492" s="38" t="e">
        <x:f>HYPERLINK("https://pubmed.ncbi.nlm.nih.gov/"&amp;C492&amp;"/","Open PubMed")</x:f>
        <x:v>HYPERLINK is not implemented. linkLocation=https://pubmed.ncbi.nlm.nih.gov/20804955/, friendlyName=Open PubMed</x:v>
      </x:c>
    </x:row>
    <x:row r="493">
      <x:c r="A493" s="26" t="str">
        <x:v>PUBMED-21766551</x:v>
      </x:c>
      <x:c r="B493" s="26" t="n">
        <x:v>2010</x:v>
      </x:c>
      <x:c r="C493" s="26" t="str">
        <x:v>21766551</x:v>
      </x:c>
      <x:c r="D493" s="28" t="str">
        <x:v>Spigelian hernia in children: case report and literature review.</x:v>
      </x:c>
      <x:c r="E493" s="28" t="str">
        <x:v>Evidence synthesis - review</x:v>
      </x:c>
      <x:c r="F493" s="28" t="str">
        <x:v>Development &amp; presentation; Recognition &amp; diagnosis; Social &amp; structural; Treatment &amp; support</x:v>
      </x:c>
      <x:c r="G493" s="28" t="str">
        <x:v>Childhood</x:v>
      </x:c>
      <x:c r="H493" s="28" t="str">
        <x:v>Exclude/incidental</x:v>
      </x:c>
      <x:c r="I493" s="28" t="str">
        <x:v>ADHD appears peripheral or insufficiently aligned with the requested corpus scope based on accessible metadata/abstract.</x:v>
      </x:c>
      <x:c r="J493" s="38" t="e">
        <x:f>HYPERLINK("https://pubmed.ncbi.nlm.nih.gov/"&amp;C493&amp;"/","Open PubMed")</x:f>
        <x:v>HYPERLINK is not implemented. linkLocation=https://pubmed.ncbi.nlm.nih.gov/21766551/, friendlyName=Open PubMed</x:v>
      </x:c>
    </x:row>
    <x:row r="494">
      <x:c r="A494" s="26" t="str">
        <x:v>PUBMED-20889668</x:v>
      </x:c>
      <x:c r="B494" s="26" t="n">
        <x:v>2010</x:v>
      </x:c>
      <x:c r="C494" s="26" t="str">
        <x:v>20889668</x:v>
      </x:c>
      <x:c r="D494" s="28" t="str">
        <x:v>Hemorrhagic stroke in a patient recently started on mixed amphetamine salts.</x:v>
      </x:c>
      <x:c r="E494" s="28" t="str">
        <x:v>Other/unclear</x:v>
      </x:c>
      <x:c r="F494" s="28" t="str">
        <x:v>Development &amp; presentation; Treatment &amp; support</x:v>
      </x:c>
      <x:c r="G494" s="28" t="str">
        <x:v>Adulthood</x:v>
      </x:c>
      <x:c r="H494" s="28" t="str">
        <x:v>Exclude/incidental</x:v>
      </x:c>
      <x:c r="I494" s="28" t="str">
        <x:v>ADHD appears peripheral or insufficiently aligned with the requested corpus scope based on accessible metadata/abstract.</x:v>
      </x:c>
      <x:c r="J494" s="38" t="e">
        <x:f>HYPERLINK("https://pubmed.ncbi.nlm.nih.gov/"&amp;C494&amp;"/","Open PubMed")</x:f>
        <x:v>HYPERLINK is not implemented. linkLocation=https://pubmed.ncbi.nlm.nih.gov/20889668/, friendlyName=Open PubMed</x:v>
      </x:c>
    </x:row>
    <x:row r="495">
      <x:c r="A495" s="26" t="str">
        <x:v>PUBMED-20875804</x:v>
      </x:c>
      <x:c r="B495" s="26" t="n">
        <x:v>2010</x:v>
      </x:c>
      <x:c r="C495" s="26" t="str">
        <x:v>20875804</x:v>
      </x:c>
      <x:c r="D495" s="28" t="str">
        <x:v>Focus on the positive: computational simulations implicate asymmetrical reward prediction error signals in childhood attention-deficit/hyperactivity disorder.</x:v>
      </x:c>
      <x:c r="E495" s="28" t="str">
        <x:v>Primary/contextual journal article</x:v>
      </x:c>
      <x:c r="F495" s="28" t="str">
        <x:v>Development &amp; presentation; Recognition &amp; diagnosis; Social &amp; structural</x:v>
      </x:c>
      <x:c r="G495" s="28" t="str">
        <x:v>Childhood</x:v>
      </x:c>
      <x:c r="H495" s="28" t="str">
        <x:v>Later specialized</x:v>
      </x:c>
      <x:c r="I495" s="28" t="str">
        <x:v>Direct or strongly ADHD-related record retained for later screening; typically narrower treatment, biomarker, mechanistic, or single-comorbidity focus.</x:v>
      </x:c>
      <x:c r="J495" s="38" t="e">
        <x:f>HYPERLINK("https://pubmed.ncbi.nlm.nih.gov/"&amp;C495&amp;"/","Open PubMed")</x:f>
        <x:v>HYPERLINK is not implemented. linkLocation=https://pubmed.ncbi.nlm.nih.gov/20875804/, friendlyName=Open PubMed</x:v>
      </x:c>
    </x:row>
    <x:row r="496">
      <x:c r="A496" s="26" t="str">
        <x:v>PUBMED-21053468</x:v>
      </x:c>
      <x:c r="B496" s="26" t="n">
        <x:v>2010</x:v>
      </x:c>
      <x:c r="C496" s="26" t="str">
        <x:v>21053468</x:v>
      </x:c>
      <x:c r="D496" s="28" t="str">
        <x:v>[Agreeing in assessment of hyperactivity in children].</x:v>
      </x:c>
      <x:c r="E496" s="28" t="str">
        <x:v>Primary/contextual journal article</x:v>
      </x:c>
      <x:c r="F496" s="28" t="str">
        <x:v>Development &amp; presentation; Recognition &amp; diagnosis; Family &amp; education; Social &amp; structural; Environmental &amp; lifestyle</x:v>
      </x:c>
      <x:c r="G496" s="28" t="str">
        <x:v>Childhood</x:v>
      </x:c>
      <x:c r="H496" s="28" t="str">
        <x:v>Later specialized</x:v>
      </x:c>
      <x:c r="I496" s="28" t="str">
        <x:v>Direct or strongly ADHD-related record retained for later screening; typically narrower treatment, biomarker, mechanistic, or single-comorbidity focus.</x:v>
      </x:c>
      <x:c r="J496" s="38" t="e">
        <x:f>HYPERLINK("https://pubmed.ncbi.nlm.nih.gov/"&amp;C496&amp;"/","Open PubMed")</x:f>
        <x:v>HYPERLINK is not implemented. linkLocation=https://pubmed.ncbi.nlm.nih.gov/21053468/, friendlyName=Open PubMed</x:v>
      </x:c>
    </x:row>
    <x:row r="497">
      <x:c r="A497" s="26" t="str">
        <x:v>PUBMED-21058121</x:v>
      </x:c>
      <x:c r="B497" s="26" t="n">
        <x:v>2010</x:v>
      </x:c>
      <x:c r="C497" s="26" t="str">
        <x:v>21058121</x:v>
      </x:c>
      <x:c r="D497" s="28" t="str">
        <x:v>Cognitive control and attentional selection in adolescents with ADHD versus ADD.</x:v>
      </x:c>
      <x:c r="E497" s="28" t="str">
        <x:v>Primary/contextual journal article</x:v>
      </x:c>
      <x:c r="F497" s="28" t="str">
        <x:v>Development &amp; presentation; Recognition &amp; diagnosis; Social &amp; structural</x:v>
      </x:c>
      <x:c r="G497" s="28" t="str">
        <x:v>Childhood; Adolescence</x:v>
      </x:c>
      <x:c r="H497" s="28" t="str">
        <x:v>Later specialized</x:v>
      </x:c>
      <x:c r="I497" s="28" t="str">
        <x:v>Direct or strongly ADHD-related record retained for later screening; typically narrower treatment, biomarker, mechanistic, or single-comorbidity focus.</x:v>
      </x:c>
      <x:c r="J497" s="38" t="e">
        <x:f>HYPERLINK("https://pubmed.ncbi.nlm.nih.gov/"&amp;C497&amp;"/","Open PubMed")</x:f>
        <x:v>HYPERLINK is not implemented. linkLocation=https://pubmed.ncbi.nlm.nih.gov/21058121/, friendlyName=Open PubMed</x:v>
      </x:c>
    </x:row>
    <x:row r="498">
      <x:c r="A498" s="26" t="str">
        <x:v>PUBMED-21090875</x:v>
      </x:c>
      <x:c r="B498" s="26" t="n">
        <x:v>2010</x:v>
      </x:c>
      <x:c r="C498" s="26" t="str">
        <x:v>21090875</x:v>
      </x:c>
      <x:c r="D498" s="28" t="str">
        <x:v>ODD dimensions, ADHD, and callous-unemotional traits as predictors of treatment response in children with disruptive behavior disorders.</x:v>
      </x:c>
      <x:c r="E498" s="28" t="str">
        <x:v>Primary study - randomized controlled trial</x:v>
      </x:c>
      <x:c r="F498" s="28" t="str">
        <x:v>Development &amp; presentation; Recognition &amp; diagnosis; Social &amp; structural; Treatment &amp; support; Life outcomes &amp; lived experience</x:v>
      </x:c>
      <x:c r="G498" s="28" t="str">
        <x:v>Childhood</x:v>
      </x:c>
      <x:c r="H498" s="28" t="str">
        <x:v>Later specialized</x:v>
      </x:c>
      <x:c r="I498" s="28" t="str">
        <x:v>Direct or strongly ADHD-related record retained for later screening; typically narrower treatment, biomarker, mechanistic, or single-comorbidity focus.</x:v>
      </x:c>
      <x:c r="J498" s="38" t="e">
        <x:f>HYPERLINK("https://pubmed.ncbi.nlm.nih.gov/"&amp;C498&amp;"/","Open PubMed")</x:f>
        <x:v>HYPERLINK is not implemented. linkLocation=https://pubmed.ncbi.nlm.nih.gov/21090875/, friendlyName=Open PubMed</x:v>
      </x:c>
    </x:row>
    <x:row r="499">
      <x:c r="A499" s="26" t="str">
        <x:v>PUBMED-21058123</x:v>
      </x:c>
      <x:c r="B499" s="26" t="n">
        <x:v>2010</x:v>
      </x:c>
      <x:c r="C499" s="26" t="str">
        <x:v>21058123</x:v>
      </x:c>
      <x:c r="D499" s="28" t="str">
        <x:v>Diagnostic instability of DSM-IV ADHD subtypes: effects of informant source, instrumentation, and methods for combining symptom reports.</x:v>
      </x:c>
      <x:c r="E499" s="28" t="str">
        <x:v>Primary/contextual journal article</x:v>
      </x:c>
      <x:c r="F499" s="28" t="str">
        <x:v>Development &amp; presentation; Recognition &amp; diagnosis; Family &amp; education; Social &amp; structural</x:v>
      </x:c>
      <x:c r="G499" s="28" t="str">
        <x:v>Childhood</x:v>
      </x:c>
      <x:c r="H499" s="28" t="str">
        <x:v>Later specialized</x:v>
      </x:c>
      <x:c r="I499" s="28" t="str">
        <x:v>Direct or strongly ADHD-related record retained for later screening; typically narrower treatment, biomarker, mechanistic, or single-comorbidity focus.</x:v>
      </x:c>
      <x:c r="J499" s="38" t="e">
        <x:f>HYPERLINK("https://pubmed.ncbi.nlm.nih.gov/"&amp;C499&amp;"/","Open PubMed")</x:f>
        <x:v>HYPERLINK is not implemented. linkLocation=https://pubmed.ncbi.nlm.nih.gov/21058123/, friendlyName=Open PubMed</x:v>
      </x:c>
    </x:row>
    <x:row r="500">
      <x:c r="A500" s="26" t="str">
        <x:v>PUBMED-21076793</x:v>
      </x:c>
      <x:c r="B500" s="26" t="n">
        <x:v>2010</x:v>
      </x:c>
      <x:c r="C500" s="26" t="str">
        <x:v>21076793</x:v>
      </x:c>
      <x:c r="D500" s="28" t="str">
        <x:v>[Knowledge and beliefs of professional workers in education, health and social services towards ADHD].</x:v>
      </x:c>
      <x:c r="E500" s="28" t="str">
        <x:v>Primary/contextual journal article</x:v>
      </x:c>
      <x:c r="F500" s="28" t="str">
        <x:v>Development &amp; presentation; Family &amp; education; Social &amp; structural; Environmental &amp; lifestyle; Treatment &amp; support; Historical &amp; contemporary context</x:v>
      </x:c>
      <x:c r="G500" s="28" t="str">
        <x:v>Childhood</x:v>
      </x:c>
      <x:c r="H500" s="28" t="str">
        <x:v>Later specialized</x:v>
      </x:c>
      <x:c r="I500" s="28" t="str">
        <x:v>Direct or strongly ADHD-related record retained for later screening; typically narrower treatment, biomarker, mechanistic, or single-comorbidity focus.</x:v>
      </x:c>
      <x:c r="J500" s="38" t="e">
        <x:f>HYPERLINK("https://pubmed.ncbi.nlm.nih.gov/"&amp;C500&amp;"/","Open PubMed")</x:f>
        <x:v>HYPERLINK is not implemented. linkLocation=https://pubmed.ncbi.nlm.nih.gov/21076793/, friendlyName=Open PubMed</x:v>
      </x:c>
    </x:row>
    <x:row r="501">
      <x:c r="A501" s="26" t="str">
        <x:v>PUBMED-21125017</x:v>
      </x:c>
      <x:c r="B501" s="26" t="n">
        <x:v>2010</x:v>
      </x:c>
      <x:c r="C501" s="26" t="str">
        <x:v>21125017</x:v>
      </x:c>
      <x:c r="D501" s="28" t="str">
        <x:v>Road trauma in teenage male youth with childhood disruptive behavior disorders: a population based analysis.</x:v>
      </x:c>
      <x:c r="E501" s="28" t="str">
        <x:v>Primary study - case-control</x:v>
      </x:c>
      <x:c r="F501" s="28" t="str">
        <x:v>Development &amp; presentation; Recognition &amp; diagnosis; Family &amp; education; Social &amp; structural; Life outcomes &amp; lived experience; Historical &amp; contemporary context</x:v>
      </x:c>
      <x:c r="G501" s="28" t="str">
        <x:v>Childhood; Adolescence</x:v>
      </x:c>
      <x:c r="H501" s="28" t="str">
        <x:v>Exclude/incidental</x:v>
      </x:c>
      <x:c r="I501" s="28" t="str">
        <x:v>ADHD appears peripheral or insufficiently aligned with the requested corpus scope based on accessible metadata/abstract.</x:v>
      </x:c>
      <x:c r="J501" s="38" t="e">
        <x:f>HYPERLINK("https://pubmed.ncbi.nlm.nih.gov/"&amp;C501&amp;"/","Open PubMed")</x:f>
        <x:v>HYPERLINK is not implemented. linkLocation=https://pubmed.ncbi.nlm.nih.gov/21125017/, friendlyName=Open PubMed</x:v>
      </x:c>
    </x:row>
    <x:row r="502">
      <x:c r="A502" s="26" t="str">
        <x:v>PUBMED-21404887</x:v>
      </x:c>
      <x:c r="B502" s="26" t="n">
        <x:v>2010</x:v>
      </x:c>
      <x:c r="C502" s="26" t="str">
        <x:v>21404887</x:v>
      </x:c>
      <x:c r="D502" s="28" t="str">
        <x:v>Is psychopathology related to children's unintentional injury?</x:v>
      </x:c>
      <x:c r="E502" s="28" t="str">
        <x:v>Primary/contextual journal article</x:v>
      </x:c>
      <x:c r="F502" s="28" t="str">
        <x:v>Development &amp; presentation; Family &amp; education; Social &amp; structural; Life outcomes &amp; lived experience</x:v>
      </x:c>
      <x:c r="G502" s="28" t="str">
        <x:v>Childhood; Adolescence</x:v>
      </x:c>
      <x:c r="H502" s="28" t="str">
        <x:v>Exclude/incidental</x:v>
      </x:c>
      <x:c r="I502" s="28" t="str">
        <x:v>ADHD appears peripheral or insufficiently aligned with the requested corpus scope based on accessible metadata/abstract.</x:v>
      </x:c>
      <x:c r="J502" s="38" t="e">
        <x:f>HYPERLINK("https://pubmed.ncbi.nlm.nih.gov/"&amp;C502&amp;"/","Open PubMed")</x:f>
        <x:v>HYPERLINK is not implemented. linkLocation=https://pubmed.ncbi.nlm.nih.gov/21404887/, friendlyName=Open PubMed</x:v>
      </x:c>
    </x:row>
    <x:row r="503">
      <x:c r="A503" s="26" t="str">
        <x:v>PUBMED-21069125</x:v>
      </x:c>
      <x:c r="B503" s="26" t="n">
        <x:v>2010</x:v>
      </x:c>
      <x:c r="C503" s="26" t="str">
        <x:v>21069125</x:v>
      </x:c>
      <x:c r="D503" s="28" t="str">
        <x:v>We should not screen for ADHD.</x:v>
      </x:c>
      <x:c r="E503" s="28" t="str">
        <x:v>Contextual - editorial/comment</x:v>
      </x:c>
      <x:c r="F503" s="28" t="str">
        <x:v>Development &amp; presentation; Recognition &amp; diagnosis; Family &amp; education</x:v>
      </x:c>
      <x:c r="G503" s="28" t="str">
        <x:v>Not specified</x:v>
      </x:c>
      <x:c r="H503" s="28" t="str">
        <x:v>Later specialized</x:v>
      </x:c>
      <x:c r="I503" s="28" t="str">
        <x:v>Direct or strongly ADHD-related record retained for later screening; typically narrower treatment, biomarker, mechanistic, or single-comorbidity focus.</x:v>
      </x:c>
      <x:c r="J503" s="38" t="e">
        <x:f>HYPERLINK("https://pubmed.ncbi.nlm.nih.gov/"&amp;C503&amp;"/","Open PubMed")</x:f>
        <x:v>HYPERLINK is not implemented. linkLocation=https://pubmed.ncbi.nlm.nih.gov/21069125/, friendlyName=Open PubMed</x:v>
      </x:c>
    </x:row>
    <x:row r="504">
      <x:c r="A504" s="26" t="str">
        <x:v>PUBMED-20812292</x:v>
      </x:c>
      <x:c r="B504" s="26" t="n">
        <x:v>2010</x:v>
      </x:c>
      <x:c r="C504" s="26" t="str">
        <x:v>20812292</x:v>
      </x:c>
      <x:c r="D504" s="28" t="str">
        <x:v>Studying the relation between temporal reward discounting tasks used in populations with ADHD: a factor analysis.</x:v>
      </x:c>
      <x:c r="E504" s="28" t="str">
        <x:v>Primary/contextual journal article</x:v>
      </x:c>
      <x:c r="F504" s="28" t="str">
        <x:v>Development &amp; presentation; Social &amp; structural; Life outcomes &amp; lived experience</x:v>
      </x:c>
      <x:c r="G504" s="28" t="str">
        <x:v>Adolescence; Adulthood</x:v>
      </x:c>
      <x:c r="H504" s="28" t="str">
        <x:v>Later specialized</x:v>
      </x:c>
      <x:c r="I504" s="28" t="str">
        <x:v>Direct or strongly ADHD-related record retained for later screening; typically narrower treatment, biomarker, mechanistic, or single-comorbidity focus.</x:v>
      </x:c>
      <x:c r="J504" s="38" t="e">
        <x:f>HYPERLINK("https://pubmed.ncbi.nlm.nih.gov/"&amp;C504&amp;"/","Open PubMed")</x:f>
        <x:v>HYPERLINK is not implemented. linkLocation=https://pubmed.ncbi.nlm.nih.gov/20812292/, friendlyName=Open PubMed</x:v>
      </x:c>
    </x:row>
    <x:row r="505">
      <x:c r="A505" s="26" t="str">
        <x:v>PUBMED-20888039</x:v>
      </x:c>
      <x:c r="B505" s="26" t="n">
        <x:v>2010</x:v>
      </x:c>
      <x:c r="C505" s="26" t="str">
        <x:v>20888039</x:v>
      </x:c>
      <x:c r="D505" s="28" t="str">
        <x:v>Neuropsychiatric connections of ADHD genes.</x:v>
      </x:c>
      <x:c r="E505" s="28" t="str">
        <x:v>Contextual - editorial/comment</x:v>
      </x:c>
      <x:c r="F505" s="28" t="str">
        <x:v>Development &amp; presentation</x:v>
      </x:c>
      <x:c r="G505" s="28" t="str">
        <x:v>Childhood</x:v>
      </x:c>
      <x:c r="H505" s="28" t="str">
        <x:v>Later specialized</x:v>
      </x:c>
      <x:c r="I505" s="28" t="str">
        <x:v>Direct or strongly ADHD-related record retained for later screening; typically narrower treatment, biomarker, mechanistic, or single-comorbidity focus.</x:v>
      </x:c>
      <x:c r="J505" s="38" t="e">
        <x:f>HYPERLINK("https://pubmed.ncbi.nlm.nih.gov/"&amp;C505&amp;"/","Open PubMed")</x:f>
        <x:v>HYPERLINK is not implemented. linkLocation=https://pubmed.ncbi.nlm.nih.gov/20888039/, friendlyName=Open PubMed</x:v>
      </x:c>
    </x:row>
    <x:row r="506">
      <x:c r="A506" s="26" t="str">
        <x:v>PUBMED-21045757</x:v>
      </x:c>
      <x:c r="B506" s="26" t="n">
        <x:v>2010</x:v>
      </x:c>
      <x:c r="C506" s="26" t="str">
        <x:v>21045757</x:v>
      </x:c>
      <x:c r="D506" s="28" t="str">
        <x:v>Guanfacine extended-release (intuniv) for ADHD.</x:v>
      </x:c>
      <x:c r="E506" s="28" t="str">
        <x:v>Primary/contextual journal article</x:v>
      </x:c>
      <x:c r="F506" s="28" t="str">
        <x:v>Development &amp; presentation; Social &amp; structural; Treatment &amp; support; Life outcomes &amp; lived experience</x:v>
      </x:c>
      <x:c r="G506" s="28" t="str">
        <x:v>Childhood; Adolescence</x:v>
      </x:c>
      <x:c r="H506" s="28" t="str">
        <x:v>Later specialized</x:v>
      </x:c>
      <x:c r="I506" s="28" t="str">
        <x:v>Direct or strongly ADHD-related record retained for later screening; typically narrower treatment, biomarker, mechanistic, or single-comorbidity focus.</x:v>
      </x:c>
      <x:c r="J506" s="38" t="e">
        <x:f>HYPERLINK("https://pubmed.ncbi.nlm.nih.gov/"&amp;C506&amp;"/","Open PubMed")</x:f>
        <x:v>HYPERLINK is not implemented. linkLocation=https://pubmed.ncbi.nlm.nih.gov/21045757/, friendlyName=Open PubMed</x:v>
      </x:c>
    </x:row>
    <x:row r="507">
      <x:c r="A507" s="26" t="str">
        <x:v>PUBMED-21117463</x:v>
      </x:c>
      <x:c r="B507" s="26" t="n">
        <x:v>2010</x:v>
      </x:c>
      <x:c r="C507" s="26" t="str">
        <x:v>21117463</x:v>
      </x:c>
      <x:c r="D507" s="28" t="str">
        <x:v>Maximum-corrected and chance-corrected measures of effect size for the Mantel-Haenszel test.</x:v>
      </x:c>
      <x:c r="E507" s="28" t="str">
        <x:v>Primary/contextual journal article</x:v>
      </x:c>
      <x:c r="F507" s="28" t="str">
        <x:v>Development &amp; presentation; Recognition &amp; diagnosis; Family &amp; education; Social &amp; structural; Treatment &amp; support; Life outcomes &amp; lived experience</x:v>
      </x:c>
      <x:c r="G507" s="28" t="str">
        <x:v>Not specified</x:v>
      </x:c>
      <x:c r="H507" s="28" t="str">
        <x:v>Exclude/incidental</x:v>
      </x:c>
      <x:c r="I507" s="28" t="str">
        <x:v>ADHD appears peripheral or insufficiently aligned with the requested corpus scope based on accessible metadata/abstract.</x:v>
      </x:c>
      <x:c r="J507" s="38" t="e">
        <x:f>HYPERLINK("https://pubmed.ncbi.nlm.nih.gov/"&amp;C507&amp;"/","Open PubMed")</x:f>
        <x:v>HYPERLINK is not implemented. linkLocation=https://pubmed.ncbi.nlm.nih.gov/21117463/, friendlyName=Open PubMed</x:v>
      </x:c>
    </x:row>
    <x:row r="508">
      <x:c r="A508" s="26" t="str">
        <x:v>PUBMED-21080150</x:v>
      </x:c>
      <x:c r="B508" s="26" t="n">
        <x:v>2010</x:v>
      </x:c>
      <x:c r="C508" s="26" t="str">
        <x:v>21080150</x:v>
      </x:c>
      <x:c r="D508" s="28" t="str">
        <x:v>Is presentation of ADHD subtypes different between community and clinical samples?</x:v>
      </x:c>
      <x:c r="E508" s="28" t="str">
        <x:v>Contextual - editorial/comment</x:v>
      </x:c>
      <x:c r="F508" s="28" t="str">
        <x:v>Development &amp; presentation; Family &amp; education</x:v>
      </x:c>
      <x:c r="G508" s="28" t="str">
        <x:v>Childhood; Adolescence</x:v>
      </x:c>
      <x:c r="H508" s="28" t="str">
        <x:v>Later specialized</x:v>
      </x:c>
      <x:c r="I508" s="28" t="str">
        <x:v>Direct or strongly ADHD-related record retained for later screening; typically narrower treatment, biomarker, mechanistic, or single-comorbidity focus.</x:v>
      </x:c>
      <x:c r="J508" s="38" t="e">
        <x:f>HYPERLINK("https://pubmed.ncbi.nlm.nih.gov/"&amp;C508&amp;"/","Open PubMed")</x:f>
        <x:v>HYPERLINK is not implemented. linkLocation=https://pubmed.ncbi.nlm.nih.gov/21080150/, friendlyName=Open PubMed</x:v>
      </x:c>
    </x:row>
    <x:row r="509">
      <x:c r="A509" s="26" t="str">
        <x:v>PUBMED-20832509</x:v>
      </x:c>
      <x:c r="B509" s="26" t="n">
        <x:v>2010</x:v>
      </x:c>
      <x:c r="C509" s="26" t="str">
        <x:v>20832509</x:v>
      </x:c>
      <x:c r="D509" s="28" t="str">
        <x:v>1.3 Mb de novo deletion in chromosome band 3q29 associated with normal intelligence in a child.</x:v>
      </x:c>
      <x:c r="E509" s="28" t="str">
        <x:v>Other/unclear</x:v>
      </x:c>
      <x:c r="F509" s="28" t="str">
        <x:v>Development &amp; presentation; Recognition &amp; diagnosis; Family &amp; education; Social &amp; structural; Treatment &amp; support</x:v>
      </x:c>
      <x:c r="G509" s="28" t="str">
        <x:v>Childhood</x:v>
      </x:c>
      <x:c r="H509" s="28" t="str">
        <x:v>Later specialized</x:v>
      </x:c>
      <x:c r="I509" s="28" t="str">
        <x:v>Direct or strongly ADHD-related record retained for later screening; typically narrower treatment, biomarker, mechanistic, or single-comorbidity focus.</x:v>
      </x:c>
      <x:c r="J509" s="38" t="e">
        <x:f>HYPERLINK("https://pubmed.ncbi.nlm.nih.gov/"&amp;C509&amp;"/","Open PubMed")</x:f>
        <x:v>HYPERLINK is not implemented. linkLocation=https://pubmed.ncbi.nlm.nih.gov/20832509/, friendlyName=Open PubMed</x:v>
      </x:c>
    </x:row>
    <x:row r="510">
      <x:c r="A510" s="26" t="str">
        <x:v>PUBMED-21117519</x:v>
      </x:c>
      <x:c r="B510" s="26" t="n">
        <x:v>2010</x:v>
      </x:c>
      <x:c r="C510" s="26" t="str">
        <x:v>21117519</x:v>
      </x:c>
      <x:c r="D510" s="28" t="str">
        <x:v>Stimulant utilization in treating attention-deficit/hyperactivity disorder in South Dakota's Medicaid population.</x:v>
      </x:c>
      <x:c r="E510" s="28" t="str">
        <x:v>Primary/contextual journal article</x:v>
      </x:c>
      <x:c r="F510" s="28" t="str">
        <x:v>Development &amp; presentation; Treatment &amp; support</x:v>
      </x:c>
      <x:c r="G510" s="28" t="str">
        <x:v>Childhood</x:v>
      </x:c>
      <x:c r="H510" s="28" t="str">
        <x:v>Later specialized</x:v>
      </x:c>
      <x:c r="I510" s="28" t="str">
        <x:v>Direct or strongly ADHD-related record retained for later screening; typically narrower treatment, biomarker, mechanistic, or single-comorbidity focus.</x:v>
      </x:c>
      <x:c r="J510" s="38" t="e">
        <x:f>HYPERLINK("https://pubmed.ncbi.nlm.nih.gov/"&amp;C510&amp;"/","Open PubMed")</x:f>
        <x:v>HYPERLINK is not implemented. linkLocation=https://pubmed.ncbi.nlm.nih.gov/21117519/, friendlyName=Open PubMed</x:v>
      </x:c>
    </x:row>
    <x:row r="511">
      <x:c r="A511" s="26" t="str">
        <x:v>PUBMED-21137540</x:v>
      </x:c>
      <x:c r="B511" s="26" t="n">
        <x:v>2010</x:v>
      </x:c>
      <x:c r="C511" s="26" t="str">
        <x:v>21137540</x:v>
      </x:c>
      <x:c r="D511" s="28" t="str">
        <x:v>[Vestibular/sensorimotor therapy also in Sweden].</x:v>
      </x:c>
      <x:c r="E511" s="28" t="str">
        <x:v>Primary/contextual journal article</x:v>
      </x:c>
      <x:c r="F511" s="28" t="str">
        <x:v>Development &amp; presentation; Treatment &amp; support</x:v>
      </x:c>
      <x:c r="G511" s="28" t="str">
        <x:v>Childhood; Adulthood</x:v>
      </x:c>
      <x:c r="H511" s="28" t="str">
        <x:v>Exclude/incidental</x:v>
      </x:c>
      <x:c r="I511" s="28" t="str">
        <x:v>ADHD appears peripheral or insufficiently aligned with the requested corpus scope based on accessible metadata/abstract.</x:v>
      </x:c>
      <x:c r="J511" s="38" t="e">
        <x:f>HYPERLINK("https://pubmed.ncbi.nlm.nih.gov/"&amp;C511&amp;"/","Open PubMed")</x:f>
        <x:v>HYPERLINK is not implemented. linkLocation=https://pubmed.ncbi.nlm.nih.gov/21137540/, friendlyName=Open PubMed</x:v>
      </x:c>
    </x:row>
    <x:row r="512">
      <x:c r="A512" s="26" t="str">
        <x:v>PUBMED-20801715</x:v>
      </x:c>
      <x:c r="B512" s="26" t="n">
        <x:v>2010</x:v>
      </x:c>
      <x:c r="C512" s="26" t="str">
        <x:v>20801715</x:v>
      </x:c>
      <x:c r="D512" s="28" t="str">
        <x:v>Development of the Pediatric Restless Legs Syndrome Severity Scale (P-RLS-SS): a patient-reported outcome measure of pediatric RLS symptoms and impact.</x:v>
      </x:c>
      <x:c r="E512" s="28" t="str">
        <x:v>Primary study - qualitative</x:v>
      </x:c>
      <x:c r="F512" s="28" t="str">
        <x:v>Development &amp; presentation; Recognition &amp; diagnosis; Family &amp; education; Social &amp; structural; Environmental &amp; lifestyle; Life outcomes &amp; lived experience</x:v>
      </x:c>
      <x:c r="G512" s="28" t="str">
        <x:v>Childhood; Adolescence</x:v>
      </x:c>
      <x:c r="H512" s="28" t="str">
        <x:v>Exclude/incidental</x:v>
      </x:c>
      <x:c r="I512" s="28" t="str">
        <x:v>ADHD appears peripheral or insufficiently aligned with the requested corpus scope based on accessible metadata/abstract.</x:v>
      </x:c>
      <x:c r="J512" s="38" t="e">
        <x:f>HYPERLINK("https://pubmed.ncbi.nlm.nih.gov/"&amp;C512&amp;"/","Open PubMed")</x:f>
        <x:v>HYPERLINK is not implemented. linkLocation=https://pubmed.ncbi.nlm.nih.gov/20801715/, friendlyName=Open PubMed</x:v>
      </x:c>
    </x:row>
    <x:row r="513">
      <x:c r="A513" s="26" t="str">
        <x:v>PUBMED-21229842</x:v>
      </x:c>
      <x:c r="B513" s="26" t="n">
        <x:v>2010</x:v>
      </x:c>
      <x:c r="C513" s="26" t="str">
        <x:v>21229842</x:v>
      </x:c>
      <x:c r="D513" s="28" t="str">
        <x:v>What is your diagnosis? Hyperthyroidism.</x:v>
      </x:c>
      <x:c r="E513" s="28" t="str">
        <x:v>Primary/contextual journal article</x:v>
      </x:c>
      <x:c r="F513" s="28" t="str">
        <x:v>Development &amp; presentation; Recognition &amp; diagnosis; Treatment &amp; support</x:v>
      </x:c>
      <x:c r="G513" s="28" t="str">
        <x:v>Adolescence</x:v>
      </x:c>
      <x:c r="H513" s="28" t="str">
        <x:v>Exclude/incidental</x:v>
      </x:c>
      <x:c r="I513" s="28" t="str">
        <x:v>ADHD appears peripheral or insufficiently aligned with the requested corpus scope based on accessible metadata/abstract.</x:v>
      </x:c>
      <x:c r="J513" s="38" t="e">
        <x:f>HYPERLINK("https://pubmed.ncbi.nlm.nih.gov/"&amp;C513&amp;"/","Open PubMed")</x:f>
        <x:v>HYPERLINK is not implemented. linkLocation=https://pubmed.ncbi.nlm.nih.gov/21229842/, friendlyName=Open PubMed</x:v>
      </x:c>
    </x:row>
    <x:row r="514">
      <x:c r="A514" s="26" t="str">
        <x:v>PUBMED-21057259</x:v>
      </x:c>
      <x:c r="B514" s="26" t="n">
        <x:v>2010</x:v>
      </x:c>
      <x:c r="C514" s="26" t="str">
        <x:v>21057259</x:v>
      </x:c>
      <x:c r="D514" s="28" t="str">
        <x:v>More objective tools should be employed to objectify the therapeutic response.</x:v>
      </x:c>
      <x:c r="E514" s="28" t="str">
        <x:v>Contextual - editorial/comment</x:v>
      </x:c>
      <x:c r="F514" s="28" t="str">
        <x:v>Development &amp; presentation; Recognition &amp; diagnosis; Social &amp; structural; Treatment &amp; support; Life outcomes &amp; lived experience</x:v>
      </x:c>
      <x:c r="G514" s="28" t="str">
        <x:v>Childhood</x:v>
      </x:c>
      <x:c r="H514" s="28" t="str">
        <x:v>Exclude/incidental</x:v>
      </x:c>
      <x:c r="I514" s="28" t="str">
        <x:v>ADHD appears peripheral or insufficiently aligned with the requested corpus scope based on accessible metadata/abstract.</x:v>
      </x:c>
      <x:c r="J514" s="38" t="e">
        <x:f>HYPERLINK("https://pubmed.ncbi.nlm.nih.gov/"&amp;C514&amp;"/","Open PubMed")</x:f>
        <x:v>HYPERLINK is not implemented. linkLocation=https://pubmed.ncbi.nlm.nih.gov/21057259/, friendlyName=Open PubMed</x:v>
      </x:c>
    </x:row>
    <x:row r="515">
      <x:c r="A515" s="26" t="str">
        <x:v>PUBMED-21249140</x:v>
      </x:c>
      <x:c r="B515" s="26" t="n">
        <x:v>2010</x:v>
      </x:c>
      <x:c r="C515" s="26" t="str">
        <x:v>21249140</x:v>
      </x:c>
      <x:c r="D515" s="28" t="str">
        <x:v>Correspondence (letter to the editor): What about the dam break upstream?</x:v>
      </x:c>
      <x:c r="E515" s="28" t="str">
        <x:v>Other/unclear</x:v>
      </x:c>
      <x:c r="F515" s="28" t="str">
        <x:v>Development &amp; presentation; Family &amp; education; Treatment &amp; support; Life outcomes &amp; lived experience</x:v>
      </x:c>
      <x:c r="G515" s="28" t="str">
        <x:v>Childhood; Adolescence</x:v>
      </x:c>
      <x:c r="H515" s="28" t="str">
        <x:v>Exclude/incidental</x:v>
      </x:c>
      <x:c r="I515" s="28" t="str">
        <x:v>ADHD appears peripheral or insufficiently aligned with the requested corpus scope based on accessible metadata/abstract.</x:v>
      </x:c>
      <x:c r="J515" s="38" t="e">
        <x:f>HYPERLINK("https://pubmed.ncbi.nlm.nih.gov/"&amp;C515&amp;"/","Open PubMed")</x:f>
        <x:v>HYPERLINK is not implemented. linkLocation=https://pubmed.ncbi.nlm.nih.gov/21249140/, friendlyName=Open PubMed</x:v>
      </x:c>
    </x:row>
    <x:row r="516">
      <x:c r="A516" s="26" t="str">
        <x:v>PUBMED-21109835</x:v>
      </x:c>
      <x:c r="B516" s="26" t="n">
        <x:v>2010</x:v>
      </x:c>
      <x:c r="C516" s="26" t="str">
        <x:v>21109835</x:v>
      </x:c>
      <x:c r="D516" s="28" t="str">
        <x:v>[Severe factual errors in Tidsskriftet].</x:v>
      </x:c>
      <x:c r="E516" s="28" t="str">
        <x:v>Other/unclear</x:v>
      </x:c>
      <x:c r="F516" s="28" t="str">
        <x:v>Development &amp; presentation; Treatment &amp; support</x:v>
      </x:c>
      <x:c r="G516" s="28" t="str">
        <x:v>Not specified</x:v>
      </x:c>
      <x:c r="H516" s="28" t="str">
        <x:v>Exclude/incidental</x:v>
      </x:c>
      <x:c r="I516" s="28" t="str">
        <x:v>ADHD appears peripheral or insufficiently aligned with the requested corpus scope based on accessible metadata/abstract.</x:v>
      </x:c>
      <x:c r="J516" s="38" t="e">
        <x:f>HYPERLINK("https://pubmed.ncbi.nlm.nih.gov/"&amp;C516&amp;"/","Open PubMed")</x:f>
        <x:v>HYPERLINK is not implemented. linkLocation=https://pubmed.ncbi.nlm.nih.gov/21109835/, friendlyName=Open PubMed</x:v>
      </x:c>
    </x:row>
    <x:row r="517">
      <x:c r="A517" s="26" t="str">
        <x:v>PUBMED-20848689</x:v>
      </x:c>
      <x:c r="B517" s="26" t="n">
        <x:v>2010</x:v>
      </x:c>
      <x:c r="C517" s="26" t="str">
        <x:v>20848689</x:v>
      </x:c>
      <x:c r="D517" s="28" t="str">
        <x:v>[Fighting with the Danish Medical Agency--core activity of the medical profession?].</x:v>
      </x:c>
      <x:c r="E517" s="28" t="str">
        <x:v>Contextual - editorial/comment</x:v>
      </x:c>
      <x:c r="F517" s="28" t="str">
        <x:v>Development &amp; presentation; Environmental &amp; lifestyle; Treatment &amp; support</x:v>
      </x:c>
      <x:c r="G517" s="28" t="str">
        <x:v>Not specified</x:v>
      </x:c>
      <x:c r="H517" s="28" t="str">
        <x:v>Exclude/incidental</x:v>
      </x:c>
      <x:c r="I517" s="28" t="str">
        <x:v>ADHD appears peripheral or insufficiently aligned with the requested corpus scope based on accessible metadata/abstract.</x:v>
      </x:c>
      <x:c r="J517" s="38" t="e">
        <x:f>HYPERLINK("https://pubmed.ncbi.nlm.nih.gov/"&amp;C517&amp;"/","Open PubMed")</x:f>
        <x:v>HYPERLINK is not implemented. linkLocation=https://pubmed.ncbi.nlm.nih.gov/20848689/, friendlyName=Open PubMed</x:v>
      </x:c>
    </x:row>
    <x:row r="518">
      <x:c r="A518" s="26" t="str">
        <x:v>PUBMED-21249139</x:v>
      </x:c>
      <x:c r="B518" s="26" t="n">
        <x:v>2010</x:v>
      </x:c>
      <x:c r="C518" s="26" t="str">
        <x:v>21249139</x:v>
      </x:c>
      <x:c r="D518" s="28" t="str">
        <x:v>Correspondence (letter to the editor): Is the treatment the problem?</x:v>
      </x:c>
      <x:c r="E518" s="28" t="str">
        <x:v>Other/unclear</x:v>
      </x:c>
      <x:c r="F518" s="28" t="str">
        <x:v>Development &amp; presentation; Family &amp; education; Social &amp; structural; Treatment &amp; support; Life outcomes &amp; lived experience</x:v>
      </x:c>
      <x:c r="G518" s="28" t="str">
        <x:v>Childhood; Adolescence</x:v>
      </x:c>
      <x:c r="H518" s="28" t="str">
        <x:v>Exclude/incidental</x:v>
      </x:c>
      <x:c r="I518" s="28" t="str">
        <x:v>ADHD appears peripheral or insufficiently aligned with the requested corpus scope based on accessible metadata/abstract.</x:v>
      </x:c>
      <x:c r="J518" s="38" t="e">
        <x:f>HYPERLINK("https://pubmed.ncbi.nlm.nih.gov/"&amp;C518&amp;"/","Open PubMed")</x:f>
        <x:v>HYPERLINK is not implemented. linkLocation=https://pubmed.ncbi.nlm.nih.gov/21249139/, friendlyName=Open PubMed</x:v>
      </x:c>
    </x:row>
    <x:row r="519">
      <x:c r="A519" s="26" t="str">
        <x:v>PUBMED-20848762</x:v>
      </x:c>
      <x:c r="B519" s="26" t="n">
        <x:v>2010</x:v>
      </x:c>
      <x:c r="C519" s="26" t="str">
        <x:v>20848762</x:v>
      </x:c>
      <x:c r="D519" s="28" t="str">
        <x:v>How to help a child with ADHD.</x:v>
      </x:c>
      <x:c r="E519" s="28" t="str">
        <x:v>Primary/contextual journal article</x:v>
      </x:c>
      <x:c r="F519" s="28" t="str">
        <x:v>Development &amp; presentation; Family &amp; education; Treatment &amp; support</x:v>
      </x:c>
      <x:c r="G519" s="28" t="str">
        <x:v>Childhood</x:v>
      </x:c>
      <x:c r="H519" s="28" t="str">
        <x:v>Later specialized</x:v>
      </x:c>
      <x:c r="I519" s="28" t="str">
        <x:v>Direct or strongly ADHD-related record retained for later screening; typically narrower treatment, biomarker, mechanistic, or single-comorbidity focus.</x:v>
      </x:c>
      <x:c r="J519" s="38" t="e">
        <x:f>HYPERLINK("https://pubmed.ncbi.nlm.nih.gov/"&amp;C519&amp;"/","Open PubMed")</x:f>
        <x:v>HYPERLINK is not implemented. linkLocation=https://pubmed.ncbi.nlm.nih.gov/20848762/, friendlyName=Open PubMed</x:v>
      </x:c>
    </x:row>
    <x:row r="520">
      <x:c r="A520" s="26" t="str">
        <x:v>PUBMED-21123400</x:v>
      </x:c>
      <x:c r="B520" s="26" t="n">
        <x:v>2010</x:v>
      </x:c>
      <x:c r="C520" s="26" t="str">
        <x:v>21123400</x:v>
      </x:c>
      <x:c r="D520" s="28" t="str">
        <x:v>Personal accounts: the psychiatrist-mom: added stigmatization when children have ADHD.</x:v>
      </x:c>
      <x:c r="E520" s="28" t="str">
        <x:v>Primary/contextual journal article</x:v>
      </x:c>
      <x:c r="F520" s="28" t="str">
        <x:v>Development &amp; presentation; Family &amp; education; Social &amp; structural; Treatment &amp; support</x:v>
      </x:c>
      <x:c r="G520" s="28" t="str">
        <x:v>Childhood</x:v>
      </x:c>
      <x:c r="H520" s="28" t="str">
        <x:v>Later specialized</x:v>
      </x:c>
      <x:c r="I520" s="28" t="str">
        <x:v>Direct or strongly ADHD-related record retained for later screening; typically narrower treatment, biomarker, mechanistic, or single-comorbidity focus.</x:v>
      </x:c>
      <x:c r="J520" s="38" t="e">
        <x:f>HYPERLINK("https://pubmed.ncbi.nlm.nih.gov/"&amp;C520&amp;"/","Open PubMed")</x:f>
        <x:v>HYPERLINK is not implemented. linkLocation=https://pubmed.ncbi.nlm.nih.gov/21123400/, friendlyName=Open PubMed</x:v>
      </x:c>
    </x:row>
    <x:row r="521">
      <x:c r="A521" s="26" t="str">
        <x:v>PUBMED-21156991</x:v>
      </x:c>
      <x:c r="B521" s="26" t="n">
        <x:v>2010</x:v>
      </x:c>
      <x:c r="C521" s="26" t="str">
        <x:v>21156991</x:v>
      </x:c>
      <x:c r="D521" s="28" t="str">
        <x:v>[Genetic factors in obsessive-compulsive disorder: summary of genetic studies].</x:v>
      </x:c>
      <x:c r="E521" s="28" t="str">
        <x:v>Evidence synthesis - review</x:v>
      </x:c>
      <x:c r="F521" s="28" t="str">
        <x:v>Development &amp; presentation; Recognition &amp; diagnosis; Family &amp; education; Social &amp; structural; Environmental &amp; lifestyle</x:v>
      </x:c>
      <x:c r="G521" s="28" t="str">
        <x:v>Childhood; Adolescence; Adulthood</x:v>
      </x:c>
      <x:c r="H521" s="28" t="str">
        <x:v>Exclude/incidental</x:v>
      </x:c>
      <x:c r="I521" s="28" t="str">
        <x:v>ADHD appears peripheral or insufficiently aligned with the requested corpus scope based on accessible metadata/abstract.</x:v>
      </x:c>
      <x:c r="J521" s="38" t="e">
        <x:f>HYPERLINK("https://pubmed.ncbi.nlm.nih.gov/"&amp;C521&amp;"/","Open PubMed")</x:f>
        <x:v>HYPERLINK is not implemented. linkLocation=https://pubmed.ncbi.nlm.nih.gov/21156991/, friendlyName=Open PubMed</x:v>
      </x:c>
    </x:row>
    <x:row r="522">
      <x:c r="A522" s="26" t="str">
        <x:v>PUBMED-21089562</x:v>
      </x:c>
      <x:c r="B522" s="26" t="n">
        <x:v>2010</x:v>
      </x:c>
      <x:c r="C522" s="26" t="str">
        <x:v>21089562</x:v>
      </x:c>
      <x:c r="D522" s="28" t="str">
        <x:v>[The genetic origin of hyperactivity disorder].</x:v>
      </x:c>
      <x:c r="E522" s="28" t="str">
        <x:v>Primary/contextual journal article</x:v>
      </x:c>
      <x:c r="F522" s="28" t="str">
        <x:v>Development &amp; presentation</x:v>
      </x:c>
      <x:c r="G522" s="28" t="str">
        <x:v>Not specified</x:v>
      </x:c>
      <x:c r="H522" s="28" t="str">
        <x:v>Later specialized</x:v>
      </x:c>
      <x:c r="I522" s="28" t="str">
        <x:v>Direct or strongly ADHD-related record retained for later screening; typically narrower treatment, biomarker, mechanistic, or single-comorbidity focus.</x:v>
      </x:c>
      <x:c r="J522" s="38" t="e">
        <x:f>HYPERLINK("https://pubmed.ncbi.nlm.nih.gov/"&amp;C522&amp;"/","Open PubMed")</x:f>
        <x:v>HYPERLINK is not implemented. linkLocation=https://pubmed.ncbi.nlm.nih.gov/21089562/, friendlyName=Open PubMed</x:v>
      </x:c>
    </x:row>
    <x:row r="523">
      <x:c r="A523" s="26" t="str">
        <x:v>PUBMED-20957778</x:v>
      </x:c>
      <x:c r="B523" s="26" t="n">
        <x:v>2010</x:v>
      </x:c>
      <x:c r="C523" s="26" t="str">
        <x:v>20957778</x:v>
      </x:c>
      <x:c r="D523" s="28" t="str">
        <x:v>[Neuropsychological issues in child psychology and child psychiatry].</x:v>
      </x:c>
      <x:c r="E523" s="28" t="str">
        <x:v>Primary/contextual journal article</x:v>
      </x:c>
      <x:c r="F523" s="28" t="str">
        <x:v>Development &amp; presentation; Recognition &amp; diagnosis; Family &amp; education; Social &amp; structural; Treatment &amp; support; Life outcomes &amp; lived experience</x:v>
      </x:c>
      <x:c r="G523" s="28" t="str">
        <x:v>Childhood</x:v>
      </x:c>
      <x:c r="H523" s="28" t="str">
        <x:v>Exclude/incidental</x:v>
      </x:c>
      <x:c r="I523" s="28" t="str">
        <x:v>ADHD appears peripheral or insufficiently aligned with the requested corpus scope based on accessible metadata/abstract.</x:v>
      </x:c>
      <x:c r="J523" s="38" t="e">
        <x:f>HYPERLINK("https://pubmed.ncbi.nlm.nih.gov/"&amp;C523&amp;"/","Open PubMed")</x:f>
        <x:v>HYPERLINK is not implemented. linkLocation=https://pubmed.ncbi.nlm.nih.gov/20957778/, friendlyName=Open PubMed</x:v>
      </x:c>
    </x:row>
    <x:row r="524">
      <x:c r="A524" s="26" t="str">
        <x:v>PUBMED-21135234</x:v>
      </x:c>
      <x:c r="B524" s="26" t="n">
        <x:v>2010</x:v>
      </x:c>
      <x:c r="C524" s="26" t="str">
        <x:v>21135234</x:v>
      </x:c>
      <x:c r="D524" s="28" t="str">
        <x:v>Homeostatic regulation of glutamatergic transmission by dopamine D4 receptors.</x:v>
      </x:c>
      <x:c r="E524" s="28" t="str">
        <x:v>Primary/contextual journal article</x:v>
      </x:c>
      <x:c r="F524" s="28" t="str">
        <x:v>Development &amp; presentation; Social &amp; structural</x:v>
      </x:c>
      <x:c r="G524" s="28" t="str">
        <x:v>Not specified</x:v>
      </x:c>
      <x:c r="H524" s="28" t="str">
        <x:v>Exclude/incidental</x:v>
      </x:c>
      <x:c r="I524" s="28" t="str">
        <x:v>ADHD appears peripheral or insufficiently aligned with the requested corpus scope based on accessible metadata/abstract.</x:v>
      </x:c>
      <x:c r="J524" s="38" t="e">
        <x:f>HYPERLINK("https://pubmed.ncbi.nlm.nih.gov/"&amp;C524&amp;"/","Open PubMed")</x:f>
        <x:v>HYPERLINK is not implemented. linkLocation=https://pubmed.ncbi.nlm.nih.gov/21135234/, friendlyName=Open PubMed</x:v>
      </x:c>
    </x:row>
    <x:row r="525">
      <x:c r="A525" s="26" t="str">
        <x:v>PUBMED-21166258</x:v>
      </x:c>
      <x:c r="B525" s="26" t="n">
        <x:v>2010</x:v>
      </x:c>
      <x:c r="C525" s="26" t="str">
        <x:v>21166258</x:v>
      </x:c>
      <x:c r="D525" s="28" t="str">
        <x:v>[Characteristics of sleep disorders complicating mental diseases of children].</x:v>
      </x:c>
      <x:c r="E525" s="28" t="str">
        <x:v>Primary/contextual journal article</x:v>
      </x:c>
      <x:c r="F525" s="28" t="str">
        <x:v>Development &amp; presentation; Social &amp; structural; Environmental &amp; lifestyle</x:v>
      </x:c>
      <x:c r="G525" s="28" t="str">
        <x:v>Childhood</x:v>
      </x:c>
      <x:c r="H525" s="28" t="str">
        <x:v>Exclude/incidental</x:v>
      </x:c>
      <x:c r="I525" s="28" t="str">
        <x:v>ADHD appears peripheral or insufficiently aligned with the requested corpus scope based on accessible metadata/abstract.</x:v>
      </x:c>
      <x:c r="J525" s="38" t="e">
        <x:f>HYPERLINK("https://pubmed.ncbi.nlm.nih.gov/"&amp;C525&amp;"/","Open PubMed")</x:f>
        <x:v>HYPERLINK is not implemented. linkLocation=https://pubmed.ncbi.nlm.nih.gov/21166258/, friendlyName=Open PubMed</x:v>
      </x:c>
    </x:row>
    <x:row r="526">
      <x:c r="A526" s="26" t="str">
        <x:v>PUBMED-21319448</x:v>
      </x:c>
      <x:c r="B526" s="26" t="n">
        <x:v>2010</x:v>
      </x:c>
      <x:c r="C526" s="26" t="str">
        <x:v>21319448</x:v>
      </x:c>
      <x:c r="D526" s="28" t="str">
        <x:v>Coming into focus. Pharmacologic treatment for ADHD.</x:v>
      </x:c>
      <x:c r="E526" s="28" t="str">
        <x:v>Primary/contextual journal article</x:v>
      </x:c>
      <x:c r="F526" s="28" t="str">
        <x:v>Development &amp; presentation; Recognition &amp; diagnosis; Social &amp; structural; Treatment &amp; support</x:v>
      </x:c>
      <x:c r="G526" s="28" t="str">
        <x:v>Childhood</x:v>
      </x:c>
      <x:c r="H526" s="28" t="str">
        <x:v>Later specialized</x:v>
      </x:c>
      <x:c r="I526" s="28" t="str">
        <x:v>Direct or strongly ADHD-related record retained for later screening; typically narrower treatment, biomarker, mechanistic, or single-comorbidity focus.</x:v>
      </x:c>
      <x:c r="J526" s="38" t="e">
        <x:f>HYPERLINK("https://pubmed.ncbi.nlm.nih.gov/"&amp;C526&amp;"/","Open PubMed")</x:f>
        <x:v>HYPERLINK is not implemented. linkLocation=https://pubmed.ncbi.nlm.nih.gov/21319448/, friendlyName=Open PubMed</x:v>
      </x:c>
    </x:row>
    <x:row r="527">
      <x:c r="A527" s="26" t="str">
        <x:v>PUBMED-21539132</x:v>
      </x:c>
      <x:c r="B527" s="26" t="n">
        <x:v>2010</x:v>
      </x:c>
      <x:c r="C527" s="26" t="str">
        <x:v>21539132</x:v>
      </x:c>
      <x:c r="D527" s="28" t="str">
        <x:v>New Zealand general practice should adopt population-based screening for attention deficit hyperactivity disorder (ADHD): no.</x:v>
      </x:c>
      <x:c r="E527" s="28" t="str">
        <x:v>Contextual - editorial/comment</x:v>
      </x:c>
      <x:c r="F527" s="28" t="str">
        <x:v>Development &amp; presentation; Recognition &amp; diagnosis; Family &amp; education; Social &amp; structural; Treatment &amp; support</x:v>
      </x:c>
      <x:c r="G527" s="28" t="str">
        <x:v>Not specified</x:v>
      </x:c>
      <x:c r="H527" s="28" t="str">
        <x:v>Later specialized</x:v>
      </x:c>
      <x:c r="I527" s="28" t="str">
        <x:v>Direct or strongly ADHD-related record retained for later screening; typically narrower treatment, biomarker, mechanistic, or single-comorbidity focus.</x:v>
      </x:c>
      <x:c r="J527" s="38" t="e">
        <x:f>HYPERLINK("https://pubmed.ncbi.nlm.nih.gov/"&amp;C527&amp;"/","Open PubMed")</x:f>
        <x:v>HYPERLINK is not implemented. linkLocation=https://pubmed.ncbi.nlm.nih.gov/21539132/, friendlyName=Open PubMed</x:v>
      </x:c>
    </x:row>
    <x:row r="528">
      <x:c r="A528" s="26" t="str">
        <x:v>PUBMED-20858310</x:v>
      </x:c>
      <x:c r="B528" s="26" t="n">
        <x:v>2010</x:v>
      </x:c>
      <x:c r="C528" s="26" t="str">
        <x:v>20858310</x:v>
      </x:c>
      <x:c r="D528" s="28" t="str">
        <x:v>[Substitution of dexamethasone for dexamphetamine due to their written and spoken similarity].</x:v>
      </x:c>
      <x:c r="E528" s="28" t="str">
        <x:v>Primary/contextual journal article</x:v>
      </x:c>
      <x:c r="F528" s="28" t="str">
        <x:v>Development &amp; presentation; Recognition &amp; diagnosis; Social &amp; structural; Treatment &amp; support</x:v>
      </x:c>
      <x:c r="G528" s="28" t="str">
        <x:v>Childhood; Adolescence</x:v>
      </x:c>
      <x:c r="H528" s="28" t="str">
        <x:v>Later specialized</x:v>
      </x:c>
      <x:c r="I528" s="28" t="str">
        <x:v>Direct or strongly ADHD-related record retained for later screening; typically narrower treatment, biomarker, mechanistic, or single-comorbidity focus.</x:v>
      </x:c>
      <x:c r="J528" s="38" t="e">
        <x:f>HYPERLINK("https://pubmed.ncbi.nlm.nih.gov/"&amp;C528&amp;"/","Open PubMed")</x:f>
        <x:v>HYPERLINK is not implemented. linkLocation=https://pubmed.ncbi.nlm.nih.gov/20858310/, friendlyName=Open PubMed</x:v>
      </x:c>
    </x:row>
    <x:row r="529">
      <x:c r="A529" s="26" t="str">
        <x:v>PUBMED-20978275</x:v>
      </x:c>
      <x:c r="B529" s="26" t="n">
        <x:v>2010</x:v>
      </x:c>
      <x:c r="C529" s="26" t="str">
        <x:v>20978275</x:v>
      </x:c>
      <x:c r="D529" s="28" t="str">
        <x:v>Research on cytogenetic risk of ADHD treatments in children.</x:v>
      </x:c>
      <x:c r="E529" s="28" t="str">
        <x:v>Other/unclear</x:v>
      </x:c>
      <x:c r="F529" s="28" t="str">
        <x:v>Development &amp; presentation; Social &amp; structural; Treatment &amp; support</x:v>
      </x:c>
      <x:c r="G529" s="28" t="str">
        <x:v>Childhood</x:v>
      </x:c>
      <x:c r="H529" s="28" t="str">
        <x:v>Later specialized</x:v>
      </x:c>
      <x:c r="I529" s="28" t="str">
        <x:v>Direct or strongly ADHD-related record retained for later screening; typically narrower treatment, biomarker, mechanistic, or single-comorbidity focus.</x:v>
      </x:c>
      <x:c r="J529" s="38" t="e">
        <x:f>HYPERLINK("https://pubmed.ncbi.nlm.nih.gov/"&amp;C529&amp;"/","Open PubMed")</x:f>
        <x:v>HYPERLINK is not implemented. linkLocation=https://pubmed.ncbi.nlm.nih.gov/20978275/, friendlyName=Open PubMed</x:v>
      </x:c>
    </x:row>
    <x:row r="530">
      <x:c r="A530" s="26" t="str">
        <x:v>PUBMED-21077394</x:v>
      </x:c>
      <x:c r="B530" s="26" t="n">
        <x:v>2010</x:v>
      </x:c>
      <x:c r="C530" s="26" t="str">
        <x:v>21077394</x:v>
      </x:c>
      <x:c r="D530" s="28" t="str">
        <x:v>[Eating disorder associated with developmental dysfunction].</x:v>
      </x:c>
      <x:c r="E530" s="28" t="str">
        <x:v>Primary/contextual journal article</x:v>
      </x:c>
      <x:c r="F530" s="28" t="str">
        <x:v>Development &amp; presentation; Social &amp; structural</x:v>
      </x:c>
      <x:c r="G530" s="28" t="str">
        <x:v>Childhood; Adulthood</x:v>
      </x:c>
      <x:c r="H530" s="28" t="str">
        <x:v>Exclude/incidental</x:v>
      </x:c>
      <x:c r="I530" s="28" t="str">
        <x:v>ADHD appears peripheral or insufficiently aligned with the requested corpus scope based on accessible metadata/abstract.</x:v>
      </x:c>
      <x:c r="J530" s="38" t="e">
        <x:f>HYPERLINK("https://pubmed.ncbi.nlm.nih.gov/"&amp;C530&amp;"/","Open PubMed")</x:f>
        <x:v>HYPERLINK is not implemented. linkLocation=https://pubmed.ncbi.nlm.nih.gov/21077394/, friendlyName=Open PubMed</x:v>
      </x:c>
    </x:row>
    <x:row r="531">
      <x:c r="A531" s="26" t="str">
        <x:v>PUBMED-21063274</x:v>
      </x:c>
      <x:c r="B531" s="26" t="n">
        <x:v>2010</x:v>
      </x:c>
      <x:c r="C531" s="26" t="str">
        <x:v>21063274</x:v>
      </x:c>
      <x:c r="D531" s="28" t="str">
        <x:v>Increasing prevalence of parent-reported attention-deficit/hyperactivity disorder among children --- United States, 2003 and 2007.</x:v>
      </x:c>
      <x:c r="E531" s="28" t="str">
        <x:v>Primary/contextual journal article</x:v>
      </x:c>
      <x:c r="F531" s="28" t="str">
        <x:v>Development &amp; presentation; Recognition &amp; diagnosis; Family &amp; education; Social &amp; structural; Treatment &amp; support</x:v>
      </x:c>
      <x:c r="G531" s="28" t="str">
        <x:v>Childhood; Adolescence; Adulthood</x:v>
      </x:c>
      <x:c r="H531" s="28" t="str">
        <x:v>Later specialized</x:v>
      </x:c>
      <x:c r="I531" s="28" t="str">
        <x:v>Direct or strongly ADHD-related record retained for later screening; typically narrower treatment, biomarker, mechanistic, or single-comorbidity focus.</x:v>
      </x:c>
      <x:c r="J531" s="38" t="e">
        <x:f>HYPERLINK("https://pubmed.ncbi.nlm.nih.gov/"&amp;C531&amp;"/","Open PubMed")</x:f>
        <x:v>HYPERLINK is not implemented. linkLocation=https://pubmed.ncbi.nlm.nih.gov/21063274/, friendlyName=Open PubMed</x:v>
      </x:c>
    </x:row>
    <x:row r="532">
      <x:c r="A532" s="26" t="str">
        <x:v>PUBMED-20883582</x:v>
      </x:c>
      <x:c r="B532" s="26" t="n">
        <x:v>2010</x:v>
      </x:c>
      <x:c r="C532" s="26" t="str">
        <x:v>20883582</x:v>
      </x:c>
      <x:c r="D532" s="28" t="str">
        <x:v>Developmental processes in peer problems of children with attention-deficit/hyperactivity disorder in the Multimodal Treatment Study of Children With ADHD: developmental cascades and vicious cycles.</x:v>
      </x:c>
      <x:c r="E532" s="28" t="str">
        <x:v>Primary study - randomized controlled trial</x:v>
      </x:c>
      <x:c r="F532" s="28" t="str">
        <x:v>Development &amp; presentation; Recognition &amp; diagnosis; Social &amp; structural; Environmental &amp; lifestyle; Treatment &amp; support; Life outcomes &amp; lived experience</x:v>
      </x:c>
      <x:c r="G532" s="28" t="str">
        <x:v>Childhood; Adolescence</x:v>
      </x:c>
      <x:c r="H532" s="28" t="str">
        <x:v>Later specialized</x:v>
      </x:c>
      <x:c r="I532" s="28" t="str">
        <x:v>Direct or strongly ADHD-related record retained for later screening; typically narrower treatment, biomarker, mechanistic, or single-comorbidity focus.</x:v>
      </x:c>
      <x:c r="J532" s="38" t="e">
        <x:f>HYPERLINK("https://pubmed.ncbi.nlm.nih.gov/"&amp;C532&amp;"/","Open PubMed")</x:f>
        <x:v>HYPERLINK is not implemented. linkLocation=https://pubmed.ncbi.nlm.nih.gov/20883582/, friendlyName=Open PubMed</x:v>
      </x:c>
    </x:row>
    <x:row r="533">
      <x:c r="A533" s="26" t="str">
        <x:v>PUBMED-20691935</x:v>
      </x:c>
      <x:c r="B533" s="26" t="n">
        <x:v>2010</x:v>
      </x:c>
      <x:c r="C533" s="26" t="str">
        <x:v>20691935</x:v>
      </x:c>
      <x:c r="D533" s="28" t="str">
        <x:v>Recognition of impaired atomoxetine metabolism because of low CYP2D6 activity.</x:v>
      </x:c>
      <x:c r="E533" s="28" t="str">
        <x:v>Primary/contextual journal article</x:v>
      </x:c>
      <x:c r="F533" s="28" t="str">
        <x:v>Development &amp; presentation; Recognition &amp; diagnosis; Social &amp; structural; Environmental &amp; lifestyle; Treatment &amp; support; Life outcomes &amp; lived experience</x:v>
      </x:c>
      <x:c r="G533" s="28" t="str">
        <x:v>Childhood; Adolescence</x:v>
      </x:c>
      <x:c r="H533" s="28" t="str">
        <x:v>Exclude/incidental</x:v>
      </x:c>
      <x:c r="I533" s="28" t="str">
        <x:v>ADHD appears peripheral or insufficiently aligned with the requested corpus scope based on accessible metadata/abstract.</x:v>
      </x:c>
      <x:c r="J533" s="38" t="e">
        <x:f>HYPERLINK("https://pubmed.ncbi.nlm.nih.gov/"&amp;C533&amp;"/","Open PubMed")</x:f>
        <x:v>HYPERLINK is not implemented. linkLocation=https://pubmed.ncbi.nlm.nih.gov/20691935/, friendlyName=Open PubMed</x:v>
      </x:c>
    </x:row>
    <x:row r="534">
      <x:c r="A534" s="26" t="str">
        <x:v>PUBMED-20688467</x:v>
      </x:c>
      <x:c r="B534" s="26" t="n">
        <x:v>2010</x:v>
      </x:c>
      <x:c r="C534" s="26" t="str">
        <x:v>20688467</x:v>
      </x:c>
      <x:c r="D534" s="28" t="str">
        <x:v>Japanese version of school form of the ADHD-RS: an evaluation of its reliability and validity.</x:v>
      </x:c>
      <x:c r="E534" s="28" t="str">
        <x:v>Primary/contextual journal article</x:v>
      </x:c>
      <x:c r="F534" s="28" t="str">
        <x:v>Development &amp; presentation; Recognition &amp; diagnosis; Family &amp; education; Social &amp; structural</x:v>
      </x:c>
      <x:c r="G534" s="28" t="str">
        <x:v>Childhood</x:v>
      </x:c>
      <x:c r="H534" s="28" t="str">
        <x:v>Later specialized</x:v>
      </x:c>
      <x:c r="I534" s="28" t="str">
        <x:v>Direct or strongly ADHD-related record retained for later screening; typically narrower treatment, biomarker, mechanistic, or single-comorbidity focus.</x:v>
      </x:c>
      <x:c r="J534" s="38" t="e">
        <x:f>HYPERLINK("https://pubmed.ncbi.nlm.nih.gov/"&amp;C534&amp;"/","Open PubMed")</x:f>
        <x:v>HYPERLINK is not implemented. linkLocation=https://pubmed.ncbi.nlm.nih.gov/20688467/, friendlyName=Open PubMed</x:v>
      </x:c>
    </x:row>
    <x:row r="535">
      <x:c r="A535" s="26" t="str">
        <x:v>PUBMED-20680193</x:v>
      </x:c>
      <x:c r="B535" s="26" t="n">
        <x:v>2010</x:v>
      </x:c>
      <x:c r="C535" s="26" t="str">
        <x:v>20680193</x:v>
      </x:c>
      <x:c r="D535" s="28" t="str">
        <x:v>OROS methylphenidate in the treatment of adults with ADHD: a 6-month, open-label, follow-up study.</x:v>
      </x:c>
      <x:c r="E535" s="28" t="str">
        <x:v>Primary study - randomized controlled trial</x:v>
      </x:c>
      <x:c r="F535" s="28" t="str">
        <x:v>Development &amp; presentation; Recognition &amp; diagnosis; Social &amp; structural; Treatment &amp; support; Life outcomes &amp; lived experience</x:v>
      </x:c>
      <x:c r="G535" s="28" t="str">
        <x:v>Adulthood</x:v>
      </x:c>
      <x:c r="H535" s="28" t="str">
        <x:v>Later specialized</x:v>
      </x:c>
      <x:c r="I535" s="28" t="str">
        <x:v>Direct or strongly ADHD-related record retained for later screening; typically narrower treatment, biomarker, mechanistic, or single-comorbidity focus.</x:v>
      </x:c>
      <x:c r="J535" s="38" t="e">
        <x:f>HYPERLINK("https://pubmed.ncbi.nlm.nih.gov/"&amp;C535&amp;"/","Open PubMed")</x:f>
        <x:v>HYPERLINK is not implemented. linkLocation=https://pubmed.ncbi.nlm.nih.gov/20680193/, friendlyName=Open PubMed</x:v>
      </x:c>
    </x:row>
    <x:row r="536">
      <x:c r="A536" s="26" t="str">
        <x:v>PUBMED-20673557</x:v>
      </x:c>
      <x:c r="B536" s="26" t="n">
        <x:v>2010</x:v>
      </x:c>
      <x:c r="C536" s="26" t="str">
        <x:v>20673557</x:v>
      </x:c>
      <x:c r="D536" s="28" t="str">
        <x:v>Effects of atomoxetine with and without behavior therapy on the school and home functioning of children with attention-deficit/hyperactivity disorder.</x:v>
      </x:c>
      <x:c r="E536" s="28" t="str">
        <x:v>Primary study - randomized controlled trial</x:v>
      </x:c>
      <x:c r="F536" s="28" t="str">
        <x:v>Development &amp; presentation; Recognition &amp; diagnosis; Family &amp; education; Social &amp; structural; Treatment &amp; support; Life outcomes &amp; lived experience</x:v>
      </x:c>
      <x:c r="G536" s="28" t="str">
        <x:v>Childhood</x:v>
      </x:c>
      <x:c r="H536" s="28" t="str">
        <x:v>Later specialized</x:v>
      </x:c>
      <x:c r="I536" s="28" t="str">
        <x:v>Direct or strongly ADHD-related record retained for later screening; typically narrower treatment, biomarker, mechanistic, or single-comorbidity focus.</x:v>
      </x:c>
      <x:c r="J536" s="38" t="e">
        <x:f>HYPERLINK("https://pubmed.ncbi.nlm.nih.gov/"&amp;C536&amp;"/","Open PubMed")</x:f>
        <x:v>HYPERLINK is not implemented. linkLocation=https://pubmed.ncbi.nlm.nih.gov/20673557/, friendlyName=Open PubMed</x:v>
      </x:c>
    </x:row>
    <x:row r="537">
      <x:c r="A537" s="26" t="str">
        <x:v>PUBMED-20667287</x:v>
      </x:c>
      <x:c r="B537" s="26" t="n">
        <x:v>2010</x:v>
      </x:c>
      <x:c r="C537" s="26" t="str">
        <x:v>20667287</x:v>
      </x:c>
      <x:c r="D537" s="28" t="str">
        <x:v>Differential diagnosis of adults with ADHD: the role of executive function and self-regulation.</x:v>
      </x:c>
      <x:c r="E537" s="28" t="str">
        <x:v>Primary/contextual journal article</x:v>
      </x:c>
      <x:c r="F537" s="28" t="str">
        <x:v>Development &amp; presentation; Recognition &amp; diagnosis; Social &amp; structural</x:v>
      </x:c>
      <x:c r="G537" s="28" t="str">
        <x:v>Adulthood</x:v>
      </x:c>
      <x:c r="H537" s="28" t="str">
        <x:v>Later specialized</x:v>
      </x:c>
      <x:c r="I537" s="28" t="str">
        <x:v>Direct or strongly ADHD-related record retained for later screening; typically narrower treatment, biomarker, mechanistic, or single-comorbidity focus.</x:v>
      </x:c>
      <x:c r="J537" s="38" t="e">
        <x:f>HYPERLINK("https://pubmed.ncbi.nlm.nih.gov/"&amp;C537&amp;"/","Open PubMed")</x:f>
        <x:v>HYPERLINK is not implemented. linkLocation=https://pubmed.ncbi.nlm.nih.gov/20667287/, friendlyName=Open PubMed</x:v>
      </x:c>
    </x:row>
    <x:row r="538">
      <x:c r="A538" s="26" t="str">
        <x:v>PUBMED-20654029</x:v>
      </x:c>
      <x:c r="B538" s="26" t="n">
        <x:v>2010</x:v>
      </x:c>
      <x:c r="C538" s="26" t="str">
        <x:v>20654029</x:v>
      </x:c>
      <x:c r="D538" s="28" t="str">
        <x:v>[Pay attention to the comorbidity of attention deficit hyperactivity disorder].</x:v>
      </x:c>
      <x:c r="E538" s="28" t="str">
        <x:v>Primary/contextual journal article</x:v>
      </x:c>
      <x:c r="F538" s="28" t="str">
        <x:v>Development &amp; presentation</x:v>
      </x:c>
      <x:c r="G538" s="28" t="str">
        <x:v>Childhood</x:v>
      </x:c>
      <x:c r="H538" s="28" t="str">
        <x:v>Later specialized</x:v>
      </x:c>
      <x:c r="I538" s="28" t="str">
        <x:v>Direct or strongly ADHD-related record retained for later screening; typically narrower treatment, biomarker, mechanistic, or single-comorbidity focus.</x:v>
      </x:c>
      <x:c r="J538" s="38" t="e">
        <x:f>HYPERLINK("https://pubmed.ncbi.nlm.nih.gov/"&amp;C538&amp;"/","Open PubMed")</x:f>
        <x:v>HYPERLINK is not implemented. linkLocation=https://pubmed.ncbi.nlm.nih.gov/20654029/, friendlyName=Open PubMed</x:v>
      </x:c>
    </x:row>
    <x:row r="539">
      <x:c r="A539" s="26" t="str">
        <x:v>PUBMED-20645855</x:v>
      </x:c>
      <x:c r="B539" s="26" t="n">
        <x:v>2010</x:v>
      </x:c>
      <x:c r="C539" s="26" t="str">
        <x:v>20645855</x:v>
      </x:c>
      <x:c r="D539" s="28" t="str">
        <x:v>Lexical and grammatical development in a child with cochlear implant and attention deficit: A case study.</x:v>
      </x:c>
      <x:c r="E539" s="28" t="str">
        <x:v>Primary/contextual journal article</x:v>
      </x:c>
      <x:c r="F539" s="28" t="str">
        <x:v>Development &amp; presentation; Recognition &amp; diagnosis; Family &amp; education; Social &amp; structural; Treatment &amp; support</x:v>
      </x:c>
      <x:c r="G539" s="28" t="str">
        <x:v>Childhood</x:v>
      </x:c>
      <x:c r="H539" s="28" t="str">
        <x:v>Later specialized</x:v>
      </x:c>
      <x:c r="I539" s="28" t="str">
        <x:v>Direct or strongly ADHD-related record retained for later screening; typically narrower treatment, biomarker, mechanistic, or single-comorbidity focus.</x:v>
      </x:c>
      <x:c r="J539" s="38" t="e">
        <x:f>HYPERLINK("https://pubmed.ncbi.nlm.nih.gov/"&amp;C539&amp;"/","Open PubMed")</x:f>
        <x:v>HYPERLINK is not implemented. linkLocation=https://pubmed.ncbi.nlm.nih.gov/20645855/, friendlyName=Open PubMed</x:v>
      </x:c>
    </x:row>
    <x:row r="540">
      <x:c r="A540" s="26" t="str">
        <x:v>PUBMED-20634041</x:v>
      </x:c>
      <x:c r="B540" s="26" t="n">
        <x:v>2010</x:v>
      </x:c>
      <x:c r="C540" s="26" t="str">
        <x:v>20634041</x:v>
      </x:c>
      <x:c r="D540" s="28" t="str">
        <x:v>The ESSENCE in child psychiatry: Early Symptomatic Syndromes Eliciting Neurodevelopmental Clinical Examinations.</x:v>
      </x:c>
      <x:c r="E540" s="28" t="str">
        <x:v>Primary/contextual journal article</x:v>
      </x:c>
      <x:c r="F540" s="28" t="str">
        <x:v>Development &amp; presentation; Recognition &amp; diagnosis; Family &amp; education; Social &amp; structural; Environmental &amp; lifestyle; Treatment &amp; support; Life outcomes &amp; lived experience</x:v>
      </x:c>
      <x:c r="G540" s="28" t="str">
        <x:v>Childhood</x:v>
      </x:c>
      <x:c r="H540" s="28" t="str">
        <x:v>Exclude/incidental</x:v>
      </x:c>
      <x:c r="I540" s="28" t="str">
        <x:v>ADHD appears peripheral or insufficiently aligned with the requested corpus scope based on accessible metadata/abstract.</x:v>
      </x:c>
      <x:c r="J540" s="38" t="e">
        <x:f>HYPERLINK("https://pubmed.ncbi.nlm.nih.gov/"&amp;C540&amp;"/","Open PubMed")</x:f>
        <x:v>HYPERLINK is not implemented. linkLocation=https://pubmed.ncbi.nlm.nih.gov/20634041/, friendlyName=Open PubMed</x:v>
      </x:c>
    </x:row>
    <x:row r="541">
      <x:c r="A541" s="26" t="str">
        <x:v>PUBMED-20633268</x:v>
      </x:c>
      <x:c r="B541" s="26" t="n">
        <x:v>2010</x:v>
      </x:c>
      <x:c r="C541" s="26" t="str">
        <x:v>20633268</x:v>
      </x:c>
      <x:c r="D541" s="28" t="str">
        <x:v>Does the cortisol response to stress mediate the link between expressed emotion and oppositional behavior in Attention-Deficit/Hyperactivity-Disorder (ADHD)?</x:v>
      </x:c>
      <x:c r="E541" s="28" t="str">
        <x:v>Primary study - randomized controlled trial</x:v>
      </x:c>
      <x:c r="F541" s="28" t="str">
        <x:v>Development &amp; presentation; Family &amp; education; Social &amp; structural; Environmental &amp; lifestyle</x:v>
      </x:c>
      <x:c r="G541" s="28" t="str">
        <x:v>Childhood; Adulthood</x:v>
      </x:c>
      <x:c r="H541" s="28" t="str">
        <x:v>Later specialized</x:v>
      </x:c>
      <x:c r="I541" s="28" t="str">
        <x:v>Direct or strongly ADHD-related record retained for later screening; typically narrower treatment, biomarker, mechanistic, or single-comorbidity focus.</x:v>
      </x:c>
      <x:c r="J541" s="38" t="e">
        <x:f>HYPERLINK("https://pubmed.ncbi.nlm.nih.gov/"&amp;C541&amp;"/","Open PubMed")</x:f>
        <x:v>HYPERLINK is not implemented. linkLocation=https://pubmed.ncbi.nlm.nih.gov/20633268/, friendlyName=Open PubMed</x:v>
      </x:c>
    </x:row>
    <x:row r="542">
      <x:c r="A542" s="26" t="str">
        <x:v>PUBMED-20630538</x:v>
      </x:c>
      <x:c r="B542" s="26" t="n">
        <x:v>2010</x:v>
      </x:c>
      <x:c r="C542" s="26" t="str">
        <x:v>20630538</x:v>
      </x:c>
      <x:c r="D542" s="28" t="str">
        <x:v>Parental ADHD status and its association with proband ADHD subtype and severity.</x:v>
      </x:c>
      <x:c r="E542" s="28" t="str">
        <x:v>Primary/contextual journal article</x:v>
      </x:c>
      <x:c r="F542" s="28" t="str">
        <x:v>Development &amp; presentation; Recognition &amp; diagnosis; Family &amp; education</x:v>
      </x:c>
      <x:c r="G542" s="28" t="str">
        <x:v>Childhood</x:v>
      </x:c>
      <x:c r="H542" s="28" t="str">
        <x:v>Later specialized</x:v>
      </x:c>
      <x:c r="I542" s="28" t="str">
        <x:v>Direct or strongly ADHD-related record retained for later screening; typically narrower treatment, biomarker, mechanistic, or single-comorbidity focus.</x:v>
      </x:c>
      <x:c r="J542" s="38" t="e">
        <x:f>HYPERLINK("https://pubmed.ncbi.nlm.nih.gov/"&amp;C542&amp;"/","Open PubMed")</x:f>
        <x:v>HYPERLINK is not implemented. linkLocation=https://pubmed.ncbi.nlm.nih.gov/20630538/, friendlyName=Open PubMed</x:v>
      </x:c>
    </x:row>
    <x:row r="543">
      <x:c r="A543" s="26" t="str">
        <x:v>PUBMED-20625364</x:v>
      </x:c>
      <x:c r="B543" s="26" t="n">
        <x:v>2010</x:v>
      </x:c>
      <x:c r="C543" s="26" t="str">
        <x:v>20625364</x:v>
      </x:c>
      <x:c r="D543" s="28" t="str">
        <x:v>A randomized, double-blind, multicenter, parallel-group, placebo-controlled, dose-optimization study of the methylphenidate transdermal system for the treatment of ADHD in adolescents.</x:v>
      </x:c>
      <x:c r="E543" s="28" t="str">
        <x:v>Primary study - randomized controlled trial</x:v>
      </x:c>
      <x:c r="F543" s="28" t="str">
        <x:v>Development &amp; presentation; Recognition &amp; diagnosis; Social &amp; structural; Treatment &amp; support; Life outcomes &amp; lived experience</x:v>
      </x:c>
      <x:c r="G543" s="28" t="str">
        <x:v>Adolescence</x:v>
      </x:c>
      <x:c r="H543" s="28" t="str">
        <x:v>Later specialized</x:v>
      </x:c>
      <x:c r="I543" s="28" t="str">
        <x:v>Direct or strongly ADHD-related record retained for later screening; typically narrower treatment, biomarker, mechanistic, or single-comorbidity focus.</x:v>
      </x:c>
      <x:c r="J543" s="38" t="e">
        <x:f>HYPERLINK("https://pubmed.ncbi.nlm.nih.gov/"&amp;C543&amp;"/","Open PubMed")</x:f>
        <x:v>HYPERLINK is not implemented. linkLocation=https://pubmed.ncbi.nlm.nih.gov/20625364/, friendlyName=Open PubMed</x:v>
      </x:c>
    </x:row>
    <x:row r="544">
      <x:c r="A544" s="26" t="str">
        <x:v>PUBMED-20624025</x:v>
      </x:c>
      <x:c r="B544" s="26" t="n">
        <x:v>2010</x:v>
      </x:c>
      <x:c r="C544" s="26" t="str">
        <x:v>20624025</x:v>
      </x:c>
      <x:c r="D544" s="28" t="str">
        <x:v>Newly approved once-daily formulations of medications for the treatment of Attention Deficit (Hyperactivity) Disorder (ADHD) in children and adolescents.</x:v>
      </x:c>
      <x:c r="E544" s="28" t="str">
        <x:v>Primary/contextual journal article</x:v>
      </x:c>
      <x:c r="F544" s="28" t="str">
        <x:v>Development &amp; presentation; Social &amp; structural; Environmental &amp; lifestyle; Treatment &amp; support</x:v>
      </x:c>
      <x:c r="G544" s="28" t="str">
        <x:v>Childhood; Adolescence</x:v>
      </x:c>
      <x:c r="H544" s="28" t="str">
        <x:v>Later specialized</x:v>
      </x:c>
      <x:c r="I544" s="28" t="str">
        <x:v>Direct or strongly ADHD-related record retained for later screening; typically narrower treatment, biomarker, mechanistic, or single-comorbidity focus.</x:v>
      </x:c>
      <x:c r="J544" s="38" t="e">
        <x:f>HYPERLINK("https://pubmed.ncbi.nlm.nih.gov/"&amp;C544&amp;"/","Open PubMed")</x:f>
        <x:v>HYPERLINK is not implemented. linkLocation=https://pubmed.ncbi.nlm.nih.gov/20624025/, friendlyName=Open PubMed</x:v>
      </x:c>
    </x:row>
    <x:row r="545">
      <x:c r="A545" s="26" t="str">
        <x:v>PUBMED-20620025</x:v>
      </x:c>
      <x:c r="B545" s="26" t="n">
        <x:v>2010</x:v>
      </x:c>
      <x:c r="C545" s="26" t="str">
        <x:v>20620025</x:v>
      </x:c>
      <x:c r="D545" s="28" t="str">
        <x:v>Brain imaging findings in children and adolescents with mental disorders: a cross-sectional review.</x:v>
      </x:c>
      <x:c r="E545" s="28" t="str">
        <x:v>Evidence synthesis - meta-analysis</x:v>
      </x:c>
      <x:c r="F545" s="28" t="str">
        <x:v>Development &amp; presentation; Recognition &amp; diagnosis; Social &amp; structural; Environmental &amp; lifestyle</x:v>
      </x:c>
      <x:c r="G545" s="28" t="str">
        <x:v>Childhood; Adolescence</x:v>
      </x:c>
      <x:c r="H545" s="28" t="str">
        <x:v>Exclude/incidental</x:v>
      </x:c>
      <x:c r="I545" s="28" t="str">
        <x:v>ADHD appears peripheral or insufficiently aligned with the requested corpus scope based on accessible metadata/abstract.</x:v>
      </x:c>
      <x:c r="J545" s="38" t="e">
        <x:f>HYPERLINK("https://pubmed.ncbi.nlm.nih.gov/"&amp;C545&amp;"/","Open PubMed")</x:f>
        <x:v>HYPERLINK is not implemented. linkLocation=https://pubmed.ncbi.nlm.nih.gov/20620025/, friendlyName=Open PubMed</x:v>
      </x:c>
    </x:row>
    <x:row r="546">
      <x:c r="A546" s="26" t="str">
        <x:v>PUBMED-20618636</x:v>
      </x:c>
      <x:c r="B546" s="26" t="n">
        <x:v>2010</x:v>
      </x:c>
      <x:c r="C546" s="26" t="str">
        <x:v>20618636</x:v>
      </x:c>
      <x:c r="D546" s="28" t="str">
        <x:v>School nurses in New Jersey: a quantitative inquiry on roles and responsibilities.</x:v>
      </x:c>
      <x:c r="E546" s="28" t="str">
        <x:v>Evidence synthesis - review</x:v>
      </x:c>
      <x:c r="F546" s="28" t="str">
        <x:v>Development &amp; presentation; Family &amp; education; Social &amp; structural; Life outcomes &amp; lived experience</x:v>
      </x:c>
      <x:c r="G546" s="28" t="str">
        <x:v>Not specified</x:v>
      </x:c>
      <x:c r="H546" s="28" t="str">
        <x:v>Exclude/incidental</x:v>
      </x:c>
      <x:c r="I546" s="28" t="str">
        <x:v>ADHD appears peripheral or insufficiently aligned with the requested corpus scope based on accessible metadata/abstract.</x:v>
      </x:c>
      <x:c r="J546" s="38" t="e">
        <x:f>HYPERLINK("https://pubmed.ncbi.nlm.nih.gov/"&amp;C546&amp;"/","Open PubMed")</x:f>
        <x:v>HYPERLINK is not implemented. linkLocation=https://pubmed.ncbi.nlm.nih.gov/20618636/, friendlyName=Open PubMed</x:v>
      </x:c>
    </x:row>
    <x:row r="547">
      <x:c r="A547" s="26" t="str">
        <x:v>PUBMED-20607790</x:v>
      </x:c>
      <x:c r="B547" s="26" t="n">
        <x:v>2010</x:v>
      </x:c>
      <x:c r="C547" s="26" t="str">
        <x:v>20607790</x:v>
      </x:c>
      <x:c r="D547" s="28" t="str">
        <x:v>Analysis of GWAS top hits in ADHD suggests association to two polymorphisms located in genes expressed in the cerebellum.</x:v>
      </x:c>
      <x:c r="E547" s="28" t="str">
        <x:v>Primary study - cohort</x:v>
      </x:c>
      <x:c r="F547" s="28" t="str">
        <x:v>Development &amp; presentation; Recognition &amp; diagnosis; Family &amp; education; Social &amp; structural</x:v>
      </x:c>
      <x:c r="G547" s="28" t="str">
        <x:v>Childhood; Adolescence; Adulthood</x:v>
      </x:c>
      <x:c r="H547" s="28" t="str">
        <x:v>Later specialized</x:v>
      </x:c>
      <x:c r="I547" s="28" t="str">
        <x:v>Direct or strongly ADHD-related record retained for later screening; typically narrower treatment, biomarker, mechanistic, or single-comorbidity focus.</x:v>
      </x:c>
      <x:c r="J547" s="38" t="e">
        <x:f>HYPERLINK("https://pubmed.ncbi.nlm.nih.gov/"&amp;C547&amp;"/","Open PubMed")</x:f>
        <x:v>HYPERLINK is not implemented. linkLocation=https://pubmed.ncbi.nlm.nih.gov/20607790/, friendlyName=Open PubMed</x:v>
      </x:c>
    </x:row>
    <x:row r="548">
      <x:c r="A548" s="26" t="str">
        <x:v>PUBMED-20600184</x:v>
      </x:c>
      <x:c r="B548" s="26" t="n">
        <x:v>2010</x:v>
      </x:c>
      <x:c r="C548" s="26" t="str">
        <x:v>20600184</x:v>
      </x:c>
      <x:c r="D548" s="28" t="str">
        <x:v>Impaired fixation to eyes following amygdala damage arises from abnormal bottom-up attention.</x:v>
      </x:c>
      <x:c r="E548" s="28" t="str">
        <x:v>Primary/contextual journal article</x:v>
      </x:c>
      <x:c r="F548" s="28" t="str">
        <x:v>Development &amp; presentation; Recognition &amp; diagnosis; Social &amp; structural</x:v>
      </x:c>
      <x:c r="G548" s="28" t="str">
        <x:v>Adulthood</x:v>
      </x:c>
      <x:c r="H548" s="28" t="str">
        <x:v>Later specialized</x:v>
      </x:c>
      <x:c r="I548" s="28" t="str">
        <x:v>Direct or strongly ADHD-related record retained for later screening; typically narrower treatment, biomarker, mechanistic, or single-comorbidity focus.</x:v>
      </x:c>
      <x:c r="J548" s="38" t="e">
        <x:f>HYPERLINK("https://pubmed.ncbi.nlm.nih.gov/"&amp;C548&amp;"/","Open PubMed")</x:f>
        <x:v>HYPERLINK is not implemented. linkLocation=https://pubmed.ncbi.nlm.nih.gov/20600184/, friendlyName=Open PubMed</x:v>
      </x:c>
    </x:row>
    <x:row r="549">
      <x:c r="A549" s="26" t="str">
        <x:v>PUBMED-20592431</x:v>
      </x:c>
      <x:c r="B549" s="26" t="n">
        <x:v>2010</x:v>
      </x:c>
      <x:c r="C549" s="26" t="str">
        <x:v>20592431</x:v>
      </x:c>
      <x:c r="D549" s="28" t="str">
        <x:v>Psychosocial outcome and psychiatric comorbidity in older adolescents with Tourette syndrome: controlled study.</x:v>
      </x:c>
      <x:c r="E549" s="28" t="str">
        <x:v>Primary study - case-control</x:v>
      </x:c>
      <x:c r="F549" s="28" t="str">
        <x:v>Development &amp; presentation; Recognition &amp; diagnosis; Family &amp; education; Social &amp; structural; Life outcomes &amp; lived experience</x:v>
      </x:c>
      <x:c r="G549" s="28" t="str">
        <x:v>Childhood; Adolescence</x:v>
      </x:c>
      <x:c r="H549" s="28" t="str">
        <x:v>Later specialized</x:v>
      </x:c>
      <x:c r="I549" s="28" t="str">
        <x:v>Direct or strongly ADHD-related record retained for later screening; typically narrower treatment, biomarker, mechanistic, or single-comorbidity focus.</x:v>
      </x:c>
      <x:c r="J549" s="38" t="e">
        <x:f>HYPERLINK("https://pubmed.ncbi.nlm.nih.gov/"&amp;C549&amp;"/","Open PubMed")</x:f>
        <x:v>HYPERLINK is not implemented. linkLocation=https://pubmed.ncbi.nlm.nih.gov/20592431/, friendlyName=Open PubMed</x:v>
      </x:c>
    </x:row>
    <x:row r="550">
      <x:c r="A550" s="26" t="str">
        <x:v>PUBMED-20589928</x:v>
      </x:c>
      <x:c r="B550" s="26" t="n">
        <x:v>2010</x:v>
      </x:c>
      <x:c r="C550" s="26" t="str">
        <x:v>20589928</x:v>
      </x:c>
      <x:c r="D550" s="28" t="str">
        <x:v>Behavior abnormality following intravenous immunoglobulin treatment in patients with primary antibody deficiencies.</x:v>
      </x:c>
      <x:c r="E550" s="28" t="str">
        <x:v>Primary/contextual journal article</x:v>
      </x:c>
      <x:c r="F550" s="28" t="str">
        <x:v>Development &amp; presentation; Recognition &amp; diagnosis; Family &amp; education; Social &amp; structural; Treatment &amp; support</x:v>
      </x:c>
      <x:c r="G550" s="28" t="str">
        <x:v>Childhood; Adolescence</x:v>
      </x:c>
      <x:c r="H550" s="28" t="str">
        <x:v>Later specialized</x:v>
      </x:c>
      <x:c r="I550" s="28" t="str">
        <x:v>Direct or strongly ADHD-related record retained for later screening; typically narrower treatment, biomarker, mechanistic, or single-comorbidity focus.</x:v>
      </x:c>
      <x:c r="J550" s="38" t="e">
        <x:f>HYPERLINK("https://pubmed.ncbi.nlm.nih.gov/"&amp;C550&amp;"/","Open PubMed")</x:f>
        <x:v>HYPERLINK is not implemented. linkLocation=https://pubmed.ncbi.nlm.nih.gov/20589928/, friendlyName=Open PubMed</x:v>
      </x:c>
    </x:row>
    <x:row r="551">
      <x:c r="A551" s="26" t="str">
        <x:v>PUBMED-20589568</x:v>
      </x:c>
      <x:c r="B551" s="26" t="n">
        <x:v>2010</x:v>
      </x:c>
      <x:c r="C551" s="26" t="str">
        <x:v>20589568</x:v>
      </x:c>
      <x:c r="D551" s="28" t="str">
        <x:v>Effects of maternal stimulant medication on observed parenting in mother-child dyads with attention-deficit/hyperactivity disorder.</x:v>
      </x:c>
      <x:c r="E551" s="28" t="str">
        <x:v>Primary/contextual journal article</x:v>
      </x:c>
      <x:c r="F551" s="28" t="str">
        <x:v>Development &amp; presentation; Family &amp; education; Social &amp; structural; Treatment &amp; support; Life outcomes &amp; lived experience</x:v>
      </x:c>
      <x:c r="G551" s="28" t="str">
        <x:v>Childhood; Adulthood</x:v>
      </x:c>
      <x:c r="H551" s="28" t="str">
        <x:v>Later specialized</x:v>
      </x:c>
      <x:c r="I551" s="28" t="str">
        <x:v>Direct or strongly ADHD-related record retained for later screening; typically narrower treatment, biomarker, mechanistic, or single-comorbidity focus.</x:v>
      </x:c>
      <x:c r="J551" s="38" t="e">
        <x:f>HYPERLINK("https://pubmed.ncbi.nlm.nih.gov/"&amp;C551&amp;"/","Open PubMed")</x:f>
        <x:v>HYPERLINK is not implemented. linkLocation=https://pubmed.ncbi.nlm.nih.gov/20589568/, friendlyName=Open PubMed</x:v>
      </x:c>
    </x:row>
    <x:row r="552">
      <x:c r="A552" s="26" t="str">
        <x:v>PUBMED-20589542</x:v>
      </x:c>
      <x:c r="B552" s="26" t="n">
        <x:v>2010</x:v>
      </x:c>
      <x:c r="C552" s="26" t="str">
        <x:v>20589542</x:v>
      </x:c>
      <x:c r="D552" s="28" t="str">
        <x:v>A practice-based approach to group identification in nonverbal learning disorders.</x:v>
      </x:c>
      <x:c r="E552" s="28" t="str">
        <x:v>Primary study - qualitative</x:v>
      </x:c>
      <x:c r="F552" s="28" t="str">
        <x:v>Development &amp; presentation; Recognition &amp; diagnosis; Family &amp; education; Social &amp; structural; Environmental &amp; lifestyle; Treatment &amp; support; Life outcomes &amp; lived experience</x:v>
      </x:c>
      <x:c r="G552" s="28" t="str">
        <x:v>Childhood; Adolescence</x:v>
      </x:c>
      <x:c r="H552" s="28" t="str">
        <x:v>Exclude/incidental</x:v>
      </x:c>
      <x:c r="I552" s="28" t="str">
        <x:v>ADHD appears peripheral or insufficiently aligned with the requested corpus scope based on accessible metadata/abstract.</x:v>
      </x:c>
      <x:c r="J552" s="38" t="e">
        <x:f>HYPERLINK("https://pubmed.ncbi.nlm.nih.gov/"&amp;C552&amp;"/","Open PubMed")</x:f>
        <x:v>HYPERLINK is not implemented. linkLocation=https://pubmed.ncbi.nlm.nih.gov/20589542/, friendlyName=Open PubMed</x:v>
      </x:c>
    </x:row>
    <x:row r="553">
      <x:c r="A553" s="26" t="str">
        <x:v>PUBMED-20583294</x:v>
      </x:c>
      <x:c r="B553" s="26" t="n">
        <x:v>2010</x:v>
      </x:c>
      <x:c r="C553" s="26" t="str">
        <x:v>20583294</x:v>
      </x:c>
      <x:c r="D553" s="28" t="str">
        <x:v>ADHD prevalence and association with hoarding behaviors in childhood-onset OCD.</x:v>
      </x:c>
      <x:c r="E553" s="28" t="str">
        <x:v>Primary/contextual journal article</x:v>
      </x:c>
      <x:c r="F553" s="28" t="str">
        <x:v>Development &amp; presentation; Recognition &amp; diagnosis; Social &amp; structural; Life outcomes &amp; lived experience</x:v>
      </x:c>
      <x:c r="G553" s="28" t="str">
        <x:v>Childhood; Adolescence; Adulthood</x:v>
      </x:c>
      <x:c r="H553" s="28" t="str">
        <x:v>Later specialized</x:v>
      </x:c>
      <x:c r="I553" s="28" t="str">
        <x:v>Direct or strongly ADHD-related record retained for later screening; typically narrower treatment, biomarker, mechanistic, or single-comorbidity focus.</x:v>
      </x:c>
      <x:c r="J553" s="38" t="e">
        <x:f>HYPERLINK("https://pubmed.ncbi.nlm.nih.gov/"&amp;C553&amp;"/","Open PubMed")</x:f>
        <x:v>HYPERLINK is not implemented. linkLocation=https://pubmed.ncbi.nlm.nih.gov/20583294/, friendlyName=Open PubMed</x:v>
      </x:c>
    </x:row>
    <x:row r="554">
      <x:c r="A554" s="26" t="str">
        <x:v>PUBMED-20580842</x:v>
      </x:c>
      <x:c r="B554" s="26" t="n">
        <x:v>2010</x:v>
      </x:c>
      <x:c r="C554" s="26" t="str">
        <x:v>20580842</x:v>
      </x:c>
      <x:c r="D554" s="28" t="str">
        <x:v>Assessment of stigma associated with attention-deficit hyperactivity disorder: psychometric evaluation of the ADHD stigma questionnaire.</x:v>
      </x:c>
      <x:c r="E554" s="28" t="str">
        <x:v>Primary study - cohort</x:v>
      </x:c>
      <x:c r="F554" s="28" t="str">
        <x:v>Development &amp; presentation; Recognition &amp; diagnosis; Family &amp; education; Social &amp; structural; Life outcomes &amp; lived experience; Historical &amp; contemporary context</x:v>
      </x:c>
      <x:c r="G554" s="28" t="str">
        <x:v>Childhood; Adolescence</x:v>
      </x:c>
      <x:c r="H554" s="28" t="str">
        <x:v>Batch 1 core</x:v>
      </x:c>
      <x:c r="I554" s="28" t="str">
        <x:v>Direct ADHD primary study on diagnosis, family/education, structural conditions, lived experience/outcomes, or environment/lifestyle.</x:v>
      </x:c>
      <x:c r="J554" s="38" t="e">
        <x:f>HYPERLINK("https://pubmed.ncbi.nlm.nih.gov/"&amp;C554&amp;"/","Open PubMed")</x:f>
        <x:v>HYPERLINK is not implemented. linkLocation=https://pubmed.ncbi.nlm.nih.gov/20580842/, friendlyName=Open PubMed</x:v>
      </x:c>
    </x:row>
    <x:row r="555">
      <x:c r="A555" s="26" t="str">
        <x:v>PUBMED-20576502</x:v>
      </x:c>
      <x:c r="B555" s="26" t="n">
        <x:v>2010</x:v>
      </x:c>
      <x:c r="C555" s="26" t="str">
        <x:v>20576502</x:v>
      </x:c>
      <x:c r="D555" s="28" t="str">
        <x:v>Neurotrophin-3 gene, intelligence, and selective attention deficit in a Korean sample with attention-deficit/hyperactivity disorder.</x:v>
      </x:c>
      <x:c r="E555" s="28" t="str">
        <x:v>Primary study - case-control</x:v>
      </x:c>
      <x:c r="F555" s="28" t="str">
        <x:v>Development &amp; presentation; Family &amp; education; Social &amp; structural; Life outcomes &amp; lived experience</x:v>
      </x:c>
      <x:c r="G555" s="28" t="str">
        <x:v>Childhood</x:v>
      </x:c>
      <x:c r="H555" s="28" t="str">
        <x:v>Later specialized</x:v>
      </x:c>
      <x:c r="I555" s="28" t="str">
        <x:v>Direct or strongly ADHD-related record retained for later screening; typically narrower treatment, biomarker, mechanistic, or single-comorbidity focus.</x:v>
      </x:c>
      <x:c r="J555" s="38" t="e">
        <x:f>HYPERLINK("https://pubmed.ncbi.nlm.nih.gov/"&amp;C555&amp;"/","Open PubMed")</x:f>
        <x:v>HYPERLINK is not implemented. linkLocation=https://pubmed.ncbi.nlm.nih.gov/20576502/, friendlyName=Open PubMed</x:v>
      </x:c>
    </x:row>
    <x:row r="556">
      <x:c r="A556" s="26" t="str">
        <x:v>PUBMED-20576091</x:v>
      </x:c>
      <x:c r="B556" s="26" t="n">
        <x:v>2010</x:v>
      </x:c>
      <x:c r="C556" s="26" t="str">
        <x:v>20576091</x:v>
      </x:c>
      <x:c r="D556" s="28" t="str">
        <x:v>Randomized, double-blind, placebo-controlled, crossover study of the efficacy and safety of lisdexamfetamine dimesylate in adults with attention-deficit/hyperactivity disorder: novel findings using a simulated adult workplace environment design.</x:v>
      </x:c>
      <x:c r="E556" s="28" t="str">
        <x:v>Primary study - randomized controlled trial</x:v>
      </x:c>
      <x:c r="F556" s="28" t="str">
        <x:v>Development &amp; presentation; Recognition &amp; diagnosis; Social &amp; structural; Environmental &amp; lifestyle; Treatment &amp; support; Life outcomes &amp; lived experience</x:v>
      </x:c>
      <x:c r="G556" s="28" t="str">
        <x:v>Adolescence; Adulthood</x:v>
      </x:c>
      <x:c r="H556" s="28" t="str">
        <x:v>Later specialized</x:v>
      </x:c>
      <x:c r="I556" s="28" t="str">
        <x:v>Direct or strongly ADHD-related record retained for later screening; typically narrower treatment, biomarker, mechanistic, or single-comorbidity focus.</x:v>
      </x:c>
      <x:c r="J556" s="38" t="e">
        <x:f>HYPERLINK("https://pubmed.ncbi.nlm.nih.gov/"&amp;C556&amp;"/","Open PubMed")</x:f>
        <x:v>HYPERLINK is not implemented. linkLocation=https://pubmed.ncbi.nlm.nih.gov/20576091/, friendlyName=Open PubMed</x:v>
      </x:c>
    </x:row>
    <x:row r="557">
      <x:c r="A557" s="26" t="str">
        <x:v>PUBMED-20570242</x:v>
      </x:c>
      <x:c r="B557" s="26" t="n">
        <x:v>2010</x:v>
      </x:c>
      <x:c r="C557" s="26" t="str">
        <x:v>20570242</x:v>
      </x:c>
      <x:c r="D557" s="28" t="str">
        <x:v>Failure of schizophrenia patients to overcome salient distractors during working memory encoding.</x:v>
      </x:c>
      <x:c r="E557" s="28" t="str">
        <x:v>Primary/contextual journal article</x:v>
      </x:c>
      <x:c r="F557" s="28" t="str">
        <x:v>Development &amp; presentation; Social &amp; structural</x:v>
      </x:c>
      <x:c r="G557" s="28" t="str">
        <x:v>Adulthood</x:v>
      </x:c>
      <x:c r="H557" s="28" t="str">
        <x:v>Exclude/incidental</x:v>
      </x:c>
      <x:c r="I557" s="28" t="str">
        <x:v>ADHD appears peripheral or insufficiently aligned with the requested corpus scope based on accessible metadata/abstract.</x:v>
      </x:c>
      <x:c r="J557" s="38" t="e">
        <x:f>HYPERLINK("https://pubmed.ncbi.nlm.nih.gov/"&amp;C557&amp;"/","Open PubMed")</x:f>
        <x:v>HYPERLINK is not implemented. linkLocation=https://pubmed.ncbi.nlm.nih.gov/20570242/, friendlyName=Open PubMed</x:v>
      </x:c>
    </x:row>
    <x:row r="558">
      <x:c r="A558" s="26" t="str">
        <x:v>PUBMED-20568254</x:v>
      </x:c>
      <x:c r="B558" s="26" t="n">
        <x:v>2010</x:v>
      </x:c>
      <x:c r="C558" s="26" t="str">
        <x:v>20568254</x:v>
      </x:c>
      <x:c r="D558" s="28" t="str">
        <x:v>Culturally adapted cognitive-behavior therapy: integrating sexual, spiritual, and family identities in an evidence-based treatment of a depressed Latino adolescent.</x:v>
      </x:c>
      <x:c r="E558" s="28" t="str">
        <x:v>Primary/contextual journal article</x:v>
      </x:c>
      <x:c r="F558" s="28" t="str">
        <x:v>Development &amp; presentation; Family &amp; education; Social &amp; structural; Treatment &amp; support; Life outcomes &amp; lived experience</x:v>
      </x:c>
      <x:c r="G558" s="28" t="str">
        <x:v>Adolescence</x:v>
      </x:c>
      <x:c r="H558" s="28" t="str">
        <x:v>Exclude/incidental</x:v>
      </x:c>
      <x:c r="I558" s="28" t="str">
        <x:v>ADHD appears peripheral or insufficiently aligned with the requested corpus scope based on accessible metadata/abstract.</x:v>
      </x:c>
      <x:c r="J558" s="38" t="e">
        <x:f>HYPERLINK("https://pubmed.ncbi.nlm.nih.gov/"&amp;C558&amp;"/","Open PubMed")</x:f>
        <x:v>HYPERLINK is not implemented. linkLocation=https://pubmed.ncbi.nlm.nih.gov/20568254/, friendlyName=Open PubMed</x:v>
      </x:c>
    </x:row>
    <x:row r="559">
      <x:c r="A559" s="26" t="str">
        <x:v>PUBMED-20565557</x:v>
      </x:c>
      <x:c r="B559" s="26" t="n">
        <x:v>2010</x:v>
      </x:c>
      <x:c r="C559" s="26" t="str">
        <x:v>20565557</x:v>
      </x:c>
      <x:c r="D559" s="28" t="str">
        <x:v>Published research on attention deficit hyperactivity disorder: a comparative analysis of MEDLINE and an Iranian bibliographic database.</x:v>
      </x:c>
      <x:c r="E559" s="28" t="str">
        <x:v>Primary/contextual journal article</x:v>
      </x:c>
      <x:c r="F559" s="28" t="str">
        <x:v>Development &amp; presentation</x:v>
      </x:c>
      <x:c r="G559" s="28" t="str">
        <x:v>Not specified</x:v>
      </x:c>
      <x:c r="H559" s="28" t="str">
        <x:v>Later specialized</x:v>
      </x:c>
      <x:c r="I559" s="28" t="str">
        <x:v>Direct or strongly ADHD-related record retained for later screening; typically narrower treatment, biomarker, mechanistic, or single-comorbidity focus.</x:v>
      </x:c>
      <x:c r="J559" s="38" t="e">
        <x:f>HYPERLINK("https://pubmed.ncbi.nlm.nih.gov/"&amp;C559&amp;"/","Open PubMed")</x:f>
        <x:v>HYPERLINK is not implemented. linkLocation=https://pubmed.ncbi.nlm.nih.gov/20565557/, friendlyName=Open PubMed</x:v>
      </x:c>
    </x:row>
    <x:row r="560">
      <x:c r="A560" s="26" t="str">
        <x:v>PUBMED-20562768</x:v>
      </x:c>
      <x:c r="B560" s="26" t="n">
        <x:v>2010</x:v>
      </x:c>
      <x:c r="C560" s="26" t="str">
        <x:v>20562768</x:v>
      </x:c>
      <x:c r="D560" s="28" t="str">
        <x:v>Comorbidity in children and adolescent psychiatry.</x:v>
      </x:c>
      <x:c r="E560" s="28" t="str">
        <x:v>Primary study - cross-sectional</x:v>
      </x:c>
      <x:c r="F560" s="28" t="str">
        <x:v>Development &amp; presentation; Recognition &amp; diagnosis; Family &amp; education; Social &amp; structural; Treatment &amp; support</x:v>
      </x:c>
      <x:c r="G560" s="28" t="str">
        <x:v>Childhood; Adolescence</x:v>
      </x:c>
      <x:c r="H560" s="28" t="str">
        <x:v>Exclude/incidental</x:v>
      </x:c>
      <x:c r="I560" s="28" t="str">
        <x:v>ADHD appears peripheral or insufficiently aligned with the requested corpus scope based on accessible metadata/abstract.</x:v>
      </x:c>
      <x:c r="J560" s="38" t="e">
        <x:f>HYPERLINK("https://pubmed.ncbi.nlm.nih.gov/"&amp;C560&amp;"/","Open PubMed")</x:f>
        <x:v>HYPERLINK is not implemented. linkLocation=https://pubmed.ncbi.nlm.nih.gov/20562768/, friendlyName=Open PubMed</x:v>
      </x:c>
    </x:row>
    <x:row r="561">
      <x:c r="A561" s="26" t="str">
        <x:v>PUBMED-20560854</x:v>
      </x:c>
      <x:c r="B561" s="26" t="n">
        <x:v>2010</x:v>
      </x:c>
      <x:c r="C561" s="26" t="str">
        <x:v>20560854</x:v>
      </x:c>
      <x:c r="D561" s="28" t="str">
        <x:v>Psychosocial factors associated with parent and teacher reports of aggression in children and adolescents with attention deficit hyperactivity disorder.</x:v>
      </x:c>
      <x:c r="E561" s="28" t="str">
        <x:v>Primary/contextual journal article</x:v>
      </x:c>
      <x:c r="F561" s="28" t="str">
        <x:v>Development &amp; presentation; Recognition &amp; diagnosis; Family &amp; education; Social &amp; structural; Life outcomes &amp; lived experience</x:v>
      </x:c>
      <x:c r="G561" s="28" t="str">
        <x:v>Childhood; Adolescence</x:v>
      </x:c>
      <x:c r="H561" s="28" t="str">
        <x:v>Later specialized</x:v>
      </x:c>
      <x:c r="I561" s="28" t="str">
        <x:v>Direct or strongly ADHD-related record retained for later screening; typically narrower treatment, biomarker, mechanistic, or single-comorbidity focus.</x:v>
      </x:c>
      <x:c r="J561" s="38" t="e">
        <x:f>HYPERLINK("https://pubmed.ncbi.nlm.nih.gov/"&amp;C561&amp;"/","Open PubMed")</x:f>
        <x:v>HYPERLINK is not implemented. linkLocation=https://pubmed.ncbi.nlm.nih.gov/20560854/, friendlyName=Open PubMed</x:v>
      </x:c>
    </x:row>
    <x:row r="562">
      <x:c r="A562" s="26" t="str">
        <x:v>PUBMED-20557304</x:v>
      </x:c>
      <x:c r="B562" s="26" t="n">
        <x:v>2010</x:v>
      </x:c>
      <x:c r="C562" s="26" t="str">
        <x:v>20557304</x:v>
      </x:c>
      <x:c r="D562" s="28" t="str">
        <x:v>A novel function of microRNA let-7d in regulation of galectin-3 expression in attention deficit hyperactivity disorder rat brain.</x:v>
      </x:c>
      <x:c r="E562" s="28" t="str">
        <x:v>Primary/contextual journal article</x:v>
      </x:c>
      <x:c r="F562" s="28" t="str">
        <x:v>Development &amp; presentation; Recognition &amp; diagnosis; Social &amp; structural</x:v>
      </x:c>
      <x:c r="G562" s="28" t="str">
        <x:v>Not specified</x:v>
      </x:c>
      <x:c r="H562" s="28" t="str">
        <x:v>Exclude/incidental</x:v>
      </x:c>
      <x:c r="I562" s="28" t="str">
        <x:v>Animal-only record; retained outside the human-focused core corpus.</x:v>
      </x:c>
      <x:c r="J562" s="38" t="e">
        <x:f>HYPERLINK("https://pubmed.ncbi.nlm.nih.gov/"&amp;C562&amp;"/","Open PubMed")</x:f>
        <x:v>HYPERLINK is not implemented. linkLocation=https://pubmed.ncbi.nlm.nih.gov/20557304/, friendlyName=Open PubMed</x:v>
      </x:c>
    </x:row>
    <x:row r="563">
      <x:c r="A563" s="26" t="str">
        <x:v>PUBMED-20554160</x:v>
      </x:c>
      <x:c r="B563" s="26" t="n">
        <x:v>2010</x:v>
      </x:c>
      <x:c r="C563" s="26" t="str">
        <x:v>20554160</x:v>
      </x:c>
      <x:c r="D563" s="28" t="str">
        <x:v>Attention deficits in schizophrenia--preliminary evidence of dissociable transient and sustained deficits.</x:v>
      </x:c>
      <x:c r="E563" s="28" t="str">
        <x:v>Primary study - case-control</x:v>
      </x:c>
      <x:c r="F563" s="28" t="str">
        <x:v>Development &amp; presentation; Recognition &amp; diagnosis; Social &amp; structural</x:v>
      </x:c>
      <x:c r="G563" s="28" t="str">
        <x:v>Adulthood</x:v>
      </x:c>
      <x:c r="H563" s="28" t="str">
        <x:v>Later specialized</x:v>
      </x:c>
      <x:c r="I563" s="28" t="str">
        <x:v>Direct or strongly ADHD-related record retained for later screening; typically narrower treatment, biomarker, mechanistic, or single-comorbidity focus.</x:v>
      </x:c>
      <x:c r="J563" s="38" t="e">
        <x:f>HYPERLINK("https://pubmed.ncbi.nlm.nih.gov/"&amp;C563&amp;"/","Open PubMed")</x:f>
        <x:v>HYPERLINK is not implemented. linkLocation=https://pubmed.ncbi.nlm.nih.gov/20554160/, friendlyName=Open PubMed</x:v>
      </x:c>
    </x:row>
    <x:row r="564">
      <x:c r="A564" s="26" t="str">
        <x:v>PUBMED-20551163</x:v>
      </x:c>
      <x:c r="B564" s="26" t="n">
        <x:v>2010</x:v>
      </x:c>
      <x:c r="C564" s="26" t="str">
        <x:v>20551163</x:v>
      </x:c>
      <x:c r="D564" s="28" t="str">
        <x:v>The role of histamine degradation gene polymorphisms in moderating the effects of food additives on children's ADHD symptoms.</x:v>
      </x:c>
      <x:c r="E564" s="28" t="str">
        <x:v>Primary study - randomized controlled trial</x:v>
      </x:c>
      <x:c r="F564" s="28" t="str">
        <x:v>Development &amp; presentation; Recognition &amp; diagnosis; Family &amp; education; Social &amp; structural; Environmental &amp; lifestyle; Treatment &amp; support; Life outcomes &amp; lived experience</x:v>
      </x:c>
      <x:c r="G564" s="28" t="str">
        <x:v>Childhood; Adolescence</x:v>
      </x:c>
      <x:c r="H564" s="28" t="str">
        <x:v>Later specialized</x:v>
      </x:c>
      <x:c r="I564" s="28" t="str">
        <x:v>Direct or strongly ADHD-related record retained for later screening; typically narrower treatment, biomarker, mechanistic, or single-comorbidity focus.</x:v>
      </x:c>
      <x:c r="J564" s="38" t="e">
        <x:f>HYPERLINK("https://pubmed.ncbi.nlm.nih.gov/"&amp;C564&amp;"/","Open PubMed")</x:f>
        <x:v>HYPERLINK is not implemented. linkLocation=https://pubmed.ncbi.nlm.nih.gov/20551163/, friendlyName=Open PubMed</x:v>
      </x:c>
    </x:row>
    <x:row r="565">
      <x:c r="A565" s="26" t="str">
        <x:v>PUBMED-20547198</x:v>
      </x:c>
      <x:c r="B565" s="26" t="n">
        <x:v>2010</x:v>
      </x:c>
      <x:c r="C565" s="26" t="str">
        <x:v>20547198</x:v>
      </x:c>
      <x:c r="D565" s="28" t="str">
        <x:v>Pica in a child with attention deficit hyperactivity disorder and successful treatment with methylphenidate.</x:v>
      </x:c>
      <x:c r="E565" s="28" t="str">
        <x:v>Other/unclear</x:v>
      </x:c>
      <x:c r="F565" s="28" t="str">
        <x:v>Development &amp; presentation; Social &amp; structural; Treatment &amp; support; Life outcomes &amp; lived experience</x:v>
      </x:c>
      <x:c r="G565" s="28" t="str">
        <x:v>Childhood</x:v>
      </x:c>
      <x:c r="H565" s="28" t="str">
        <x:v>Later specialized</x:v>
      </x:c>
      <x:c r="I565" s="28" t="str">
        <x:v>Direct or strongly ADHD-related record retained for later screening; typically narrower treatment, biomarker, mechanistic, or single-comorbidity focus.</x:v>
      </x:c>
      <x:c r="J565" s="38" t="e">
        <x:f>HYPERLINK("https://pubmed.ncbi.nlm.nih.gov/"&amp;C565&amp;"/","Open PubMed")</x:f>
        <x:v>HYPERLINK is not implemented. linkLocation=https://pubmed.ncbi.nlm.nih.gov/20547198/, friendlyName=Open PubMed</x:v>
      </x:c>
    </x:row>
    <x:row r="566">
      <x:c r="A566" s="26" t="str">
        <x:v>PUBMED-20546170</x:v>
      </x:c>
      <x:c r="B566" s="26" t="n">
        <x:v>2010</x:v>
      </x:c>
      <x:c r="C566" s="26" t="str">
        <x:v>20546170</x:v>
      </x:c>
      <x:c r="D566" s="28" t="str">
        <x:v>Neuroanatomical correlates of attention-deficit-hyperactivity disorder accounting for comorbid oppositional defiant disorder and conduct disorder.</x:v>
      </x:c>
      <x:c r="E566" s="28" t="str">
        <x:v>Primary study - case-control</x:v>
      </x:c>
      <x:c r="F566" s="28" t="str">
        <x:v>Development &amp; presentation; Recognition &amp; diagnosis; Life outcomes &amp; lived experience</x:v>
      </x:c>
      <x:c r="G566" s="28" t="str">
        <x:v>Childhood; Adolescence</x:v>
      </x:c>
      <x:c r="H566" s="28" t="str">
        <x:v>Later specialized</x:v>
      </x:c>
      <x:c r="I566" s="28" t="str">
        <x:v>Direct or strongly ADHD-related record retained for later screening; typically narrower treatment, biomarker, mechanistic, or single-comorbidity focus.</x:v>
      </x:c>
      <x:c r="J566" s="38" t="e">
        <x:f>HYPERLINK("https://pubmed.ncbi.nlm.nih.gov/"&amp;C566&amp;"/","Open PubMed")</x:f>
        <x:v>HYPERLINK is not implemented. linkLocation=https://pubmed.ncbi.nlm.nih.gov/20546170/, friendlyName=Open PubMed</x:v>
      </x:c>
    </x:row>
    <x:row r="567">
      <x:c r="A567" s="26" t="str">
        <x:v>PUBMED-20535081</x:v>
      </x:c>
      <x:c r="B567" s="26" t="n">
        <x:v>2010</x:v>
      </x:c>
      <x:c r="C567" s="26" t="str">
        <x:v>20535081</x:v>
      </x:c>
      <x:c r="D567" s="28" t="str">
        <x:v>A review of attention-deficit/hyperactivity disorder complicated by symptoms of oppositional defiant disorder or conduct disorder.</x:v>
      </x:c>
      <x:c r="E567" s="28" t="str">
        <x:v>Evidence synthesis - review</x:v>
      </x:c>
      <x:c r="F567" s="28" t="str">
        <x:v>Development &amp; presentation; Recognition &amp; diagnosis; Family &amp; education; Social &amp; structural; Environmental &amp; lifestyle; Treatment &amp; support; Life outcomes &amp; lived experience</x:v>
      </x:c>
      <x:c r="G567" s="28" t="str">
        <x:v>Not specified</x:v>
      </x:c>
      <x:c r="H567" s="28" t="str">
        <x:v>Batch 1 core</x:v>
      </x:c>
      <x:c r="I567" s="28" t="str">
        <x:v>Direct ADHD evidence synthesis/guideline with broad multi-topic relevance.</x:v>
      </x:c>
      <x:c r="J567" s="38" t="e">
        <x:f>HYPERLINK("https://pubmed.ncbi.nlm.nih.gov/"&amp;C567&amp;"/","Open PubMed")</x:f>
        <x:v>HYPERLINK is not implemented. linkLocation=https://pubmed.ncbi.nlm.nih.gov/20535081/, friendlyName=Open PubMed</x:v>
      </x:c>
    </x:row>
    <x:row r="568">
      <x:c r="A568" s="26" t="str">
        <x:v>PUBMED-20533771</x:v>
      </x:c>
      <x:c r="B568" s="26" t="n">
        <x:v>2010</x:v>
      </x:c>
      <x:c r="C568" s="26" t="str">
        <x:v>20533771</x:v>
      </x:c>
      <x:c r="D568" s="28" t="str">
        <x:v>In search of an ADHD screening tool for African American children.</x:v>
      </x:c>
      <x:c r="E568" s="28" t="str">
        <x:v>Evidence synthesis - review</x:v>
      </x:c>
      <x:c r="F568" s="28" t="str">
        <x:v>Development &amp; presentation; Recognition &amp; diagnosis; Family &amp; education; Social &amp; structural; Treatment &amp; support</x:v>
      </x:c>
      <x:c r="G568" s="28" t="str">
        <x:v>Childhood</x:v>
      </x:c>
      <x:c r="H568" s="28" t="str">
        <x:v>Later specialized</x:v>
      </x:c>
      <x:c r="I568" s="28" t="str">
        <x:v>Direct or strongly ADHD-related record retained for later screening; typically narrower treatment, biomarker, mechanistic, or single-comorbidity focus.</x:v>
      </x:c>
      <x:c r="J568" s="38" t="e">
        <x:f>HYPERLINK("https://pubmed.ncbi.nlm.nih.gov/"&amp;C568&amp;"/","Open PubMed")</x:f>
        <x:v>HYPERLINK is not implemented. linkLocation=https://pubmed.ncbi.nlm.nih.gov/20533771/, friendlyName=Open PubMed</x:v>
      </x:c>
    </x:row>
    <x:row r="569">
      <x:c r="A569" s="26" t="str">
        <x:v>PUBMED-20521876</x:v>
      </x:c>
      <x:c r="B569" s="26" t="n">
        <x:v>2010</x:v>
      </x:c>
      <x:c r="C569" s="26" t="str">
        <x:v>20521876</x:v>
      </x:c>
      <x:c r="D569" s="28" t="str">
        <x:v>Attention deficit hyperactivity disorder in adults.</x:v>
      </x:c>
      <x:c r="E569" s="28" t="str">
        <x:v>Evidence synthesis - review</x:v>
      </x:c>
      <x:c r="F569" s="28" t="str">
        <x:v>Development &amp; presentation; Recognition &amp; diagnosis; Social &amp; structural; Treatment &amp; support; Life outcomes &amp; lived experience</x:v>
      </x:c>
      <x:c r="G569" s="28" t="str">
        <x:v>Childhood; Adulthood</x:v>
      </x:c>
      <x:c r="H569" s="28" t="str">
        <x:v>Later specialized</x:v>
      </x:c>
      <x:c r="I569" s="28" t="str">
        <x:v>Direct or strongly ADHD-related record retained for later screening; typically narrower treatment, biomarker, mechanistic, or single-comorbidity focus.</x:v>
      </x:c>
      <x:c r="J569" s="38" t="e">
        <x:f>HYPERLINK("https://pubmed.ncbi.nlm.nih.gov/"&amp;C569&amp;"/","Open PubMed")</x:f>
        <x:v>HYPERLINK is not implemented. linkLocation=https://pubmed.ncbi.nlm.nih.gov/20521876/, friendlyName=Open PubMed</x:v>
      </x:c>
    </x:row>
    <x:row r="570">
      <x:c r="A570" s="26" t="str">
        <x:v>PUBMED-20521184</x:v>
      </x:c>
      <x:c r="B570" s="26" t="n">
        <x:v>2010</x:v>
      </x:c>
      <x:c r="C570" s="26" t="str">
        <x:v>20521184</x:v>
      </x:c>
      <x:c r="D570" s="28" t="str">
        <x:v>Do ADHD and executive dysfunctions, measured by the hebrew version of Behavioral Rating Inventory of Executive Functions (BRIEF), completely overlap?</x:v>
      </x:c>
      <x:c r="E570" s="28" t="str">
        <x:v>Primary/contextual journal article</x:v>
      </x:c>
      <x:c r="F570" s="28" t="str">
        <x:v>Development &amp; presentation; Recognition &amp; diagnosis; Family &amp; education; Social &amp; structural; Treatment &amp; support</x:v>
      </x:c>
      <x:c r="G570" s="28" t="str">
        <x:v>Childhood; Adolescence</x:v>
      </x:c>
      <x:c r="H570" s="28" t="str">
        <x:v>Later specialized</x:v>
      </x:c>
      <x:c r="I570" s="28" t="str">
        <x:v>Direct or strongly ADHD-related record retained for later screening; typically narrower treatment, biomarker, mechanistic, or single-comorbidity focus.</x:v>
      </x:c>
      <x:c r="J570" s="38" t="e">
        <x:f>HYPERLINK("https://pubmed.ncbi.nlm.nih.gov/"&amp;C570&amp;"/","Open PubMed")</x:f>
        <x:v>HYPERLINK is not implemented. linkLocation=https://pubmed.ncbi.nlm.nih.gov/20521184/, friendlyName=Open PubMed</x:v>
      </x:c>
    </x:row>
    <x:row r="571">
      <x:c r="A571" s="26" t="str">
        <x:v>PUBMED-20518381</x:v>
      </x:c>
      <x:c r="B571" s="26" t="n">
        <x:v>2010</x:v>
      </x:c>
      <x:c r="C571" s="26" t="str">
        <x:v>20518381</x:v>
      </x:c>
      <x:c r="D571" s="28" t="str">
        <x:v>[Gene dosage array can even discover small chromosome changes. More children with developmental deviations may be offered an etiological diagnosis].</x:v>
      </x:c>
      <x:c r="E571" s="28" t="str">
        <x:v>Evidence synthesis - review</x:v>
      </x:c>
      <x:c r="F571" s="28" t="str">
        <x:v>Development &amp; presentation; Recognition &amp; diagnosis; Family &amp; education; Social &amp; structural</x:v>
      </x:c>
      <x:c r="G571" s="28" t="str">
        <x:v>Childhood; Adolescence</x:v>
      </x:c>
      <x:c r="H571" s="28" t="str">
        <x:v>Exclude/incidental</x:v>
      </x:c>
      <x:c r="I571" s="28" t="str">
        <x:v>ADHD appears peripheral or insufficiently aligned with the requested corpus scope based on accessible metadata/abstract.</x:v>
      </x:c>
      <x:c r="J571" s="38" t="e">
        <x:f>HYPERLINK("https://pubmed.ncbi.nlm.nih.gov/"&amp;C571&amp;"/","Open PubMed")</x:f>
        <x:v>HYPERLINK is not implemented. linkLocation=https://pubmed.ncbi.nlm.nih.gov/20518381/, friendlyName=Open PubMed</x:v>
      </x:c>
    </x:row>
    <x:row r="572">
      <x:c r="A572" s="26" t="str">
        <x:v>PUBMED-20518157</x:v>
      </x:c>
      <x:c r="B572" s="26" t="n">
        <x:v>2010</x:v>
      </x:c>
      <x:c r="C572" s="26" t="str">
        <x:v>20518157</x:v>
      </x:c>
      <x:c r="D572" s="28" t="str">
        <x:v>Taking care of one's brain: how manipulating the brain changes people's selves.</x:v>
      </x:c>
      <x:c r="E572" s="28" t="str">
        <x:v>Primary/contextual journal article</x:v>
      </x:c>
      <x:c r="F572" s="28" t="str">
        <x:v>Development &amp; presentation; Family &amp; education; Social &amp; structural; Environmental &amp; lifestyle; Historical &amp; contemporary context</x:v>
      </x:c>
      <x:c r="G572" s="28" t="str">
        <x:v>Not specified</x:v>
      </x:c>
      <x:c r="H572" s="28" t="str">
        <x:v>Later specialized</x:v>
      </x:c>
      <x:c r="I572" s="28" t="str">
        <x:v>Direct or strongly ADHD-related record retained for later screening; typically narrower treatment, biomarker, mechanistic, or single-comorbidity focus.</x:v>
      </x:c>
      <x:c r="J572" s="38" t="e">
        <x:f>HYPERLINK("https://pubmed.ncbi.nlm.nih.gov/"&amp;C572&amp;"/","Open PubMed")</x:f>
        <x:v>HYPERLINK is not implemented. linkLocation=https://pubmed.ncbi.nlm.nih.gov/20518157/, friendlyName=Open PubMed</x:v>
      </x:c>
    </x:row>
    <x:row r="573">
      <x:c r="A573" s="26" t="str">
        <x:v>PUBMED-20516237</x:v>
      </x:c>
      <x:c r="B573" s="26" t="n">
        <x:v>2010</x:v>
      </x:c>
      <x:c r="C573" s="26" t="str">
        <x:v>20516237</x:v>
      </x:c>
      <x:c r="D573" s="28" t="str">
        <x:v>Research and statistics: a question of time: cross-sectional versus longitudinal study designs.</x:v>
      </x:c>
      <x:c r="E573" s="28" t="str">
        <x:v>Primary study - cross-sectional</x:v>
      </x:c>
      <x:c r="F573" s="28" t="str">
        <x:v>Development &amp; presentation; Recognition &amp; diagnosis</x:v>
      </x:c>
      <x:c r="G573" s="28" t="str">
        <x:v>Childhood</x:v>
      </x:c>
      <x:c r="H573" s="28" t="str">
        <x:v>Exclude/incidental</x:v>
      </x:c>
      <x:c r="I573" s="28" t="str">
        <x:v>ADHD appears peripheral or insufficiently aligned with the requested corpus scope based on accessible metadata/abstract.</x:v>
      </x:c>
      <x:c r="J573" s="38" t="e">
        <x:f>HYPERLINK("https://pubmed.ncbi.nlm.nih.gov/"&amp;C573&amp;"/","Open PubMed")</x:f>
        <x:v>HYPERLINK is not implemented. linkLocation=https://pubmed.ncbi.nlm.nih.gov/20516237/, friendlyName=Open PubMed</x:v>
      </x:c>
    </x:row>
    <x:row r="574">
      <x:c r="A574" s="26" t="str">
        <x:v>PUBMED-20513613</x:v>
      </x:c>
      <x:c r="B574" s="26" t="n">
        <x:v>2010</x:v>
      </x:c>
      <x:c r="C574" s="26" t="str">
        <x:v>20513613</x:v>
      </x:c>
      <x:c r="D574" s="28" t="str">
        <x:v>Visual sensory processing deficit in the occipital region in children with attention-deficit / hyperactivity disorder as revealed by event-related potentials during cued continuous performance test.</x:v>
      </x:c>
      <x:c r="E574" s="28" t="str">
        <x:v>Primary/contextual journal article</x:v>
      </x:c>
      <x:c r="F574" s="28" t="str">
        <x:v>Development &amp; presentation; Recognition &amp; diagnosis</x:v>
      </x:c>
      <x:c r="G574" s="28" t="str">
        <x:v>Childhood; Adolescence</x:v>
      </x:c>
      <x:c r="H574" s="28" t="str">
        <x:v>Later specialized</x:v>
      </x:c>
      <x:c r="I574" s="28" t="str">
        <x:v>Direct or strongly ADHD-related record retained for later screening; typically narrower treatment, biomarker, mechanistic, or single-comorbidity focus.</x:v>
      </x:c>
      <x:c r="J574" s="38" t="e">
        <x:f>HYPERLINK("https://pubmed.ncbi.nlm.nih.gov/"&amp;C574&amp;"/","Open PubMed")</x:f>
        <x:v>HYPERLINK is not implemented. linkLocation=https://pubmed.ncbi.nlm.nih.gov/20513613/, friendlyName=Open PubMed</x:v>
      </x:c>
    </x:row>
    <x:row r="575">
      <x:c r="A575" s="26" t="str">
        <x:v>PUBMED-20513227</x:v>
      </x:c>
      <x:c r="B575" s="26" t="n">
        <x:v>2010</x:v>
      </x:c>
      <x:c r="C575" s="26" t="str">
        <x:v>20513227</x:v>
      </x:c>
      <x:c r="D575" s="28" t="str">
        <x:v>What can actigraphy add to the concept of labschool design in clinical trials?</x:v>
      </x:c>
      <x:c r="E575" s="28" t="str">
        <x:v>Primary study - randomized controlled trial</x:v>
      </x:c>
      <x:c r="F575" s="28" t="str">
        <x:v>Development &amp; presentation; Recognition &amp; diagnosis; Family &amp; education; Social &amp; structural; Environmental &amp; lifestyle; Treatment &amp; support; Life outcomes &amp; lived experience</x:v>
      </x:c>
      <x:c r="G575" s="28" t="str">
        <x:v>Childhood; Adolescence</x:v>
      </x:c>
      <x:c r="H575" s="28" t="str">
        <x:v>Later specialized</x:v>
      </x:c>
      <x:c r="I575" s="28" t="str">
        <x:v>Direct or strongly ADHD-related record retained for later screening; typically narrower treatment, biomarker, mechanistic, or single-comorbidity focus.</x:v>
      </x:c>
      <x:c r="J575" s="38" t="e">
        <x:f>HYPERLINK("https://pubmed.ncbi.nlm.nih.gov/"&amp;C575&amp;"/","Open PubMed")</x:f>
        <x:v>HYPERLINK is not implemented. linkLocation=https://pubmed.ncbi.nlm.nih.gov/20513227/, friendlyName=Open PubMed</x:v>
      </x:c>
    </x:row>
    <x:row r="576">
      <x:c r="A576" s="26" t="str">
        <x:v>PUBMED-20513226</x:v>
      </x:c>
      <x:c r="B576" s="26" t="n">
        <x:v>2010</x:v>
      </x:c>
      <x:c r="C576" s="26" t="str">
        <x:v>20513226</x:v>
      </x:c>
      <x:c r="D576" s="28" t="str">
        <x:v>Postnatal brain development and psychotropic drugs. Effects on animals and animal models of depression and attention-deficit/hyperactivity disorder.</x:v>
      </x:c>
      <x:c r="E576" s="28" t="str">
        <x:v>Evidence synthesis - review</x:v>
      </x:c>
      <x:c r="F576" s="28" t="str">
        <x:v>Development &amp; presentation; Social &amp; structural; Treatment &amp; support; Life outcomes &amp; lived experience</x:v>
      </x:c>
      <x:c r="G576" s="28" t="str">
        <x:v>Childhood; Adolescence</x:v>
      </x:c>
      <x:c r="H576" s="28" t="str">
        <x:v>Exclude/incidental</x:v>
      </x:c>
      <x:c r="I576" s="28" t="str">
        <x:v>Animal-only record; retained outside the human-focused core corpus.</x:v>
      </x:c>
      <x:c r="J576" s="38" t="e">
        <x:f>HYPERLINK("https://pubmed.ncbi.nlm.nih.gov/"&amp;C576&amp;"/","Open PubMed")</x:f>
        <x:v>HYPERLINK is not implemented. linkLocation=https://pubmed.ncbi.nlm.nih.gov/20513226/, friendlyName=Open PubMed</x:v>
      </x:c>
    </x:row>
    <x:row r="577">
      <x:c r="A577" s="26" t="str">
        <x:v>PUBMED-20510424</x:v>
      </x:c>
      <x:c r="B577" s="26" t="n">
        <x:v>2010</x:v>
      </x:c>
      <x:c r="C577" s="26" t="str">
        <x:v>20510424</x:v>
      </x:c>
      <x:c r="D577" s="28" t="str">
        <x:v>Reduced right frontal cortical thickness in children, adolescents and adults with ADHD and its correlation to clinical variables: a cross-sectional study.</x:v>
      </x:c>
      <x:c r="E577" s="28" t="str">
        <x:v>Primary study - cross-sectional</x:v>
      </x:c>
      <x:c r="F577" s="28" t="str">
        <x:v>Development &amp; presentation; Recognition &amp; diagnosis; Social &amp; structural; Treatment &amp; support; Life outcomes &amp; lived experience</x:v>
      </x:c>
      <x:c r="G577" s="28" t="str">
        <x:v>Childhood; Adolescence; Adulthood</x:v>
      </x:c>
      <x:c r="H577" s="28" t="str">
        <x:v>Later specialized</x:v>
      </x:c>
      <x:c r="I577" s="28" t="str">
        <x:v>Direct or strongly ADHD-related record retained for later screening; typically narrower treatment, biomarker, mechanistic, or single-comorbidity focus.</x:v>
      </x:c>
      <x:c r="J577" s="38" t="e">
        <x:f>HYPERLINK("https://pubmed.ncbi.nlm.nih.gov/"&amp;C577&amp;"/","Open PubMed")</x:f>
        <x:v>HYPERLINK is not implemented. linkLocation=https://pubmed.ncbi.nlm.nih.gov/20510424/, friendlyName=Open PubMed</x:v>
      </x:c>
    </x:row>
    <x:row r="578">
      <x:c r="A578" s="26" t="str">
        <x:v>PUBMED-20503316</x:v>
      </x:c>
      <x:c r="B578" s="26" t="n">
        <x:v>2010</x:v>
      </x:c>
      <x:c r="C578" s="26" t="str">
        <x:v>20503316</x:v>
      </x:c>
      <x:c r="D578" s="28" t="str">
        <x:v>Treatment with valproic acid ameliorates ADHD symptoms in fragile X syndrome boys.</x:v>
      </x:c>
      <x:c r="E578" s="28" t="str">
        <x:v>Primary study - clinical trial</x:v>
      </x:c>
      <x:c r="F578" s="28" t="str">
        <x:v>Development &amp; presentation; Social &amp; structural; Environmental &amp; lifestyle; Treatment &amp; support</x:v>
      </x:c>
      <x:c r="G578" s="28" t="str">
        <x:v>Childhood; Adolescence</x:v>
      </x:c>
      <x:c r="H578" s="28" t="str">
        <x:v>Later specialized</x:v>
      </x:c>
      <x:c r="I578" s="28" t="str">
        <x:v>Direct or strongly ADHD-related record retained for later screening; typically narrower treatment, biomarker, mechanistic, or single-comorbidity focus.</x:v>
      </x:c>
      <x:c r="J578" s="38" t="e">
        <x:f>HYPERLINK("https://pubmed.ncbi.nlm.nih.gov/"&amp;C578&amp;"/","Open PubMed")</x:f>
        <x:v>HYPERLINK is not implemented. linkLocation=https://pubmed.ncbi.nlm.nih.gov/20503316/, friendlyName=Open PubMed</x:v>
      </x:c>
    </x:row>
    <x:row r="579">
      <x:c r="A579" s="26" t="str">
        <x:v>PUBMED-20503165</x:v>
      </x:c>
      <x:c r="B579" s="26" t="n">
        <x:v>2010</x:v>
      </x:c>
      <x:c r="C579" s="26" t="str">
        <x:v>20503165</x:v>
      </x:c>
      <x:c r="D579" s="28" t="str">
        <x:v>[Does ADHD medication stop working after 2-3 years? On the surprising, but little-known follow-up of the MTA study].</x:v>
      </x:c>
      <x:c r="E579" s="28" t="str">
        <x:v>Primary/contextual journal article</x:v>
      </x:c>
      <x:c r="F579" s="28" t="str">
        <x:v>Development &amp; presentation; Social &amp; structural; Treatment &amp; support; Life outcomes &amp; lived experience</x:v>
      </x:c>
      <x:c r="G579" s="28" t="str">
        <x:v>Childhood</x:v>
      </x:c>
      <x:c r="H579" s="28" t="str">
        <x:v>Later specialized</x:v>
      </x:c>
      <x:c r="I579" s="28" t="str">
        <x:v>Direct or strongly ADHD-related record retained for later screening; typically narrower treatment, biomarker, mechanistic, or single-comorbidity focus.</x:v>
      </x:c>
      <x:c r="J579" s="38" t="e">
        <x:f>HYPERLINK("https://pubmed.ncbi.nlm.nih.gov/"&amp;C579&amp;"/","Open PubMed")</x:f>
        <x:v>HYPERLINK is not implemented. linkLocation=https://pubmed.ncbi.nlm.nih.gov/20503165/, friendlyName=Open PubMed</x:v>
      </x:c>
    </x:row>
    <x:row r="580">
      <x:c r="A580" s="26" t="str">
        <x:v>PUBMED-20496382</x:v>
      </x:c>
      <x:c r="B580" s="26" t="n">
        <x:v>2010</x:v>
      </x:c>
      <x:c r="C580" s="26" t="str">
        <x:v>20496382</x:v>
      </x:c>
      <x:c r="D580" s="28" t="str">
        <x:v>Childhood psychiatric disorders as anomalies in neurodevelopmental trajectories.</x:v>
      </x:c>
      <x:c r="E580" s="28" t="str">
        <x:v>Evidence synthesis - review</x:v>
      </x:c>
      <x:c r="F580" s="28" t="str">
        <x:v>Development &amp; presentation; Social &amp; structural; Environmental &amp; lifestyle; Life outcomes &amp; lived experience</x:v>
      </x:c>
      <x:c r="G580" s="28" t="str">
        <x:v>Childhood; Adolescence</x:v>
      </x:c>
      <x:c r="H580" s="28" t="str">
        <x:v>Later specialized</x:v>
      </x:c>
      <x:c r="I580" s="28" t="str">
        <x:v>Direct or strongly ADHD-related record retained for later screening; typically narrower treatment, biomarker, mechanistic, or single-comorbidity focus.</x:v>
      </x:c>
      <x:c r="J580" s="38" t="e">
        <x:f>HYPERLINK("https://pubmed.ncbi.nlm.nih.gov/"&amp;C580&amp;"/","Open PubMed")</x:f>
        <x:v>HYPERLINK is not implemented. linkLocation=https://pubmed.ncbi.nlm.nih.gov/20496382/, friendlyName=Open PubMed</x:v>
      </x:c>
    </x:row>
    <x:row r="581">
      <x:c r="A581" s="26" t="str">
        <x:v>PUBMED-20496381</x:v>
      </x:c>
      <x:c r="B581" s="26" t="n">
        <x:v>2010</x:v>
      </x:c>
      <x:c r="C581" s="26" t="str">
        <x:v>20496381</x:v>
      </x:c>
      <x:c r="D581" s="28" t="str">
        <x:v>Is the ADHD brain wired differently? A review on structural and functional connectivity in attention deficit hyperactivity disorder.</x:v>
      </x:c>
      <x:c r="E581" s="28" t="str">
        <x:v>Evidence synthesis - review</x:v>
      </x:c>
      <x:c r="F581" s="28" t="str">
        <x:v>Development &amp; presentation; Social &amp; structural; Environmental &amp; lifestyle; Treatment &amp; support</x:v>
      </x:c>
      <x:c r="G581" s="28" t="str">
        <x:v>Not specified</x:v>
      </x:c>
      <x:c r="H581" s="28" t="str">
        <x:v>Batch 1 core</x:v>
      </x:c>
      <x:c r="I581" s="28" t="str">
        <x:v>Direct ADHD evidence synthesis/guideline with broad multi-topic relevance.</x:v>
      </x:c>
      <x:c r="J581" s="38" t="e">
        <x:f>HYPERLINK("https://pubmed.ncbi.nlm.nih.gov/"&amp;C581&amp;"/","Open PubMed")</x:f>
        <x:v>HYPERLINK is not implemented. linkLocation=https://pubmed.ncbi.nlm.nih.gov/20496381/, friendlyName=Open PubMed</x:v>
      </x:c>
    </x:row>
    <x:row r="582">
      <x:c r="A582" s="26" t="str">
        <x:v>PUBMED-20495160</x:v>
      </x:c>
      <x:c r="B582" s="26" t="n">
        <x:v>2010</x:v>
      </x:c>
      <x:c r="C582" s="26" t="str">
        <x:v>20495160</x:v>
      </x:c>
      <x:c r="D582" s="28" t="str">
        <x:v>Comorbidity of ADHD and Substance Use Disorder (SUD): a neuroimaging perspective.</x:v>
      </x:c>
      <x:c r="E582" s="28" t="str">
        <x:v>Evidence synthesis - meta-analysis</x:v>
      </x:c>
      <x:c r="F582" s="28" t="str">
        <x:v>Development &amp; presentation; Recognition &amp; diagnosis; Social &amp; structural; Treatment &amp; support; Life outcomes &amp; lived experience</x:v>
      </x:c>
      <x:c r="G582" s="28" t="str">
        <x:v>Not specified</x:v>
      </x:c>
      <x:c r="H582" s="28" t="str">
        <x:v>Later specialized</x:v>
      </x:c>
      <x:c r="I582" s="28" t="str">
        <x:v>Direct or strongly ADHD-related record retained for later screening; typically narrower treatment, biomarker, mechanistic, or single-comorbidity focus.</x:v>
      </x:c>
      <x:c r="J582" s="38" t="e">
        <x:f>HYPERLINK("https://pubmed.ncbi.nlm.nih.gov/"&amp;C582&amp;"/","Open PubMed")</x:f>
        <x:v>HYPERLINK is not implemented. linkLocation=https://pubmed.ncbi.nlm.nih.gov/20495160/, friendlyName=Open PubMed</x:v>
      </x:c>
    </x:row>
    <x:row r="583">
      <x:c r="A583" s="26" t="str">
        <x:v>PUBMED-20492851</x:v>
      </x:c>
      <x:c r="B583" s="26" t="n">
        <x:v>2010</x:v>
      </x:c>
      <x:c r="C583" s="26" t="str">
        <x:v>20492851</x:v>
      </x:c>
      <x:c r="D583" s="28" t="str">
        <x:v>A controlled trial of the methylphenidate transdermal system on before-school functioning in children with attention-deficit/hyperactivity disorder.</x:v>
      </x:c>
      <x:c r="E583" s="28" t="str">
        <x:v>Primary study - randomized controlled trial</x:v>
      </x:c>
      <x:c r="F583" s="28" t="str">
        <x:v>Development &amp; presentation; Recognition &amp; diagnosis; Family &amp; education; Social &amp; structural; Treatment &amp; support; Life outcomes &amp; lived experience</x:v>
      </x:c>
      <x:c r="G583" s="28" t="str">
        <x:v>Childhood</x:v>
      </x:c>
      <x:c r="H583" s="28" t="str">
        <x:v>Later specialized</x:v>
      </x:c>
      <x:c r="I583" s="28" t="str">
        <x:v>Direct or strongly ADHD-related record retained for later screening; typically narrower treatment, biomarker, mechanistic, or single-comorbidity focus.</x:v>
      </x:c>
      <x:c r="J583" s="38" t="e">
        <x:f>HYPERLINK("https://pubmed.ncbi.nlm.nih.gov/"&amp;C583&amp;"/","Open PubMed")</x:f>
        <x:v>HYPERLINK is not implemented. linkLocation=https://pubmed.ncbi.nlm.nih.gov/20492851/, friendlyName=Open PubMed</x:v>
      </x:c>
    </x:row>
    <x:row r="584">
      <x:c r="A584" s="26" t="str">
        <x:v>PUBMED-20491856</x:v>
      </x:c>
      <x:c r="B584" s="26" t="n">
        <x:v>2010</x:v>
      </x:c>
      <x:c r="C584" s="26" t="str">
        <x:v>20491856</x:v>
      </x:c>
      <x:c r="D584" s="28" t="str">
        <x:v>No association between the 2D:4D fetal testosterone marker and multidimensional attentional abilities in children with ADHD.</x:v>
      </x:c>
      <x:c r="E584" s="28" t="str">
        <x:v>Primary study - case-control</x:v>
      </x:c>
      <x:c r="F584" s="28" t="str">
        <x:v>Development &amp; presentation; Recognition &amp; diagnosis; Social &amp; structural; Environmental &amp; lifestyle</x:v>
      </x:c>
      <x:c r="G584" s="28" t="str">
        <x:v>Childhood</x:v>
      </x:c>
      <x:c r="H584" s="28" t="str">
        <x:v>Later specialized</x:v>
      </x:c>
      <x:c r="I584" s="28" t="str">
        <x:v>Direct or strongly ADHD-related record retained for later screening; typically narrower treatment, biomarker, mechanistic, or single-comorbidity focus.</x:v>
      </x:c>
      <x:c r="J584" s="38" t="e">
        <x:f>HYPERLINK("https://pubmed.ncbi.nlm.nih.gov/"&amp;C584&amp;"/","Open PubMed")</x:f>
        <x:v>HYPERLINK is not implemented. linkLocation=https://pubmed.ncbi.nlm.nih.gov/20491856/, friendlyName=Open PubMed</x:v>
      </x:c>
    </x:row>
    <x:row r="585">
      <x:c r="A585" s="26" t="str">
        <x:v>PUBMED-20491715</x:v>
      </x:c>
      <x:c r="B585" s="26" t="n">
        <x:v>2010</x:v>
      </x:c>
      <x:c r="C585" s="26" t="str">
        <x:v>20491715</x:v>
      </x:c>
      <x:c r="D585" s="28" t="str">
        <x:v>A systematic review of prospective studies on attention problems and academic achievement.</x:v>
      </x:c>
      <x:c r="E585" s="28" t="str">
        <x:v>Evidence synthesis - systematic review</x:v>
      </x:c>
      <x:c r="F585" s="28" t="str">
        <x:v>Development &amp; presentation; Recognition &amp; diagnosis; Family &amp; education; Social &amp; structural; Treatment &amp; support; Life outcomes &amp; lived experience</x:v>
      </x:c>
      <x:c r="G585" s="28" t="str">
        <x:v>Childhood; Adolescence; Adulthood</x:v>
      </x:c>
      <x:c r="H585" s="28" t="str">
        <x:v>Later specialized</x:v>
      </x:c>
      <x:c r="I585" s="28" t="str">
        <x:v>Direct or strongly ADHD-related record retained for later screening; typically narrower treatment, biomarker, mechanistic, or single-comorbidity focus.</x:v>
      </x:c>
      <x:c r="J585" s="38" t="e">
        <x:f>HYPERLINK("https://pubmed.ncbi.nlm.nih.gov/"&amp;C585&amp;"/","Open PubMed")</x:f>
        <x:v>HYPERLINK is not implemented. linkLocation=https://pubmed.ncbi.nlm.nih.gov/20491715/, friendlyName=Open PubMed</x:v>
      </x:c>
    </x:row>
    <x:row r="586">
      <x:c r="A586" s="26" t="str">
        <x:v>PUBMED-20491417</x:v>
      </x:c>
      <x:c r="B586" s="26" t="n">
        <x:v>2010</x:v>
      </x:c>
      <x:c r="C586" s="26" t="str">
        <x:v>20491417</x:v>
      </x:c>
      <x:c r="D586" s="28" t="str">
        <x:v>Risk and protective factors associated with youth problem gambling.</x:v>
      </x:c>
      <x:c r="E586" s="28" t="str">
        <x:v>Primary/contextual journal article</x:v>
      </x:c>
      <x:c r="F586" s="28" t="str">
        <x:v>Development &amp; presentation; Family &amp; education; Social &amp; structural; Environmental &amp; lifestyle; Life outcomes &amp; lived experience; Historical &amp; contemporary context</x:v>
      </x:c>
      <x:c r="G586" s="28" t="str">
        <x:v>Adolescence</x:v>
      </x:c>
      <x:c r="H586" s="28" t="str">
        <x:v>Exclude/incidental</x:v>
      </x:c>
      <x:c r="I586" s="28" t="str">
        <x:v>ADHD appears peripheral or insufficiently aligned with the requested corpus scope based on accessible metadata/abstract.</x:v>
      </x:c>
      <x:c r="J586" s="38" t="e">
        <x:f>HYPERLINK("https://pubmed.ncbi.nlm.nih.gov/"&amp;C586&amp;"/","Open PubMed")</x:f>
        <x:v>HYPERLINK is not implemented. linkLocation=https://pubmed.ncbi.nlm.nih.gov/20491417/, friendlyName=Open PubMed</x:v>
      </x:c>
    </x:row>
    <x:row r="587">
      <x:c r="A587" s="26" t="str">
        <x:v>PUBMED-20488543</x:v>
      </x:c>
      <x:c r="B587" s="26" t="n">
        <x:v>2010</x:v>
      </x:c>
      <x:c r="C587" s="26" t="str">
        <x:v>20488543</x:v>
      </x:c>
      <x:c r="D587" s="28" t="str">
        <x:v>Early information processing among infants with and without spina bifida.</x:v>
      </x:c>
      <x:c r="E587" s="28" t="str">
        <x:v>Primary/contextual journal article</x:v>
      </x:c>
      <x:c r="F587" s="28" t="str">
        <x:v>Development &amp; presentation; Recognition &amp; diagnosis; Family &amp; education; Social &amp; structural; Life outcomes &amp; lived experience</x:v>
      </x:c>
      <x:c r="G587" s="28" t="str">
        <x:v>Childhood</x:v>
      </x:c>
      <x:c r="H587" s="28" t="str">
        <x:v>Exclude/incidental</x:v>
      </x:c>
      <x:c r="I587" s="28" t="str">
        <x:v>ADHD appears peripheral or insufficiently aligned with the requested corpus scope based on accessible metadata/abstract.</x:v>
      </x:c>
      <x:c r="J587" s="38" t="e">
        <x:f>HYPERLINK("https://pubmed.ncbi.nlm.nih.gov/"&amp;C587&amp;"/","Open PubMed")</x:f>
        <x:v>HYPERLINK is not implemented. linkLocation=https://pubmed.ncbi.nlm.nih.gov/20488543/, friendlyName=Open PubMed</x:v>
      </x:c>
    </x:row>
    <x:row r="588">
      <x:c r="A588" s="26" t="str">
        <x:v>PUBMED-20485550</x:v>
      </x:c>
      <x:c r="B588" s="26" t="n">
        <x:v>2010</x:v>
      </x:c>
      <x:c r="C588" s="26" t="str">
        <x:v>20485550</x:v>
      </x:c>
      <x:c r="D588" s="28" t="str">
        <x:v>Genetic epidemiology of attention deficit hyperactivity disorder (ADHD index) in adults.</x:v>
      </x:c>
      <x:c r="E588" s="28" t="str">
        <x:v>Primary/contextual journal article</x:v>
      </x:c>
      <x:c r="F588" s="28" t="str">
        <x:v>Development &amp; presentation; Recognition &amp; diagnosis; Family &amp; education; Social &amp; structural; Life outcomes &amp; lived experience</x:v>
      </x:c>
      <x:c r="G588" s="28" t="str">
        <x:v>Childhood; Adulthood</x:v>
      </x:c>
      <x:c r="H588" s="28" t="str">
        <x:v>Later specialized</x:v>
      </x:c>
      <x:c r="I588" s="28" t="str">
        <x:v>Direct or strongly ADHD-related record retained for later screening; typically narrower treatment, biomarker, mechanistic, or single-comorbidity focus.</x:v>
      </x:c>
      <x:c r="J588" s="38" t="e">
        <x:f>HYPERLINK("https://pubmed.ncbi.nlm.nih.gov/"&amp;C588&amp;"/","Open PubMed")</x:f>
        <x:v>HYPERLINK is not implemented. linkLocation=https://pubmed.ncbi.nlm.nih.gov/20485550/, friendlyName=Open PubMed</x:v>
      </x:c>
    </x:row>
    <x:row r="589">
      <x:c r="A589" s="26" t="str">
        <x:v>PUBMED-20483561</x:v>
      </x:c>
      <x:c r="B589" s="26" t="n">
        <x:v>2010</x:v>
      </x:c>
      <x:c r="C589" s="26" t="str">
        <x:v>20483561</x:v>
      </x:c>
      <x:c r="D589" s="28" t="str">
        <x:v>Problems and limitations in studies on screening for language delay.</x:v>
      </x:c>
      <x:c r="E589" s="28" t="str">
        <x:v>Evidence synthesis - review</x:v>
      </x:c>
      <x:c r="F589" s="28" t="str">
        <x:v>Development &amp; presentation; Recognition &amp; diagnosis; Family &amp; education; Social &amp; structural</x:v>
      </x:c>
      <x:c r="G589" s="28" t="str">
        <x:v>Childhood</x:v>
      </x:c>
      <x:c r="H589" s="28" t="str">
        <x:v>Exclude/incidental</x:v>
      </x:c>
      <x:c r="I589" s="28" t="str">
        <x:v>ADHD appears peripheral or insufficiently aligned with the requested corpus scope based on accessible metadata/abstract.</x:v>
      </x:c>
      <x:c r="J589" s="38" t="e">
        <x:f>HYPERLINK("https://pubmed.ncbi.nlm.nih.gov/"&amp;C589&amp;"/","Open PubMed")</x:f>
        <x:v>HYPERLINK is not implemented. linkLocation=https://pubmed.ncbi.nlm.nih.gov/20483561/, friendlyName=Open PubMed</x:v>
      </x:c>
    </x:row>
    <x:row r="590">
      <x:c r="A590" s="26" t="str">
        <x:v>PUBMED-20483364</x:v>
      </x:c>
      <x:c r="B590" s="26" t="n">
        <x:v>2010</x:v>
      </x:c>
      <x:c r="C590" s="26" t="str">
        <x:v>20483364</x:v>
      </x:c>
      <x:c r="D590" s="28" t="str">
        <x:v>Altered effect of preceding response execution on inhibitory processing in children with AD/HD: An ERP study.</x:v>
      </x:c>
      <x:c r="E590" s="28" t="str">
        <x:v>Primary study - randomized controlled trial</x:v>
      </x:c>
      <x:c r="F590" s="28" t="str">
        <x:v>Development &amp; presentation; Social &amp; structural; Treatment &amp; support</x:v>
      </x:c>
      <x:c r="G590" s="28" t="str">
        <x:v>Childhood; Adolescence</x:v>
      </x:c>
      <x:c r="H590" s="28" t="str">
        <x:v>Exclude/incidental</x:v>
      </x:c>
      <x:c r="I590" s="28" t="str">
        <x:v>ADHD appears peripheral or insufficiently aligned with the requested corpus scope based on accessible metadata/abstract.</x:v>
      </x:c>
      <x:c r="J590" s="38" t="e">
        <x:f>HYPERLINK("https://pubmed.ncbi.nlm.nih.gov/"&amp;C590&amp;"/","Open PubMed")</x:f>
        <x:v>HYPERLINK is not implemented. linkLocation=https://pubmed.ncbi.nlm.nih.gov/20483364/, friendlyName=Open PubMed</x:v>
      </x:c>
    </x:row>
    <x:row r="591">
      <x:c r="A591" s="26" t="str">
        <x:v>PUBMED-20478945</x:v>
      </x:c>
      <x:c r="B591" s="26" t="n">
        <x:v>2010</x:v>
      </x:c>
      <x:c r="C591" s="26" t="str">
        <x:v>20478945</x:v>
      </x:c>
      <x:c r="D591" s="28" t="str">
        <x:v>Attention-deficit/hyperactivity disorder and urinary metabolites of organophosphate pesticides.</x:v>
      </x:c>
      <x:c r="E591" s="28" t="str">
        <x:v>Primary study - cross-sectional</x:v>
      </x:c>
      <x:c r="F591" s="28" t="str">
        <x:v>Development &amp; presentation; Recognition &amp; diagnosis; Family &amp; education; Social &amp; structural; Environmental &amp; lifestyle</x:v>
      </x:c>
      <x:c r="G591" s="28" t="str">
        <x:v>Childhood; Adolescence</x:v>
      </x:c>
      <x:c r="H591" s="28" t="str">
        <x:v>Later specialized</x:v>
      </x:c>
      <x:c r="I591" s="28" t="str">
        <x:v>Direct or strongly ADHD-related record retained for later screening; typically narrower treatment, biomarker, mechanistic, or single-comorbidity focus.</x:v>
      </x:c>
      <x:c r="J591" s="38" t="e">
        <x:f>HYPERLINK("https://pubmed.ncbi.nlm.nih.gov/"&amp;C591&amp;"/","Open PubMed")</x:f>
        <x:v>HYPERLINK is not implemented. linkLocation=https://pubmed.ncbi.nlm.nih.gov/20478945/, friendlyName=Open PubMed</x:v>
      </x:c>
    </x:row>
    <x:row r="592">
      <x:c r="A592" s="26" t="str">
        <x:v>PUBMED-20470335</x:v>
      </x:c>
      <x:c r="B592" s="26" t="n">
        <x:v>2010</x:v>
      </x:c>
      <x:c r="C592" s="26" t="str">
        <x:v>20470335</x:v>
      </x:c>
      <x:c r="D592" s="28" t="str">
        <x:v>Anesthesia induction, emergence, and postoperative behaviors in children with attention-deficit/hyperactivity disorders.</x:v>
      </x:c>
      <x:c r="E592" s="28" t="str">
        <x:v>Primary study - cohort</x:v>
      </x:c>
      <x:c r="F592" s="28" t="str">
        <x:v>Development &amp; presentation; Recognition &amp; diagnosis; Family &amp; education; Treatment &amp; support</x:v>
      </x:c>
      <x:c r="G592" s="28" t="str">
        <x:v>Childhood; Adolescence</x:v>
      </x:c>
      <x:c r="H592" s="28" t="str">
        <x:v>Later specialized</x:v>
      </x:c>
      <x:c r="I592" s="28" t="str">
        <x:v>Direct or strongly ADHD-related record retained for later screening; typically narrower treatment, biomarker, mechanistic, or single-comorbidity focus.</x:v>
      </x:c>
      <x:c r="J592" s="38" t="e">
        <x:f>HYPERLINK("https://pubmed.ncbi.nlm.nih.gov/"&amp;C592&amp;"/","Open PubMed")</x:f>
        <x:v>HYPERLINK is not implemented. linkLocation=https://pubmed.ncbi.nlm.nih.gov/20470335/, friendlyName=Open PubMed</x:v>
      </x:c>
    </x:row>
    <x:row r="593">
      <x:c r="A593" s="26" t="str">
        <x:v>PUBMED-20468058</x:v>
      </x:c>
      <x:c r="B593" s="26" t="n">
        <x:v>2010</x:v>
      </x:c>
      <x:c r="C593" s="26" t="str">
        <x:v>20468058</x:v>
      </x:c>
      <x:c r="D593" s="28" t="str">
        <x:v>Intra-individual variability in genetic and environmental models of attention-deficit/hyperactivity disorder.</x:v>
      </x:c>
      <x:c r="E593" s="28" t="str">
        <x:v>Primary/contextual journal article</x:v>
      </x:c>
      <x:c r="F593" s="28" t="str">
        <x:v>Development &amp; presentation; Social &amp; structural; Environmental &amp; lifestyle; Treatment &amp; support</x:v>
      </x:c>
      <x:c r="G593" s="28" t="str">
        <x:v>Not specified</x:v>
      </x:c>
      <x:c r="H593" s="28" t="str">
        <x:v>Later specialized</x:v>
      </x:c>
      <x:c r="I593" s="28" t="str">
        <x:v>Direct or strongly ADHD-related record retained for later screening; typically narrower treatment, biomarker, mechanistic, or single-comorbidity focus.</x:v>
      </x:c>
      <x:c r="J593" s="38" t="e">
        <x:f>HYPERLINK("https://pubmed.ncbi.nlm.nih.gov/"&amp;C593&amp;"/","Open PubMed")</x:f>
        <x:v>HYPERLINK is not implemented. linkLocation=https://pubmed.ncbi.nlm.nih.gov/20468058/, friendlyName=Open PubMed</x:v>
      </x:c>
    </x:row>
    <x:row r="594">
      <x:c r="A594" s="26" t="str">
        <x:v>PUBMED-20460495</x:v>
      </x:c>
      <x:c r="B594" s="26" t="n">
        <x:v>2010</x:v>
      </x:c>
      <x:c r="C594" s="26" t="str">
        <x:v>20460495</x:v>
      </x:c>
      <x:c r="D594" s="28" t="str">
        <x:v>Corpus callosum anatomy in chronically treated and stimulant naïve ADHD.</x:v>
      </x:c>
      <x:c r="E594" s="28" t="str">
        <x:v>Primary/contextual journal article</x:v>
      </x:c>
      <x:c r="F594" s="28" t="str">
        <x:v>Development &amp; presentation; Recognition &amp; diagnosis; Social &amp; structural; Treatment &amp; support</x:v>
      </x:c>
      <x:c r="G594" s="28" t="str">
        <x:v>Childhood; Adolescence</x:v>
      </x:c>
      <x:c r="H594" s="28" t="str">
        <x:v>Later specialized</x:v>
      </x:c>
      <x:c r="I594" s="28" t="str">
        <x:v>Direct or strongly ADHD-related record retained for later screening; typically narrower treatment, biomarker, mechanistic, or single-comorbidity focus.</x:v>
      </x:c>
      <x:c r="J594" s="38" t="e">
        <x:f>HYPERLINK("https://pubmed.ncbi.nlm.nih.gov/"&amp;C594&amp;"/","Open PubMed")</x:f>
        <x:v>HYPERLINK is not implemented. linkLocation=https://pubmed.ncbi.nlm.nih.gov/20460495/, friendlyName=Open PubMed</x:v>
      </x:c>
    </x:row>
    <x:row r="595">
      <x:c r="A595" s="26" t="str">
        <x:v>PUBMED-20455610</x:v>
      </x:c>
      <x:c r="B595" s="26" t="n">
        <x:v>2010</x:v>
      </x:c>
      <x:c r="C595" s="26" t="str">
        <x:v>20455610</x:v>
      </x:c>
      <x:c r="D595" s="28" t="str">
        <x:v>The etiology of associations between negative emotionality and childhood externalizing disorders.</x:v>
      </x:c>
      <x:c r="E595" s="28" t="str">
        <x:v>Primary/contextual journal article</x:v>
      </x:c>
      <x:c r="F595" s="28" t="str">
        <x:v>Development &amp; presentation; Recognition &amp; diagnosis; Family &amp; education; Social &amp; structural; Environmental &amp; lifestyle</x:v>
      </x:c>
      <x:c r="G595" s="28" t="str">
        <x:v>Childhood; Adolescence</x:v>
      </x:c>
      <x:c r="H595" s="28" t="str">
        <x:v>Exclude/incidental</x:v>
      </x:c>
      <x:c r="I595" s="28" t="str">
        <x:v>ADHD appears peripheral or insufficiently aligned with the requested corpus scope based on accessible metadata/abstract.</x:v>
      </x:c>
      <x:c r="J595" s="38" t="e">
        <x:f>HYPERLINK("https://pubmed.ncbi.nlm.nih.gov/"&amp;C595&amp;"/","Open PubMed")</x:f>
        <x:v>HYPERLINK is not implemented. linkLocation=https://pubmed.ncbi.nlm.nih.gov/20455610/, friendlyName=Open PubMed</x:v>
      </x:c>
    </x:row>
    <x:row r="596">
      <x:c r="A596" s="26" t="str">
        <x:v>PUBMED-20455329</x:v>
      </x:c>
      <x:c r="B596" s="26" t="n">
        <x:v>2010</x:v>
      </x:c>
      <x:c r="C596" s="26" t="str">
        <x:v>20455329</x:v>
      </x:c>
      <x:c r="D596" s="28" t="str">
        <x:v>Atomoxetine. Attention-deficit/hyperactivity disorder: no better than methylphenidate.</x:v>
      </x:c>
      <x:c r="E596" s="28" t="str">
        <x:v>Evidence synthesis - meta-analysis</x:v>
      </x:c>
      <x:c r="F596" s="28" t="str">
        <x:v>Development &amp; presentation; Recognition &amp; diagnosis; Family &amp; education; Social &amp; structural; Treatment &amp; support</x:v>
      </x:c>
      <x:c r="G596" s="28" t="str">
        <x:v>Childhood; Adolescence</x:v>
      </x:c>
      <x:c r="H596" s="28" t="str">
        <x:v>Later specialized</x:v>
      </x:c>
      <x:c r="I596" s="28" t="str">
        <x:v>Direct or strongly ADHD-related record retained for later screening; typically narrower treatment, biomarker, mechanistic, or single-comorbidity focus.</x:v>
      </x:c>
      <x:c r="J596" s="38" t="e">
        <x:f>HYPERLINK("https://pubmed.ncbi.nlm.nih.gov/"&amp;C596&amp;"/","Open PubMed")</x:f>
        <x:v>HYPERLINK is not implemented. linkLocation=https://pubmed.ncbi.nlm.nih.gov/20455329/, friendlyName=Open PubMed</x:v>
      </x:c>
    </x:row>
    <x:row r="597">
      <x:c r="A597" s="26" t="str">
        <x:v>PUBMED-20453262</x:v>
      </x:c>
      <x:c r="B597" s="26" t="n">
        <x:v>2010</x:v>
      </x:c>
      <x:c r="C597" s="26" t="str">
        <x:v>20453262</x:v>
      </x:c>
      <x:c r="D597" s="28" t="str">
        <x:v>Iron deficiency in Indian children with attention deficit hyperactivity disorder.</x:v>
      </x:c>
      <x:c r="E597" s="28" t="str">
        <x:v>Primary/contextual journal article</x:v>
      </x:c>
      <x:c r="F597" s="28" t="str">
        <x:v>Development &amp; presentation; Recognition &amp; diagnosis; Social &amp; structural</x:v>
      </x:c>
      <x:c r="G597" s="28" t="str">
        <x:v>Childhood</x:v>
      </x:c>
      <x:c r="H597" s="28" t="str">
        <x:v>Later specialized</x:v>
      </x:c>
      <x:c r="I597" s="28" t="str">
        <x:v>Direct or strongly ADHD-related record retained for later screening; typically narrower treatment, biomarker, mechanistic, or single-comorbidity focus.</x:v>
      </x:c>
      <x:c r="J597" s="38" t="e">
        <x:f>HYPERLINK("https://pubmed.ncbi.nlm.nih.gov/"&amp;C597&amp;"/","Open PubMed")</x:f>
        <x:v>HYPERLINK is not implemented. linkLocation=https://pubmed.ncbi.nlm.nih.gov/20453262/, friendlyName=Open PubMed</x:v>
      </x:c>
    </x:row>
    <x:row r="598">
      <x:c r="A598" s="26" t="str">
        <x:v>PUBMED-20451152</x:v>
      </x:c>
      <x:c r="B598" s="26" t="n">
        <x:v>2010</x:v>
      </x:c>
      <x:c r="C598" s="26" t="str">
        <x:v>20451152</x:v>
      </x:c>
      <x:c r="D598" s="28" t="str">
        <x:v>The chiropractic care of children with attention-deficit/hyperactivity disorder: a retrospective case series.</x:v>
      </x:c>
      <x:c r="E598" s="28" t="str">
        <x:v>Primary/contextual journal article</x:v>
      </x:c>
      <x:c r="F598" s="28" t="str">
        <x:v>Development &amp; presentation; Recognition &amp; diagnosis; Family &amp; education; Social &amp; structural; Environmental &amp; lifestyle; Treatment &amp; support; Life outcomes &amp; lived experience; Historical &amp; contemporary context</x:v>
      </x:c>
      <x:c r="G598" s="28" t="str">
        <x:v>Childhood</x:v>
      </x:c>
      <x:c r="H598" s="28" t="str">
        <x:v>Later specialized</x:v>
      </x:c>
      <x:c r="I598" s="28" t="str">
        <x:v>Direct or strongly ADHD-related record retained for later screening; typically narrower treatment, biomarker, mechanistic, or single-comorbidity focus.</x:v>
      </x:c>
      <x:c r="J598" s="38" t="e">
        <x:f>HYPERLINK("https://pubmed.ncbi.nlm.nih.gov/"&amp;C598&amp;"/","Open PubMed")</x:f>
        <x:v>HYPERLINK is not implemented. linkLocation=https://pubmed.ncbi.nlm.nih.gov/20451152/, friendlyName=Open PubMed</x:v>
      </x:c>
    </x:row>
    <x:row r="599">
      <x:c r="A599" s="26" t="str">
        <x:v>PUBMED-20449644</x:v>
      </x:c>
      <x:c r="B599" s="26" t="n">
        <x:v>2010</x:v>
      </x:c>
      <x:c r="C599" s="26" t="str">
        <x:v>20449644</x:v>
      </x:c>
      <x:c r="D599" s="28" t="str">
        <x:v>Examining manual and visual response inhibition among ADHD subtypes.</x:v>
      </x:c>
      <x:c r="E599" s="28" t="str">
        <x:v>Primary/contextual journal article</x:v>
      </x:c>
      <x:c r="F599" s="28" t="str">
        <x:v>Development &amp; presentation; Recognition &amp; diagnosis; Social &amp; structural; Life outcomes &amp; lived experience</x:v>
      </x:c>
      <x:c r="G599" s="28" t="str">
        <x:v>Childhood</x:v>
      </x:c>
      <x:c r="H599" s="28" t="str">
        <x:v>Later specialized</x:v>
      </x:c>
      <x:c r="I599" s="28" t="str">
        <x:v>Direct or strongly ADHD-related record retained for later screening; typically narrower treatment, biomarker, mechanistic, or single-comorbidity focus.</x:v>
      </x:c>
      <x:c r="J599" s="38" t="e">
        <x:f>HYPERLINK("https://pubmed.ncbi.nlm.nih.gov/"&amp;C599&amp;"/","Open PubMed")</x:f>
        <x:v>HYPERLINK is not implemented. linkLocation=https://pubmed.ncbi.nlm.nih.gov/20449644/, friendlyName=Open PubMed</x:v>
      </x:c>
    </x:row>
    <x:row r="600">
      <x:c r="A600" s="26" t="str">
        <x:v>PUBMED-20448519</x:v>
      </x:c>
      <x:c r="B600" s="26" t="n">
        <x:v>2010</x:v>
      </x:c>
      <x:c r="C600" s="26" t="str">
        <x:v>20448519</x:v>
      </x:c>
      <x:c r="D600" s="28" t="str">
        <x:v>Successful treatment of bipolar disorder II and ADHD with a micronutrient formula: a case study.</x:v>
      </x:c>
      <x:c r="E600" s="28" t="str">
        <x:v>Primary/contextual journal article</x:v>
      </x:c>
      <x:c r="F600" s="28" t="str">
        <x:v>Development &amp; presentation; Recognition &amp; diagnosis; Social &amp; structural; Environmental &amp; lifestyle; Treatment &amp; support; Life outcomes &amp; lived experience; Historical &amp; contemporary context</x:v>
      </x:c>
      <x:c r="G600" s="28" t="str">
        <x:v>Adulthood</x:v>
      </x:c>
      <x:c r="H600" s="28" t="str">
        <x:v>Later specialized</x:v>
      </x:c>
      <x:c r="I600" s="28" t="str">
        <x:v>Direct or strongly ADHD-related record retained for later screening; typically narrower treatment, biomarker, mechanistic, or single-comorbidity focus.</x:v>
      </x:c>
      <x:c r="J600" s="38" t="e">
        <x:f>HYPERLINK("https://pubmed.ncbi.nlm.nih.gov/"&amp;C600&amp;"/","Open PubMed")</x:f>
        <x:v>HYPERLINK is not implemented. linkLocation=https://pubmed.ncbi.nlm.nih.gov/20448519/, friendlyName=Open PubMed</x:v>
      </x:c>
    </x:row>
    <x:row r="601">
      <x:c r="A601" s="26" t="str">
        <x:v>PUBMED-20445838</x:v>
      </x:c>
      <x:c r="B601" s="26" t="n">
        <x:v>2010</x:v>
      </x:c>
      <x:c r="C601" s="26" t="str">
        <x:v>20445838</x:v>
      </x:c>
      <x:c r="D601" s="28" t="str">
        <x:v>Antisocial personality disorder in incarcerated offenders: Psychiatric comorbidity and quality of life.</x:v>
      </x:c>
      <x:c r="E601" s="28" t="str">
        <x:v>Primary/contextual journal article</x:v>
      </x:c>
      <x:c r="F601" s="28" t="str">
        <x:v>Development &amp; presentation; Social &amp; structural; Treatment &amp; support; Life outcomes &amp; lived experience</x:v>
      </x:c>
      <x:c r="G601" s="28" t="str">
        <x:v>Adulthood</x:v>
      </x:c>
      <x:c r="H601" s="28" t="str">
        <x:v>Later specialized</x:v>
      </x:c>
      <x:c r="I601" s="28" t="str">
        <x:v>Direct or strongly ADHD-related record retained for later screening; typically narrower treatment, biomarker, mechanistic, or single-comorbidity focus.</x:v>
      </x:c>
      <x:c r="J601" s="38" t="e">
        <x:f>HYPERLINK("https://pubmed.ncbi.nlm.nih.gov/"&amp;C601&amp;"/","Open PubMed")</x:f>
        <x:v>HYPERLINK is not implemented. linkLocation=https://pubmed.ncbi.nlm.nih.gov/20445838/, friendlyName=Open PubMed</x:v>
      </x:c>
    </x:row>
    <x:row r="602">
      <x:c r="A602" s="26" t="str">
        <x:v>PUBMED-20444581</x:v>
      </x:c>
      <x:c r="B602" s="26" t="n">
        <x:v>2010</x:v>
      </x:c>
      <x:c r="C602" s="26" t="str">
        <x:v>20444581</x:v>
      </x:c>
      <x:c r="D602" s="28" t="str">
        <x:v>Predicting the course and outcome of bipolar disorder: a review.</x:v>
      </x:c>
      <x:c r="E602" s="28" t="str">
        <x:v>Evidence synthesis - review</x:v>
      </x:c>
      <x:c r="F602" s="28" t="str">
        <x:v>Development &amp; presentation; Recognition &amp; diagnosis; Family &amp; education; Social &amp; structural; Treatment &amp; support; Life outcomes &amp; lived experience</x:v>
      </x:c>
      <x:c r="G602" s="28" t="str">
        <x:v>Not specified</x:v>
      </x:c>
      <x:c r="H602" s="28" t="str">
        <x:v>Exclude/incidental</x:v>
      </x:c>
      <x:c r="I602" s="28" t="str">
        <x:v>ADHD appears peripheral or insufficiently aligned with the requested corpus scope based on accessible metadata/abstract.</x:v>
      </x:c>
      <x:c r="J602" s="38" t="e">
        <x:f>HYPERLINK("https://pubmed.ncbi.nlm.nih.gov/"&amp;C602&amp;"/","Open PubMed")</x:f>
        <x:v>HYPERLINK is not implemented. linkLocation=https://pubmed.ncbi.nlm.nih.gov/20444581/, friendlyName=Open PubMed</x:v>
      </x:c>
    </x:row>
    <x:row r="603">
      <x:c r="A603" s="26" t="str">
        <x:v>PUBMED-20440952</x:v>
      </x:c>
      <x:c r="B603" s="26" t="n">
        <x:v>2010</x:v>
      </x:c>
      <x:c r="C603" s="26" t="str">
        <x:v>20440952</x:v>
      </x:c>
      <x:c r="D603" s="28" t="str">
        <x:v>Evolving roles for school nurses: addressing mental health and psychiatric concerns of students.</x:v>
      </x:c>
      <x:c r="E603" s="28" t="str">
        <x:v>Primary/contextual journal article</x:v>
      </x:c>
      <x:c r="F603" s="28" t="str">
        <x:v>Development &amp; presentation; Recognition &amp; diagnosis; Family &amp; education; Social &amp; structural; Treatment &amp; support</x:v>
      </x:c>
      <x:c r="G603" s="28" t="str">
        <x:v>Childhood</x:v>
      </x:c>
      <x:c r="H603" s="28" t="str">
        <x:v>Exclude/incidental</x:v>
      </x:c>
      <x:c r="I603" s="28" t="str">
        <x:v>ADHD appears peripheral or insufficiently aligned with the requested corpus scope based on accessible metadata/abstract.</x:v>
      </x:c>
      <x:c r="J603" s="38" t="e">
        <x:f>HYPERLINK("https://pubmed.ncbi.nlm.nih.gov/"&amp;C603&amp;"/","Open PubMed")</x:f>
        <x:v>HYPERLINK is not implemented. linkLocation=https://pubmed.ncbi.nlm.nih.gov/20440952/, friendlyName=Open PubMed</x:v>
      </x:c>
    </x:row>
    <x:row r="604">
      <x:c r="A604" s="26" t="str">
        <x:v>PUBMED-20439802</x:v>
      </x:c>
      <x:c r="B604" s="26" t="n">
        <x:v>2010</x:v>
      </x:c>
      <x:c r="C604" s="26" t="str">
        <x:v>20439802</x:v>
      </x:c>
      <x:c r="D604" s="28" t="str">
        <x:v>Picture of the month--quiz case. Lisch nodules, ectropion uveae, and optic pathway glioma (juvenile pilocytic astrocytoma) due to neurofibromatosis type 1.</x:v>
      </x:c>
      <x:c r="E604" s="28" t="str">
        <x:v>Primary/contextual journal article</x:v>
      </x:c>
      <x:c r="F604" s="28" t="str">
        <x:v>Development &amp; presentation; Recognition &amp; diagnosis</x:v>
      </x:c>
      <x:c r="G604" s="28" t="str">
        <x:v>Childhood</x:v>
      </x:c>
      <x:c r="H604" s="28" t="str">
        <x:v>Exclude/incidental</x:v>
      </x:c>
      <x:c r="I604" s="28" t="str">
        <x:v>ADHD appears peripheral or insufficiently aligned with the requested corpus scope based on accessible metadata/abstract.</x:v>
      </x:c>
      <x:c r="J604" s="38" t="e">
        <x:f>HYPERLINK("https://pubmed.ncbi.nlm.nih.gov/"&amp;C604&amp;"/","Open PubMed")</x:f>
        <x:v>HYPERLINK is not implemented. linkLocation=https://pubmed.ncbi.nlm.nih.gov/20439802/, friendlyName=Open PubMed</x:v>
      </x:c>
    </x:row>
    <x:row r="605">
      <x:c r="A605" s="26" t="str">
        <x:v>PUBMED-20439798</x:v>
      </x:c>
      <x:c r="B605" s="26" t="n">
        <x:v>2010</x:v>
      </x:c>
      <x:c r="C605" s="26" t="str">
        <x:v>20439798</x:v>
      </x:c>
      <x:c r="D605" s="28" t="str">
        <x:v>Impact of early school-based screening and intervention programs for ADHD on children's outcomes and access to services: follow-up of a school-based trial at age 10 years.</x:v>
      </x:c>
      <x:c r="E605" s="28" t="str">
        <x:v>Primary study - randomized controlled trial</x:v>
      </x:c>
      <x:c r="F605" s="28" t="str">
        <x:v>Development &amp; presentation; Recognition &amp; diagnosis; Family &amp; education; Social &amp; structural; Treatment &amp; support; Life outcomes &amp; lived experience</x:v>
      </x:c>
      <x:c r="G605" s="28" t="str">
        <x:v>Childhood</x:v>
      </x:c>
      <x:c r="H605" s="28" t="str">
        <x:v>Later specialized</x:v>
      </x:c>
      <x:c r="I605" s="28" t="str">
        <x:v>Direct or strongly ADHD-related record retained for later screening; typically narrower treatment, biomarker, mechanistic, or single-comorbidity focus.</x:v>
      </x:c>
      <x:c r="J605" s="38" t="e">
        <x:f>HYPERLINK("https://pubmed.ncbi.nlm.nih.gov/"&amp;C605&amp;"/","Open PubMed")</x:f>
        <x:v>HYPERLINK is not implemented. linkLocation=https://pubmed.ncbi.nlm.nih.gov/20439798/, friendlyName=Open PubMed</x:v>
      </x:c>
    </x:row>
    <x:row r="606">
      <x:c r="A606" s="26" t="str">
        <x:v>PUBMED-20436450</x:v>
      </x:c>
      <x:c r="B606" s="26" t="n">
        <x:v>2010</x:v>
      </x:c>
      <x:c r="C606" s="26" t="str">
        <x:v>20436450</x:v>
      </x:c>
      <x:c r="D606" s="28" t="str">
        <x:v>[Attention deficit - hyperactivity disorder and enuresis in children and adolescents].</x:v>
      </x:c>
      <x:c r="E606" s="28" t="str">
        <x:v>Primary/contextual journal article</x:v>
      </x:c>
      <x:c r="F606" s="28" t="str">
        <x:v>Development &amp; presentation; Recognition &amp; diagnosis; Social &amp; structural</x:v>
      </x:c>
      <x:c r="G606" s="28" t="str">
        <x:v>Childhood; Adolescence</x:v>
      </x:c>
      <x:c r="H606" s="28" t="str">
        <x:v>Later specialized</x:v>
      </x:c>
      <x:c r="I606" s="28" t="str">
        <x:v>Direct or strongly ADHD-related record retained for later screening; typically narrower treatment, biomarker, mechanistic, or single-comorbidity focus.</x:v>
      </x:c>
      <x:c r="J606" s="38" t="e">
        <x:f>HYPERLINK("https://pubmed.ncbi.nlm.nih.gov/"&amp;C606&amp;"/","Open PubMed")</x:f>
        <x:v>HYPERLINK is not implemented. linkLocation=https://pubmed.ncbi.nlm.nih.gov/20436450/, friendlyName=Open PubMed</x:v>
      </x:c>
    </x:row>
    <x:row r="607">
      <x:c r="A607" s="26" t="str">
        <x:v>PUBMED-20431467</x:v>
      </x:c>
      <x:c r="B607" s="26" t="n">
        <x:v>2010</x:v>
      </x:c>
      <x:c r="C607" s="26" t="str">
        <x:v>20431467</x:v>
      </x:c>
      <x:c r="D607" s="28" t="str">
        <x:v>What's in a disruptive disorder? Temperamental antecedents of oppositional defiant disorder: findings from the Avon longitudinal study.</x:v>
      </x:c>
      <x:c r="E607" s="28" t="str">
        <x:v>Primary/contextual journal article</x:v>
      </x:c>
      <x:c r="F607" s="28" t="str">
        <x:v>Development &amp; presentation; Recognition &amp; diagnosis; Family &amp; education; Social &amp; structural</x:v>
      </x:c>
      <x:c r="G607" s="28" t="str">
        <x:v>Childhood</x:v>
      </x:c>
      <x:c r="H607" s="28" t="str">
        <x:v>Later specialized</x:v>
      </x:c>
      <x:c r="I607" s="28" t="str">
        <x:v>Direct or strongly ADHD-related record retained for later screening; typically narrower treatment, biomarker, mechanistic, or single-comorbidity focus.</x:v>
      </x:c>
      <x:c r="J607" s="38" t="e">
        <x:f>HYPERLINK("https://pubmed.ncbi.nlm.nih.gov/"&amp;C607&amp;"/","Open PubMed")</x:f>
        <x:v>HYPERLINK is not implemented. linkLocation=https://pubmed.ncbi.nlm.nih.gov/20431467/, friendlyName=Open PubMed</x:v>
      </x:c>
    </x:row>
    <x:row r="608">
      <x:c r="A608" s="26" t="str">
        <x:v>PUBMED-20431465</x:v>
      </x:c>
      <x:c r="B608" s="26" t="n">
        <x:v>2010</x:v>
      </x:c>
      <x:c r="C608" s="26" t="str">
        <x:v>20431465</x:v>
      </x:c>
      <x:c r="D608" s="28" t="str">
        <x:v>Psychiatric disorders in extremely preterm children: longitudinal finding at age 11 years in the EPICure study.</x:v>
      </x:c>
      <x:c r="E608" s="28" t="str">
        <x:v>Primary/contextual journal article</x:v>
      </x:c>
      <x:c r="F608" s="28" t="str">
        <x:v>Development &amp; presentation; Recognition &amp; diagnosis; Family &amp; education; Social &amp; structural; Treatment &amp; support</x:v>
      </x:c>
      <x:c r="G608" s="28" t="str">
        <x:v>Childhood; Adolescence</x:v>
      </x:c>
      <x:c r="H608" s="28" t="str">
        <x:v>Later specialized</x:v>
      </x:c>
      <x:c r="I608" s="28" t="str">
        <x:v>Direct or strongly ADHD-related record retained for later screening; typically narrower treatment, biomarker, mechanistic, or single-comorbidity focus.</x:v>
      </x:c>
      <x:c r="J608" s="38" t="e">
        <x:f>HYPERLINK("https://pubmed.ncbi.nlm.nih.gov/"&amp;C608&amp;"/","Open PubMed")</x:f>
        <x:v>HYPERLINK is not implemented. linkLocation=https://pubmed.ncbi.nlm.nih.gov/20431465/, friendlyName=Open PubMed</x:v>
      </x:c>
    </x:row>
    <x:row r="609">
      <x:c r="A609" s="26" t="str">
        <x:v>PUBMED-20427447</x:v>
      </x:c>
      <x:c r="B609" s="26" t="n">
        <x:v>2010</x:v>
      </x:c>
      <x:c r="C609" s="26" t="str">
        <x:v>20427447</x:v>
      </x:c>
      <x:c r="D609" s="28" t="str">
        <x:v>Do adults have ADHD? Let's debate treatment instead.</x:v>
      </x:c>
      <x:c r="E609" s="28" t="str">
        <x:v>Contextual - editorial/comment</x:v>
      </x:c>
      <x:c r="F609" s="28" t="str">
        <x:v>Development &amp; presentation; Recognition &amp; diagnosis; Social &amp; structural; Treatment &amp; support</x:v>
      </x:c>
      <x:c r="G609" s="28" t="str">
        <x:v>Adulthood</x:v>
      </x:c>
      <x:c r="H609" s="28" t="str">
        <x:v>Later specialized</x:v>
      </x:c>
      <x:c r="I609" s="28" t="str">
        <x:v>Direct or strongly ADHD-related record retained for later screening; typically narrower treatment, biomarker, mechanistic, or single-comorbidity focus.</x:v>
      </x:c>
      <x:c r="J609" s="38" t="e">
        <x:f>HYPERLINK("https://pubmed.ncbi.nlm.nih.gov/"&amp;C609&amp;"/","Open PubMed")</x:f>
        <x:v>HYPERLINK is not implemented. linkLocation=https://pubmed.ncbi.nlm.nih.gov/20427447/, friendlyName=Open PubMed</x:v>
      </x:c>
    </x:row>
    <x:row r="610">
      <x:c r="A610" s="26" t="str">
        <x:v>PUBMED-20424828</x:v>
      </x:c>
      <x:c r="B610" s="26" t="n">
        <x:v>2010</x:v>
      </x:c>
      <x:c r="C610" s="26" t="str">
        <x:v>20424828</x:v>
      </x:c>
      <x:c r="D610" s="28" t="str">
        <x:v>Non-specific effects of methylphenidate (Ritalin) on cognitive ability and decision-making of ADHD and healthy adults.</x:v>
      </x:c>
      <x:c r="E610" s="28" t="str">
        <x:v>Primary study - randomized controlled trial</x:v>
      </x:c>
      <x:c r="F610" s="28" t="str">
        <x:v>Development &amp; presentation; Recognition &amp; diagnosis; Social &amp; structural; Treatment &amp; support</x:v>
      </x:c>
      <x:c r="G610" s="28" t="str">
        <x:v>Adulthood</x:v>
      </x:c>
      <x:c r="H610" s="28" t="str">
        <x:v>Later specialized</x:v>
      </x:c>
      <x:c r="I610" s="28" t="str">
        <x:v>Direct or strongly ADHD-related record retained for later screening; typically narrower treatment, biomarker, mechanistic, or single-comorbidity focus.</x:v>
      </x:c>
      <x:c r="J610" s="38" t="e">
        <x:f>HYPERLINK("https://pubmed.ncbi.nlm.nih.gov/"&amp;C610&amp;"/","Open PubMed")</x:f>
        <x:v>HYPERLINK is not implemented. linkLocation=https://pubmed.ncbi.nlm.nih.gov/20424828/, friendlyName=Open PubMed</x:v>
      </x:c>
    </x:row>
    <x:row r="611">
      <x:c r="A611" s="26" t="str">
        <x:v>PUBMED-20424009</x:v>
      </x:c>
      <x:c r="B611" s="26" t="n">
        <x:v>2010</x:v>
      </x:c>
      <x:c r="C611" s="26" t="str">
        <x:v>20424009</x:v>
      </x:c>
      <x:c r="D611" s="28" t="str">
        <x:v>Assessment of ADHD documentation from candidates requesting Americans With Disabilities Act (ADA) accommodations for the National Board of Osteopathic Medical Examiners COMLEX exam.</x:v>
      </x:c>
      <x:c r="E611" s="28" t="str">
        <x:v>Primary/contextual journal article</x:v>
      </x:c>
      <x:c r="F611" s="28" t="str">
        <x:v>Development &amp; presentation; Recognition &amp; diagnosis; Family &amp; education; Social &amp; structural; Treatment &amp; support</x:v>
      </x:c>
      <x:c r="G611" s="28" t="str">
        <x:v>Not specified</x:v>
      </x:c>
      <x:c r="H611" s="28" t="str">
        <x:v>Later specialized</x:v>
      </x:c>
      <x:c r="I611" s="28" t="str">
        <x:v>Direct or strongly ADHD-related record retained for later screening; typically narrower treatment, biomarker, mechanistic, or single-comorbidity focus.</x:v>
      </x:c>
      <x:c r="J611" s="38" t="e">
        <x:f>HYPERLINK("https://pubmed.ncbi.nlm.nih.gov/"&amp;C611&amp;"/","Open PubMed")</x:f>
        <x:v>HYPERLINK is not implemented. linkLocation=https://pubmed.ncbi.nlm.nih.gov/20424009/, friendlyName=Open PubMed</x:v>
      </x:c>
    </x:row>
    <x:row r="612">
      <x:c r="A612" s="26" t="str">
        <x:v>PUBMED-20423627</x:v>
      </x:c>
      <x:c r="B612" s="26" t="n">
        <x:v>2010</x:v>
      </x:c>
      <x:c r="C612" s="26" t="str">
        <x:v>20423627</x:v>
      </x:c>
      <x:c r="D612" s="28" t="str">
        <x:v>[Differential personality features in adult ADHD subtypes].</x:v>
      </x:c>
      <x:c r="E612" s="28" t="str">
        <x:v>Primary/contextual journal article</x:v>
      </x:c>
      <x:c r="F612" s="28" t="str">
        <x:v>Development &amp; presentation; Recognition &amp; diagnosis; Social &amp; structural; Treatment &amp; support</x:v>
      </x:c>
      <x:c r="G612" s="28" t="str">
        <x:v>Childhood; Adolescence; Adulthood</x:v>
      </x:c>
      <x:c r="H612" s="28" t="str">
        <x:v>Later specialized</x:v>
      </x:c>
      <x:c r="I612" s="28" t="str">
        <x:v>Direct or strongly ADHD-related record retained for later screening; typically narrower treatment, biomarker, mechanistic, or single-comorbidity focus.</x:v>
      </x:c>
      <x:c r="J612" s="38" t="e">
        <x:f>HYPERLINK("https://pubmed.ncbi.nlm.nih.gov/"&amp;C612&amp;"/","Open PubMed")</x:f>
        <x:v>HYPERLINK is not implemented. linkLocation=https://pubmed.ncbi.nlm.nih.gov/20423627/, friendlyName=Open PubMed</x:v>
      </x:c>
    </x:row>
    <x:row r="613">
      <x:c r="A613" s="26" t="str">
        <x:v>PUBMED-20422838</x:v>
      </x:c>
      <x:c r="B613" s="26" t="n">
        <x:v>2010</x:v>
      </x:c>
      <x:c r="C613" s="26" t="str">
        <x:v>20422838</x:v>
      </x:c>
      <x:c r="D613" s="28" t="str">
        <x:v>[Gastrointestinal symptoms in pediatric patients with attention deficit and hyperactivity disorders].</x:v>
      </x:c>
      <x:c r="E613" s="28" t="str">
        <x:v>Primary/contextual journal article</x:v>
      </x:c>
      <x:c r="F613" s="28" t="str">
        <x:v>Development &amp; presentation; Family &amp; education; Social &amp; structural; Treatment &amp; support; Life outcomes &amp; lived experience</x:v>
      </x:c>
      <x:c r="G613" s="28" t="str">
        <x:v>Childhood</x:v>
      </x:c>
      <x:c r="H613" s="28" t="str">
        <x:v>Later specialized</x:v>
      </x:c>
      <x:c r="I613" s="28" t="str">
        <x:v>Direct or strongly ADHD-related record retained for later screening; typically narrower treatment, biomarker, mechanistic, or single-comorbidity focus.</x:v>
      </x:c>
      <x:c r="J613" s="38" t="e">
        <x:f>HYPERLINK("https://pubmed.ncbi.nlm.nih.gov/"&amp;C613&amp;"/","Open PubMed")</x:f>
        <x:v>HYPERLINK is not implemented. linkLocation=https://pubmed.ncbi.nlm.nih.gov/20422838/, friendlyName=Open PubMed</x:v>
      </x:c>
    </x:row>
    <x:row r="614">
      <x:c r="A614" s="26" t="str">
        <x:v>PUBMED-20421851</x:v>
      </x:c>
      <x:c r="B614" s="26" t="n">
        <x:v>2010</x:v>
      </x:c>
      <x:c r="C614" s="26" t="str">
        <x:v>20421851</x:v>
      </x:c>
      <x:c r="D614" s="28" t="str">
        <x:v>Dopamine risk and paternal ADHD symptomatology associated with ADHD symptoms in four and a half-year-old boys.</x:v>
      </x:c>
      <x:c r="E614" s="28" t="str">
        <x:v>Primary/contextual journal article</x:v>
      </x:c>
      <x:c r="F614" s="28" t="str">
        <x:v>Development &amp; presentation; Recognition &amp; diagnosis; Social &amp; structural; Environmental &amp; lifestyle</x:v>
      </x:c>
      <x:c r="G614" s="28" t="str">
        <x:v>Childhood; Adulthood</x:v>
      </x:c>
      <x:c r="H614" s="28" t="str">
        <x:v>Later specialized</x:v>
      </x:c>
      <x:c r="I614" s="28" t="str">
        <x:v>Direct or strongly ADHD-related record retained for later screening; typically narrower treatment, biomarker, mechanistic, or single-comorbidity focus.</x:v>
      </x:c>
      <x:c r="J614" s="38" t="e">
        <x:f>HYPERLINK("https://pubmed.ncbi.nlm.nih.gov/"&amp;C614&amp;"/","Open PubMed")</x:f>
        <x:v>HYPERLINK is not implemented. linkLocation=https://pubmed.ncbi.nlm.nih.gov/20421851/, friendlyName=Open PubMed</x:v>
      </x:c>
    </x:row>
    <x:row r="615">
      <x:c r="A615" s="26" t="str">
        <x:v>PUBMED-20417892</x:v>
      </x:c>
      <x:c r="B615" s="26" t="n">
        <x:v>2010</x:v>
      </x:c>
      <x:c r="C615" s="26" t="str">
        <x:v>20417892</x:v>
      </x:c>
      <x:c r="D615" s="28" t="str">
        <x:v>Attention deficit hyperactivity disorder: part I.</x:v>
      </x:c>
      <x:c r="E615" s="28" t="str">
        <x:v>Clinical guideline</x:v>
      </x:c>
      <x:c r="F615" s="28" t="str">
        <x:v>Development &amp; presentation; Recognition &amp; diagnosis</x:v>
      </x:c>
      <x:c r="G615" s="28" t="str">
        <x:v>Not specified</x:v>
      </x:c>
      <x:c r="H615" s="28" t="str">
        <x:v>Later specialized</x:v>
      </x:c>
      <x:c r="I615" s="28" t="str">
        <x:v>Direct or strongly ADHD-related record retained for later screening; typically narrower treatment, biomarker, mechanistic, or single-comorbidity focus.</x:v>
      </x:c>
      <x:c r="J615" s="38" t="e">
        <x:f>HYPERLINK("https://pubmed.ncbi.nlm.nih.gov/"&amp;C615&amp;"/","Open PubMed")</x:f>
        <x:v>HYPERLINK is not implemented. linkLocation=https://pubmed.ncbi.nlm.nih.gov/20417892/, friendlyName=Open PubMed</x:v>
      </x:c>
    </x:row>
    <x:row r="616">
      <x:c r="A616" s="26" t="str">
        <x:v>PUBMED-20415606</x:v>
      </x:c>
      <x:c r="B616" s="26" t="n">
        <x:v>2010</x:v>
      </x:c>
      <x:c r="C616" s="26" t="str">
        <x:v>20415606</x:v>
      </x:c>
      <x:c r="D616" s="28" t="str">
        <x:v>Manganese in children with attention-deficit/hyperactivity disorder: relationship with methylphenidate exposure.</x:v>
      </x:c>
      <x:c r="E616" s="28" t="str">
        <x:v>Primary study - clinical trial</x:v>
      </x:c>
      <x:c r="F616" s="28" t="str">
        <x:v>Development &amp; presentation; Family &amp; education; Social &amp; structural; Environmental &amp; lifestyle; Treatment &amp; support; Life outcomes &amp; lived experience</x:v>
      </x:c>
      <x:c r="G616" s="28" t="str">
        <x:v>Childhood; Adolescence</x:v>
      </x:c>
      <x:c r="H616" s="28" t="str">
        <x:v>Later specialized</x:v>
      </x:c>
      <x:c r="I616" s="28" t="str">
        <x:v>Direct or strongly ADHD-related record retained for later screening; typically narrower treatment, biomarker, mechanistic, or single-comorbidity focus.</x:v>
      </x:c>
      <x:c r="J616" s="38" t="e">
        <x:f>HYPERLINK("https://pubmed.ncbi.nlm.nih.gov/"&amp;C616&amp;"/","Open PubMed")</x:f>
        <x:v>HYPERLINK is not implemented. linkLocation=https://pubmed.ncbi.nlm.nih.gov/20415606/, friendlyName=Open PubMed</x:v>
      </x:c>
    </x:row>
    <x:row r="617">
      <x:c r="A617" s="26" t="str">
        <x:v>PUBMED-20414157</x:v>
      </x:c>
      <x:c r="B617" s="26" t="n">
        <x:v>2010</x:v>
      </x:c>
      <x:c r="C617" s="26" t="str">
        <x:v>20414157</x:v>
      </x:c>
      <x:c r="D617" s="28" t="str">
        <x:v>Methylphenidate effect in children with ADHD can be measured by an ecologically valid continuous performance test embedded in virtual reality.</x:v>
      </x:c>
      <x:c r="E617" s="28" t="str">
        <x:v>Primary/contextual journal article</x:v>
      </x:c>
      <x:c r="F617" s="28" t="str">
        <x:v>Development &amp; presentation; Recognition &amp; diagnosis; Family &amp; education; Social &amp; structural; Environmental &amp; lifestyle; Treatment &amp; support</x:v>
      </x:c>
      <x:c r="G617" s="28" t="str">
        <x:v>Childhood; Adolescence</x:v>
      </x:c>
      <x:c r="H617" s="28" t="str">
        <x:v>Later specialized</x:v>
      </x:c>
      <x:c r="I617" s="28" t="str">
        <x:v>Direct or strongly ADHD-related record retained for later screening; typically narrower treatment, biomarker, mechanistic, or single-comorbidity focus.</x:v>
      </x:c>
      <x:c r="J617" s="38" t="e">
        <x:f>HYPERLINK("https://pubmed.ncbi.nlm.nih.gov/"&amp;C617&amp;"/","Open PubMed")</x:f>
        <x:v>HYPERLINK is not implemented. linkLocation=https://pubmed.ncbi.nlm.nih.gov/20414157/, friendlyName=Open PubMed</x:v>
      </x:c>
    </x:row>
    <x:row r="618">
      <x:c r="A618" s="26" t="str">
        <x:v>PUBMED-20410729</x:v>
      </x:c>
      <x:c r="B618" s="26" t="n">
        <x:v>2010</x:v>
      </x:c>
      <x:c r="C618" s="26" t="str">
        <x:v>20410729</x:v>
      </x:c>
      <x:c r="D618" s="28" t="str">
        <x:v>Familial clustering and DRD4 effects on electroencephalogram measures in multiplex families with attention deficit/hyperactivity disorder.</x:v>
      </x:c>
      <x:c r="E618" s="28" t="str">
        <x:v>Primary/contextual journal article</x:v>
      </x:c>
      <x:c r="F618" s="28" t="str">
        <x:v>Development &amp; presentation; Recognition &amp; diagnosis; Family &amp; education; Social &amp; structural</x:v>
      </x:c>
      <x:c r="G618" s="28" t="str">
        <x:v>Childhood; Adulthood</x:v>
      </x:c>
      <x:c r="H618" s="28" t="str">
        <x:v>Later specialized</x:v>
      </x:c>
      <x:c r="I618" s="28" t="str">
        <x:v>Direct or strongly ADHD-related record retained for later screening; typically narrower treatment, biomarker, mechanistic, or single-comorbidity focus.</x:v>
      </x:c>
      <x:c r="J618" s="38" t="e">
        <x:f>HYPERLINK("https://pubmed.ncbi.nlm.nih.gov/"&amp;C618&amp;"/","Open PubMed")</x:f>
        <x:v>HYPERLINK is not implemented. linkLocation=https://pubmed.ncbi.nlm.nih.gov/20410729/, friendlyName=Open PubMed</x:v>
      </x:c>
    </x:row>
    <x:row r="619">
      <x:c r="A619" s="26" t="str">
        <x:v>PUBMED-20410712</x:v>
      </x:c>
      <x:c r="B619" s="26" t="n">
        <x:v>2010</x:v>
      </x:c>
      <x:c r="C619" s="26" t="str">
        <x:v>20410712</x:v>
      </x:c>
      <x:c r="D619" s="28" t="str">
        <x:v>Cortical gray matter in attention-deficit/hyperactivity disorder: a structural magnetic resonance imaging study.</x:v>
      </x:c>
      <x:c r="E619" s="28" t="str">
        <x:v>Primary/contextual journal article</x:v>
      </x:c>
      <x:c r="F619" s="28" t="str">
        <x:v>Development &amp; presentation; Recognition &amp; diagnosis; Social &amp; structural</x:v>
      </x:c>
      <x:c r="G619" s="28" t="str">
        <x:v>Childhood; Adolescence</x:v>
      </x:c>
      <x:c r="H619" s="28" t="str">
        <x:v>Later specialized</x:v>
      </x:c>
      <x:c r="I619" s="28" t="str">
        <x:v>Direct or strongly ADHD-related record retained for later screening; typically narrower treatment, biomarker, mechanistic, or single-comorbidity focus.</x:v>
      </x:c>
      <x:c r="J619" s="38" t="e">
        <x:f>HYPERLINK("https://pubmed.ncbi.nlm.nih.gov/"&amp;C619&amp;"/","Open PubMed")</x:f>
        <x:v>HYPERLINK is not implemented. linkLocation=https://pubmed.ncbi.nlm.nih.gov/20410712/, friendlyName=Open PubMed</x:v>
      </x:c>
    </x:row>
    <x:row r="620">
      <x:c r="A620" s="26" t="str">
        <x:v>PUBMED-20410710</x:v>
      </x:c>
      <x:c r="B620" s="26" t="n">
        <x:v>2010</x:v>
      </x:c>
      <x:c r="C620" s="26" t="str">
        <x:v>20410710</x:v>
      </x:c>
      <x:c r="D620" s="28" t="str">
        <x:v>Implications of extending the ADHD age-of-onset criterion to age 12: results from a prospectively studied birth cohort.</x:v>
      </x:c>
      <x:c r="E620" s="28" t="str">
        <x:v>Primary study - cohort</x:v>
      </x:c>
      <x:c r="F620" s="28" t="str">
        <x:v>Development &amp; presentation; Recognition &amp; diagnosis; Family &amp; education; Social &amp; structural; Environmental &amp; lifestyle</x:v>
      </x:c>
      <x:c r="G620" s="28" t="str">
        <x:v>Childhood; Adulthood</x:v>
      </x:c>
      <x:c r="H620" s="28" t="str">
        <x:v>Later specialized</x:v>
      </x:c>
      <x:c r="I620" s="28" t="str">
        <x:v>Direct or strongly ADHD-related record retained for later screening; typically narrower treatment, biomarker, mechanistic, or single-comorbidity focus.</x:v>
      </x:c>
      <x:c r="J620" s="38" t="e">
        <x:f>HYPERLINK("https://pubmed.ncbi.nlm.nih.gov/"&amp;C620&amp;"/","Open PubMed")</x:f>
        <x:v>HYPERLINK is not implemented. linkLocation=https://pubmed.ncbi.nlm.nih.gov/20410710/, friendlyName=Open PubMed</x:v>
      </x:c>
    </x:row>
    <x:row r="621">
      <x:c r="A621" s="26" t="str">
        <x:v>PUBMED-20410701</x:v>
      </x:c>
      <x:c r="B621" s="26" t="n">
        <x:v>2010</x:v>
      </x:c>
      <x:c r="C621" s="26" t="str">
        <x:v>20410701</x:v>
      </x:c>
      <x:c r="D621" s="28" t="str">
        <x:v>Relationships between child-reported activity level and task orientation and parental attention-deficit/hyperactivity disorder symptom ratings.</x:v>
      </x:c>
      <x:c r="E621" s="28" t="str">
        <x:v>Primary study - cohort</x:v>
      </x:c>
      <x:c r="F621" s="28" t="str">
        <x:v>Development &amp; presentation; Recognition &amp; diagnosis; Family &amp; education; Social &amp; structural; Life outcomes &amp; lived experience</x:v>
      </x:c>
      <x:c r="G621" s="28" t="str">
        <x:v>Childhood</x:v>
      </x:c>
      <x:c r="H621" s="28" t="str">
        <x:v>Batch 1 core</x:v>
      </x:c>
      <x:c r="I621" s="28" t="str">
        <x:v>Direct ADHD primary study on diagnosis, family/education, structural conditions, lived experience/outcomes, or environment/lifestyle.</x:v>
      </x:c>
      <x:c r="J621" s="38" t="e">
        <x:f>HYPERLINK("https://pubmed.ncbi.nlm.nih.gov/"&amp;C621&amp;"/","Open PubMed")</x:f>
        <x:v>HYPERLINK is not implemented. linkLocation=https://pubmed.ncbi.nlm.nih.gov/20410701/, friendlyName=Open PubMed</x:v>
      </x:c>
    </x:row>
    <x:row r="622">
      <x:c r="A622" s="26" t="str">
        <x:v>PUBMED-20406332</x:v>
      </x:c>
      <x:c r="B622" s="26" t="n">
        <x:v>2010</x:v>
      </x:c>
      <x:c r="C622" s="26" t="str">
        <x:v>20406332</x:v>
      </x:c>
      <x:c r="D622" s="28" t="str">
        <x:v>Validating neuropsychological subtypes of ADHD: how do children with and without an executive function deficit differ?</x:v>
      </x:c>
      <x:c r="E622" s="28" t="str">
        <x:v>Primary/contextual journal article</x:v>
      </x:c>
      <x:c r="F622" s="28" t="str">
        <x:v>Development &amp; presentation; Recognition &amp; diagnosis; Family &amp; education; Social &amp; structural; Life outcomes &amp; lived experience</x:v>
      </x:c>
      <x:c r="G622" s="28" t="str">
        <x:v>Childhood; Adolescence</x:v>
      </x:c>
      <x:c r="H622" s="28" t="str">
        <x:v>Later specialized</x:v>
      </x:c>
      <x:c r="I622" s="28" t="str">
        <x:v>Direct or strongly ADHD-related record retained for later screening; typically narrower treatment, biomarker, mechanistic, or single-comorbidity focus.</x:v>
      </x:c>
      <x:c r="J622" s="38" t="e">
        <x:f>HYPERLINK("https://pubmed.ncbi.nlm.nih.gov/"&amp;C622&amp;"/","Open PubMed")</x:f>
        <x:v>HYPERLINK is not implemented. linkLocation=https://pubmed.ncbi.nlm.nih.gov/20406332/, friendlyName=Open PubMed</x:v>
      </x:c>
    </x:row>
    <x:row r="623">
      <x:c r="A623" s="26" t="str">
        <x:v>PUBMED-20406115</x:v>
      </x:c>
      <x:c r="B623" s="26" t="n">
        <x:v>2010</x:v>
      </x:c>
      <x:c r="C623" s="26" t="str">
        <x:v>20406115</x:v>
      </x:c>
      <x:c r="D623" s="28" t="str">
        <x:v>The child and adolescent telepsychiatry consultation: can it be a more effective clinical process for certain patients than conventional practice?</x:v>
      </x:c>
      <x:c r="E623" s="28" t="str">
        <x:v>Primary/contextual journal article</x:v>
      </x:c>
      <x:c r="F623" s="28" t="str">
        <x:v>Development &amp; presentation; Recognition &amp; diagnosis; Social &amp; structural; Treatment &amp; support; Life outcomes &amp; lived experience</x:v>
      </x:c>
      <x:c r="G623" s="28" t="str">
        <x:v>Childhood; Adolescence</x:v>
      </x:c>
      <x:c r="H623" s="28" t="str">
        <x:v>Exclude/incidental</x:v>
      </x:c>
      <x:c r="I623" s="28" t="str">
        <x:v>ADHD appears peripheral or insufficiently aligned with the requested corpus scope based on accessible metadata/abstract.</x:v>
      </x:c>
      <x:c r="J623" s="38" t="e">
        <x:f>HYPERLINK("https://pubmed.ncbi.nlm.nih.gov/"&amp;C623&amp;"/","Open PubMed")</x:f>
        <x:v>HYPERLINK is not implemented. linkLocation=https://pubmed.ncbi.nlm.nih.gov/20406115/, friendlyName=Open PubMed</x:v>
      </x:c>
    </x:row>
    <x:row r="624">
      <x:c r="A624" s="26" t="str">
        <x:v>PUBMED-20402610</x:v>
      </x:c>
      <x:c r="B624" s="26" t="n">
        <x:v>2010</x:v>
      </x:c>
      <x:c r="C624" s="26" t="str">
        <x:v>20402610</x:v>
      </x:c>
      <x:c r="D624" s="28" t="str">
        <x:v>Homeopathy: what does the "best" evidence tell us?</x:v>
      </x:c>
      <x:c r="E624" s="28" t="str">
        <x:v>Evidence synthesis - meta-analysis</x:v>
      </x:c>
      <x:c r="F624" s="28" t="str">
        <x:v>Development &amp; presentation; Recognition &amp; diagnosis; Social &amp; structural; Treatment &amp; support</x:v>
      </x:c>
      <x:c r="G624" s="28" t="str">
        <x:v>Not specified</x:v>
      </x:c>
      <x:c r="H624" s="28" t="str">
        <x:v>Exclude/incidental</x:v>
      </x:c>
      <x:c r="I624" s="28" t="str">
        <x:v>ADHD appears peripheral or insufficiently aligned with the requested corpus scope based on accessible metadata/abstract.</x:v>
      </x:c>
      <x:c r="J624" s="38" t="e">
        <x:f>HYPERLINK("https://pubmed.ncbi.nlm.nih.gov/"&amp;C624&amp;"/","Open PubMed")</x:f>
        <x:v>HYPERLINK is not implemented. linkLocation=https://pubmed.ncbi.nlm.nih.gov/20402610/, friendlyName=Open PubMed</x:v>
      </x:c>
    </x:row>
    <x:row r="625">
      <x:c r="A625" s="26" t="str">
        <x:v>PUBMED-20401617</x:v>
      </x:c>
      <x:c r="B625" s="26" t="n">
        <x:v>2010</x:v>
      </x:c>
      <x:c r="C625" s="26" t="str">
        <x:v>20401617</x:v>
      </x:c>
      <x:c r="D625" s="28" t="str">
        <x:v>Effects of food on physical and sleep complaints in children with ADHD: a randomised controlled pilot study.</x:v>
      </x:c>
      <x:c r="E625" s="28" t="str">
        <x:v>Primary study - randomized controlled trial</x:v>
      </x:c>
      <x:c r="F625" s="28" t="str">
        <x:v>Development &amp; presentation; Recognition &amp; diagnosis; Family &amp; education; Social &amp; structural; Environmental &amp; lifestyle; Treatment &amp; support; Life outcomes &amp; lived experience</x:v>
      </x:c>
      <x:c r="G625" s="28" t="str">
        <x:v>Childhood</x:v>
      </x:c>
      <x:c r="H625" s="28" t="str">
        <x:v>Later specialized</x:v>
      </x:c>
      <x:c r="I625" s="28" t="str">
        <x:v>Direct or strongly ADHD-related record retained for later screening; typically narrower treatment, biomarker, mechanistic, or single-comorbidity focus.</x:v>
      </x:c>
      <x:c r="J625" s="38" t="e">
        <x:f>HYPERLINK("https://pubmed.ncbi.nlm.nih.gov/"&amp;C625&amp;"/","Open PubMed")</x:f>
        <x:v>HYPERLINK is not implemented. linkLocation=https://pubmed.ncbi.nlm.nih.gov/20401617/, friendlyName=Open PubMed</x:v>
      </x:c>
    </x:row>
    <x:row r="626">
      <x:c r="A626" s="26" t="str">
        <x:v>PUBMED-20398584</x:v>
      </x:c>
      <x:c r="B626" s="26" t="n">
        <x:v>2010</x:v>
      </x:c>
      <x:c r="C626" s="26" t="str">
        <x:v>20398584</x:v>
      </x:c>
      <x:c r="D626" s="28" t="str">
        <x:v>Clinical inquiries. Do dietary interventions improve ADHD symptoms in children?</x:v>
      </x:c>
      <x:c r="E626" s="28" t="str">
        <x:v>Evidence synthesis - review</x:v>
      </x:c>
      <x:c r="F626" s="28" t="str">
        <x:v>Development &amp; presentation; Social &amp; structural; Environmental &amp; lifestyle; Treatment &amp; support</x:v>
      </x:c>
      <x:c r="G626" s="28" t="str">
        <x:v>Childhood</x:v>
      </x:c>
      <x:c r="H626" s="28" t="str">
        <x:v>Later specialized</x:v>
      </x:c>
      <x:c r="I626" s="28" t="str">
        <x:v>Direct or strongly ADHD-related record retained for later screening; typically narrower treatment, biomarker, mechanistic, or single-comorbidity focus.</x:v>
      </x:c>
      <x:c r="J626" s="38" t="e">
        <x:f>HYPERLINK("https://pubmed.ncbi.nlm.nih.gov/"&amp;C626&amp;"/","Open PubMed")</x:f>
        <x:v>HYPERLINK is not implemented. linkLocation=https://pubmed.ncbi.nlm.nih.gov/20398584/, friendlyName=Open PubMed</x:v>
      </x:c>
    </x:row>
    <x:row r="627">
      <x:c r="A627" s="26" t="str">
        <x:v>PUBMED-20397786</x:v>
      </x:c>
      <x:c r="B627" s="26" t="n">
        <x:v>2010</x:v>
      </x:c>
      <x:c r="C627" s="26" t="str">
        <x:v>20397786</x:v>
      </x:c>
      <x:c r="D627" s="28" t="str">
        <x:v>Prediction of aggression and restraint in child inpatient units.</x:v>
      </x:c>
      <x:c r="E627" s="28" t="str">
        <x:v>Primary/contextual journal article</x:v>
      </x:c>
      <x:c r="F627" s="28" t="str">
        <x:v>Development &amp; presentation; Recognition &amp; diagnosis; Family &amp; education; Social &amp; structural</x:v>
      </x:c>
      <x:c r="G627" s="28" t="str">
        <x:v>Childhood</x:v>
      </x:c>
      <x:c r="H627" s="28" t="str">
        <x:v>Exclude/incidental</x:v>
      </x:c>
      <x:c r="I627" s="28" t="str">
        <x:v>ADHD appears peripheral or insufficiently aligned with the requested corpus scope based on accessible metadata/abstract.</x:v>
      </x:c>
      <x:c r="J627" s="38" t="e">
        <x:f>HYPERLINK("https://pubmed.ncbi.nlm.nih.gov/"&amp;C627&amp;"/","Open PubMed")</x:f>
        <x:v>HYPERLINK is not implemented. linkLocation=https://pubmed.ncbi.nlm.nih.gov/20397786/, friendlyName=Open PubMed</x:v>
      </x:c>
    </x:row>
    <x:row r="628">
      <x:c r="A628" s="26" t="str">
        <x:v>PUBMED-20385412</x:v>
      </x:c>
      <x:c r="B628" s="26" t="n">
        <x:v>2010</x:v>
      </x:c>
      <x:c r="C628" s="26" t="str">
        <x:v>20385412</x:v>
      </x:c>
      <x:c r="D628" s="28" t="str">
        <x:v>Effects of selective serotonin reuptake and dual serotonergic-noradrenergic reuptake treatments on attention and executive functions in patients with major depressive disorder.</x:v>
      </x:c>
      <x:c r="E628" s="28" t="str">
        <x:v>Primary/contextual journal article</x:v>
      </x:c>
      <x:c r="F628" s="28" t="str">
        <x:v>Development &amp; presentation; Recognition &amp; diagnosis; Social &amp; structural; Treatment &amp; support; Life outcomes &amp; lived experience</x:v>
      </x:c>
      <x:c r="G628" s="28" t="str">
        <x:v>Adulthood</x:v>
      </x:c>
      <x:c r="H628" s="28" t="str">
        <x:v>Later specialized</x:v>
      </x:c>
      <x:c r="I628" s="28" t="str">
        <x:v>Direct or strongly ADHD-related record retained for later screening; typically narrower treatment, biomarker, mechanistic, or single-comorbidity focus.</x:v>
      </x:c>
      <x:c r="J628" s="38" t="e">
        <x:f>HYPERLINK("https://pubmed.ncbi.nlm.nih.gov/"&amp;C628&amp;"/","Open PubMed")</x:f>
        <x:v>HYPERLINK is not implemented. linkLocation=https://pubmed.ncbi.nlm.nih.gov/20385412/, friendlyName=Open PubMed</x:v>
      </x:c>
    </x:row>
    <x:row r="629">
      <x:c r="A629" s="26" t="str">
        <x:v>PUBMED-20382439</x:v>
      </x:c>
      <x:c r="B629" s="26" t="n">
        <x:v>2010</x:v>
      </x:c>
      <x:c r="C629" s="26" t="str">
        <x:v>20382439</x:v>
      </x:c>
      <x:c r="D629" s="28" t="str">
        <x:v>The discrepancy in attention deficit hyperactivity disorder (ADHD) medications diffusion: 1994-2003--a global pharmaceutical data analysis.</x:v>
      </x:c>
      <x:c r="E629" s="28" t="str">
        <x:v>Primary/contextual journal article</x:v>
      </x:c>
      <x:c r="F629" s="28" t="str">
        <x:v>Development &amp; presentation; Social &amp; structural; Treatment &amp; support</x:v>
      </x:c>
      <x:c r="G629" s="28" t="str">
        <x:v>Not specified</x:v>
      </x:c>
      <x:c r="H629" s="28" t="str">
        <x:v>Later specialized</x:v>
      </x:c>
      <x:c r="I629" s="28" t="str">
        <x:v>Direct or strongly ADHD-related record retained for later screening; typically narrower treatment, biomarker, mechanistic, or single-comorbidity focus.</x:v>
      </x:c>
      <x:c r="J629" s="38" t="e">
        <x:f>HYPERLINK("https://pubmed.ncbi.nlm.nih.gov/"&amp;C629&amp;"/","Open PubMed")</x:f>
        <x:v>HYPERLINK is not implemented. linkLocation=https://pubmed.ncbi.nlm.nih.gov/20382439/, friendlyName=Open PubMed</x:v>
      </x:c>
    </x:row>
    <x:row r="630">
      <x:c r="A630" s="26" t="str">
        <x:v>PUBMED-20380911</x:v>
      </x:c>
      <x:c r="B630" s="26" t="n">
        <x:v>2010</x:v>
      </x:c>
      <x:c r="C630" s="26" t="str">
        <x:v>20380911</x:v>
      </x:c>
      <x:c r="D630" s="28" t="str">
        <x:v>The impact of distractions on young adult drivers with attention deficit hyperactivity disorder (ADHD).</x:v>
      </x:c>
      <x:c r="E630" s="28" t="str">
        <x:v>Primary study - case-control</x:v>
      </x:c>
      <x:c r="F630" s="28" t="str">
        <x:v>Development &amp; presentation; Social &amp; structural; Life outcomes &amp; lived experience</x:v>
      </x:c>
      <x:c r="G630" s="28" t="str">
        <x:v>Adolescence; Adulthood</x:v>
      </x:c>
      <x:c r="H630" s="28" t="str">
        <x:v>Later specialized</x:v>
      </x:c>
      <x:c r="I630" s="28" t="str">
        <x:v>Direct or strongly ADHD-related record retained for later screening; typically narrower treatment, biomarker, mechanistic, or single-comorbidity focus.</x:v>
      </x:c>
      <x:c r="J630" s="38" t="e">
        <x:f>HYPERLINK("https://pubmed.ncbi.nlm.nih.gov/"&amp;C630&amp;"/","Open PubMed")</x:f>
        <x:v>HYPERLINK is not implemented. linkLocation=https://pubmed.ncbi.nlm.nih.gov/20380911/, friendlyName=Open PubMed</x:v>
      </x:c>
    </x:row>
    <x:row r="631">
      <x:c r="A631" s="26" t="str">
        <x:v>PUBMED-20377637</x:v>
      </x:c>
      <x:c r="B631" s="26" t="n">
        <x:v>2010</x:v>
      </x:c>
      <x:c r="C631" s="26" t="str">
        <x:v>20377637</x:v>
      </x:c>
      <x:c r="D631" s="28" t="str">
        <x:v>Parental separation and children's behavioral/emotional problems: the impact of parental representations and family conflict.</x:v>
      </x:c>
      <x:c r="E631" s="28" t="str">
        <x:v>Primary/contextual journal article</x:v>
      </x:c>
      <x:c r="F631" s="28" t="str">
        <x:v>Development &amp; presentation; Family &amp; education; Social &amp; structural; Environmental &amp; lifestyle; Treatment &amp; support; Life outcomes &amp; lived experience</x:v>
      </x:c>
      <x:c r="G631" s="28" t="str">
        <x:v>Childhood</x:v>
      </x:c>
      <x:c r="H631" s="28" t="str">
        <x:v>Exclude/incidental</x:v>
      </x:c>
      <x:c r="I631" s="28" t="str">
        <x:v>ADHD appears peripheral or insufficiently aligned with the requested corpus scope based on accessible metadata/abstract.</x:v>
      </x:c>
      <x:c r="J631" s="38" t="e">
        <x:f>HYPERLINK("https://pubmed.ncbi.nlm.nih.gov/"&amp;C631&amp;"/","Open PubMed")</x:f>
        <x:v>HYPERLINK is not implemented. linkLocation=https://pubmed.ncbi.nlm.nih.gov/20377637/, friendlyName=Open PubMed</x:v>
      </x:c>
    </x:row>
    <x:row r="632">
      <x:c r="A632" s="26" t="str">
        <x:v>PUBMED-20374289</x:v>
      </x:c>
      <x:c r="B632" s="26" t="n">
        <x:v>2010</x:v>
      </x:c>
      <x:c r="C632" s="26" t="str">
        <x:v>20374289</x:v>
      </x:c>
      <x:c r="D632" s="28" t="str">
        <x:v>Disturbed structural connectivity is related to inattention and impulsivity in adult attention deficit hyperactivity disorder.</x:v>
      </x:c>
      <x:c r="E632" s="28" t="str">
        <x:v>Primary/contextual journal article</x:v>
      </x:c>
      <x:c r="F632" s="28" t="str">
        <x:v>Development &amp; presentation; Recognition &amp; diagnosis; Social &amp; structural; Treatment &amp; support</x:v>
      </x:c>
      <x:c r="G632" s="28" t="str">
        <x:v>Childhood; Adulthood</x:v>
      </x:c>
      <x:c r="H632" s="28" t="str">
        <x:v>Later specialized</x:v>
      </x:c>
      <x:c r="I632" s="28" t="str">
        <x:v>Direct or strongly ADHD-related record retained for later screening; typically narrower treatment, biomarker, mechanistic, or single-comorbidity focus.</x:v>
      </x:c>
      <x:c r="J632" s="38" t="e">
        <x:f>HYPERLINK("https://pubmed.ncbi.nlm.nih.gov/"&amp;C632&amp;"/","Open PubMed")</x:f>
        <x:v>HYPERLINK is not implemented. linkLocation=https://pubmed.ncbi.nlm.nih.gov/20374289/, friendlyName=Open PubMed</x:v>
      </x:c>
    </x:row>
    <x:row r="633">
      <x:c r="A633" s="26" t="str">
        <x:v>PUBMED-20373565</x:v>
      </x:c>
      <x:c r="B633" s="26" t="n">
        <x:v>2010</x:v>
      </x:c>
      <x:c r="C633" s="26" t="str">
        <x:v>20373565</x:v>
      </x:c>
      <x:c r="D633" s="28" t="str">
        <x:v>[Fighting with the Danish Medical Agency--core activity of the medical profession?].</x:v>
      </x:c>
      <x:c r="E633" s="28" t="str">
        <x:v>Other/unclear</x:v>
      </x:c>
      <x:c r="F633" s="28" t="str">
        <x:v>Development &amp; presentation; Environmental &amp; lifestyle; Treatment &amp; support</x:v>
      </x:c>
      <x:c r="G633" s="28" t="str">
        <x:v>Not specified</x:v>
      </x:c>
      <x:c r="H633" s="28" t="str">
        <x:v>Exclude/incidental</x:v>
      </x:c>
      <x:c r="I633" s="28" t="str">
        <x:v>ADHD appears peripheral or insufficiently aligned with the requested corpus scope based on accessible metadata/abstract.</x:v>
      </x:c>
      <x:c r="J633" s="38" t="e">
        <x:f>HYPERLINK("https://pubmed.ncbi.nlm.nih.gov/"&amp;C633&amp;"/","Open PubMed")</x:f>
        <x:v>HYPERLINK is not implemented. linkLocation=https://pubmed.ncbi.nlm.nih.gov/20373565/, friendlyName=Open PubMed</x:v>
      </x:c>
    </x:row>
    <x:row r="634">
      <x:c r="A634" s="26" t="str">
        <x:v>PUBMED-20369074</x:v>
      </x:c>
      <x:c r="B634" s="26" t="n">
        <x:v>2010</x:v>
      </x:c>
      <x:c r="C634" s="26" t="str">
        <x:v>20369074</x:v>
      </x:c>
      <x:c r="D634" s="28" t="str">
        <x:v>Therapeutic potential of histamine H3 receptor antagonists in dementias.</x:v>
      </x:c>
      <x:c r="E634" s="28" t="str">
        <x:v>Primary/contextual journal article</x:v>
      </x:c>
      <x:c r="F634" s="28" t="str">
        <x:v>Development &amp; presentation; Social &amp; structural; Treatment &amp; support</x:v>
      </x:c>
      <x:c r="G634" s="28" t="str">
        <x:v>Not specified</x:v>
      </x:c>
      <x:c r="H634" s="28" t="str">
        <x:v>Exclude/incidental</x:v>
      </x:c>
      <x:c r="I634" s="28" t="str">
        <x:v>ADHD appears peripheral or insufficiently aligned with the requested corpus scope based on accessible metadata/abstract.</x:v>
      </x:c>
      <x:c r="J634" s="38" t="e">
        <x:f>HYPERLINK("https://pubmed.ncbi.nlm.nih.gov/"&amp;C634&amp;"/","Open PubMed")</x:f>
        <x:v>HYPERLINK is not implemented. linkLocation=https://pubmed.ncbi.nlm.nih.gov/20369074/, friendlyName=Open PubMed</x:v>
      </x:c>
    </x:row>
    <x:row r="635">
      <x:c r="A635" s="26" t="str">
        <x:v>PUBMED-20367211</x:v>
      </x:c>
      <x:c r="B635" s="26" t="n">
        <x:v>2010</x:v>
      </x:c>
      <x:c r="C635" s="26" t="str">
        <x:v>20367211</x:v>
      </x:c>
      <x:c r="D635" s="28" t="str">
        <x:v>Structural and functional brain imaging in adult attention-deficit/hyperactivity disorder.</x:v>
      </x:c>
      <x:c r="E635" s="28" t="str">
        <x:v>Evidence synthesis - review</x:v>
      </x:c>
      <x:c r="F635" s="28" t="str">
        <x:v>Development &amp; presentation; Recognition &amp; diagnosis; Treatment &amp; support; Historical &amp; contemporary context</x:v>
      </x:c>
      <x:c r="G635" s="28" t="str">
        <x:v>Childhood; Adulthood</x:v>
      </x:c>
      <x:c r="H635" s="28" t="str">
        <x:v>Later specialized</x:v>
      </x:c>
      <x:c r="I635" s="28" t="str">
        <x:v>Direct or strongly ADHD-related record retained for later screening; typically narrower treatment, biomarker, mechanistic, or single-comorbidity focus.</x:v>
      </x:c>
      <x:c r="J635" s="38" t="e">
        <x:f>HYPERLINK("https://pubmed.ncbi.nlm.nih.gov/"&amp;C635&amp;"/","Open PubMed")</x:f>
        <x:v>HYPERLINK is not implemented. linkLocation=https://pubmed.ncbi.nlm.nih.gov/20367211/, friendlyName=Open PubMed</x:v>
      </x:c>
    </x:row>
    <x:row r="636">
      <x:c r="A636" s="26" t="str">
        <x:v>PUBMED-20359266</x:v>
      </x:c>
      <x:c r="B636" s="26" t="n">
        <x:v>2010</x:v>
      </x:c>
      <x:c r="C636" s="26" t="str">
        <x:v>20359266</x:v>
      </x:c>
      <x:c r="D636" s="28" t="str">
        <x:v>Biomarker-guided interventions of clinically relevant conditions associated with autism spectrum disorders and attention deficit hyperactivity disorder.</x:v>
      </x:c>
      <x:c r="E636" s="28" t="str">
        <x:v>Evidence synthesis - review</x:v>
      </x:c>
      <x:c r="F636" s="28" t="str">
        <x:v>Development &amp; presentation; Recognition &amp; diagnosis; Social &amp; structural; Environmental &amp; lifestyle; Treatment &amp; support</x:v>
      </x:c>
      <x:c r="G636" s="28" t="str">
        <x:v>Childhood</x:v>
      </x:c>
      <x:c r="H636" s="28" t="str">
        <x:v>Later specialized</x:v>
      </x:c>
      <x:c r="I636" s="28" t="str">
        <x:v>Direct or strongly ADHD-related record retained for later screening; typically narrower treatment, biomarker, mechanistic, or single-comorbidity focus.</x:v>
      </x:c>
      <x:c r="J636" s="38" t="e">
        <x:f>HYPERLINK("https://pubmed.ncbi.nlm.nih.gov/"&amp;C636&amp;"/","Open PubMed")</x:f>
        <x:v>HYPERLINK is not implemented. linkLocation=https://pubmed.ncbi.nlm.nih.gov/20359266/, friendlyName=Open PubMed</x:v>
      </x:c>
    </x:row>
    <x:row r="637">
      <x:c r="A637" s="26" t="str">
        <x:v>PUBMED-20353313</x:v>
      </x:c>
      <x:c r="B637" s="26" t="n">
        <x:v>2010</x:v>
      </x:c>
      <x:c r="C637" s="26" t="str">
        <x:v>20353313</x:v>
      </x:c>
      <x:c r="D637" s="28" t="str">
        <x:v>Bipolar disorder and comorbid attention deficit hyperactivity disorder. A distinct clinical phenotype? Clinical characteristics and temperamental traits.</x:v>
      </x:c>
      <x:c r="E637" s="28" t="str">
        <x:v>Primary/contextual journal article</x:v>
      </x:c>
      <x:c r="F637" s="28" t="str">
        <x:v>Development &amp; presentation; Recognition &amp; diagnosis; Family &amp; education; Social &amp; structural; Treatment &amp; support</x:v>
      </x:c>
      <x:c r="G637" s="28" t="str">
        <x:v>Childhood; Adolescence; Adulthood</x:v>
      </x:c>
      <x:c r="H637" s="28" t="str">
        <x:v>Later specialized</x:v>
      </x:c>
      <x:c r="I637" s="28" t="str">
        <x:v>Direct or strongly ADHD-related record retained for later screening; typically narrower treatment, biomarker, mechanistic, or single-comorbidity focus.</x:v>
      </x:c>
      <x:c r="J637" s="38" t="e">
        <x:f>HYPERLINK("https://pubmed.ncbi.nlm.nih.gov/"&amp;C637&amp;"/","Open PubMed")</x:f>
        <x:v>HYPERLINK is not implemented. linkLocation=https://pubmed.ncbi.nlm.nih.gov/20353313/, friendlyName=Open PubMed</x:v>
      </x:c>
    </x:row>
    <x:row r="638">
      <x:c r="A638" s="26" t="str">
        <x:v>PUBMED-20350758</x:v>
      </x:c>
      <x:c r="B638" s="26" t="n">
        <x:v>2010</x:v>
      </x:c>
      <x:c r="C638" s="26" t="str">
        <x:v>20350758</x:v>
      </x:c>
      <x:c r="D638" s="28" t="str">
        <x:v>Characterization and management of voiding dysfunction in children with attention deficit hyperactivity disorder.</x:v>
      </x:c>
      <x:c r="E638" s="28" t="str">
        <x:v>Primary/contextual journal article</x:v>
      </x:c>
      <x:c r="F638" s="28" t="str">
        <x:v>Development &amp; presentation; Recognition &amp; diagnosis; Social &amp; structural; Environmental &amp; lifestyle; Treatment &amp; support; Historical &amp; contemporary context</x:v>
      </x:c>
      <x:c r="G638" s="28" t="str">
        <x:v>Childhood</x:v>
      </x:c>
      <x:c r="H638" s="28" t="str">
        <x:v>Later specialized</x:v>
      </x:c>
      <x:c r="I638" s="28" t="str">
        <x:v>Direct or strongly ADHD-related record retained for later screening; typically narrower treatment, biomarker, mechanistic, or single-comorbidity focus.</x:v>
      </x:c>
      <x:c r="J638" s="38" t="e">
        <x:f>HYPERLINK("https://pubmed.ncbi.nlm.nih.gov/"&amp;C638&amp;"/","Open PubMed")</x:f>
        <x:v>HYPERLINK is not implemented. linkLocation=https://pubmed.ncbi.nlm.nih.gov/20350758/, friendlyName=Open PubMed</x:v>
      </x:c>
    </x:row>
    <x:row r="639">
      <x:c r="A639" s="26" t="str">
        <x:v>PUBMED-20350556</x:v>
      </x:c>
      <x:c r="B639" s="26" t="n">
        <x:v>2010</x:v>
      </x:c>
      <x:c r="C639" s="26" t="str">
        <x:v>20350556</x:v>
      </x:c>
      <x:c r="D639" s="28" t="str">
        <x:v>Altered evoked gamma-band responses reveal impaired early visual processing in ADHD children.</x:v>
      </x:c>
      <x:c r="E639" s="28" t="str">
        <x:v>Primary study - case-control</x:v>
      </x:c>
      <x:c r="F639" s="28" t="str">
        <x:v>Development &amp; presentation</x:v>
      </x:c>
      <x:c r="G639" s="28" t="str">
        <x:v>Childhood; Adolescence</x:v>
      </x:c>
      <x:c r="H639" s="28" t="str">
        <x:v>Later specialized</x:v>
      </x:c>
      <x:c r="I639" s="28" t="str">
        <x:v>Direct or strongly ADHD-related record retained for later screening; typically narrower treatment, biomarker, mechanistic, or single-comorbidity focus.</x:v>
      </x:c>
      <x:c r="J639" s="38" t="e">
        <x:f>HYPERLINK("https://pubmed.ncbi.nlm.nih.gov/"&amp;C639&amp;"/","Open PubMed")</x:f>
        <x:v>HYPERLINK is not implemented. linkLocation=https://pubmed.ncbi.nlm.nih.gov/20350556/, friendlyName=Open PubMed</x:v>
      </x:c>
    </x:row>
    <x:row r="640">
      <x:c r="A640" s="26" t="str">
        <x:v>PUBMED-20347913</x:v>
      </x:c>
      <x:c r="B640" s="26" t="n">
        <x:v>2010</x:v>
      </x:c>
      <x:c r="C640" s="26" t="str">
        <x:v>20347913</x:v>
      </x:c>
      <x:c r="D640" s="28" t="str">
        <x:v>Evidence that genetic variation in the oxytocin receptor (OXTR) gene influences social cognition in ADHD.</x:v>
      </x:c>
      <x:c r="E640" s="28" t="str">
        <x:v>Primary/contextual journal article</x:v>
      </x:c>
      <x:c r="F640" s="28" t="str">
        <x:v>Development &amp; presentation; Recognition &amp; diagnosis; Family &amp; education; Social &amp; structural</x:v>
      </x:c>
      <x:c r="G640" s="28" t="str">
        <x:v>Childhood; Adolescence; Adulthood</x:v>
      </x:c>
      <x:c r="H640" s="28" t="str">
        <x:v>Later specialized</x:v>
      </x:c>
      <x:c r="I640" s="28" t="str">
        <x:v>Direct or strongly ADHD-related record retained for later screening; typically narrower treatment, biomarker, mechanistic, or single-comorbidity focus.</x:v>
      </x:c>
      <x:c r="J640" s="38" t="e">
        <x:f>HYPERLINK("https://pubmed.ncbi.nlm.nih.gov/"&amp;C640&amp;"/","Open PubMed")</x:f>
        <x:v>HYPERLINK is not implemented. linkLocation=https://pubmed.ncbi.nlm.nih.gov/20347913/, friendlyName=Open PubMed</x:v>
      </x:c>
    </x:row>
    <x:row r="641">
      <x:c r="A641" s="26" t="str">
        <x:v>PUBMED-20345836</x:v>
      </x:c>
      <x:c r="B641" s="26" t="n">
        <x:v>2010</x:v>
      </x:c>
      <x:c r="C641" s="26" t="str">
        <x:v>20345836</x:v>
      </x:c>
      <x:c r="D641" s="28" t="str">
        <x:v>5HTT genotype moderates the influence of early institutional deprivation on emotional problems in adolescence: evidence from the English and Romanian Adoptee (ERA) study.</x:v>
      </x:c>
      <x:c r="E641" s="28" t="str">
        <x:v>Primary/contextual journal article</x:v>
      </x:c>
      <x:c r="F641" s="28" t="str">
        <x:v>Development &amp; presentation; Recognition &amp; diagnosis; Family &amp; education; Social &amp; structural; Environmental &amp; lifestyle</x:v>
      </x:c>
      <x:c r="G641" s="28" t="str">
        <x:v>Childhood; Adolescence</x:v>
      </x:c>
      <x:c r="H641" s="28" t="str">
        <x:v>Exclude/incidental</x:v>
      </x:c>
      <x:c r="I641" s="28" t="str">
        <x:v>ADHD appears peripheral or insufficiently aligned with the requested corpus scope based on accessible metadata/abstract.</x:v>
      </x:c>
      <x:c r="J641" s="38" t="e">
        <x:f>HYPERLINK("https://pubmed.ncbi.nlm.nih.gov/"&amp;C641&amp;"/","Open PubMed")</x:f>
        <x:v>HYPERLINK is not implemented. linkLocation=https://pubmed.ncbi.nlm.nih.gov/20345836/, friendlyName=Open PubMed</x:v>
      </x:c>
    </x:row>
    <x:row r="642">
      <x:c r="A642" s="26" t="str">
        <x:v>PUBMED-20339839</x:v>
      </x:c>
      <x:c r="B642" s="26" t="n">
        <x:v>2010</x:v>
      </x:c>
      <x:c r="C642" s="26" t="str">
        <x:v>20339839</x:v>
      </x:c>
      <x:c r="D642" s="28" t="str">
        <x:v>Learning efficacy of explicit visuomotor sequences in children with attention-deficit/hyperactivity disorder and Asperger syndrome.</x:v>
      </x:c>
      <x:c r="E642" s="28" t="str">
        <x:v>Primary/contextual journal article</x:v>
      </x:c>
      <x:c r="F642" s="28" t="str">
        <x:v>Development &amp; presentation; Family &amp; education; Social &amp; structural</x:v>
      </x:c>
      <x:c r="G642" s="28" t="str">
        <x:v>Childhood; Adolescence</x:v>
      </x:c>
      <x:c r="H642" s="28" t="str">
        <x:v>Later specialized</x:v>
      </x:c>
      <x:c r="I642" s="28" t="str">
        <x:v>Direct or strongly ADHD-related record retained for later screening; typically narrower treatment, biomarker, mechanistic, or single-comorbidity focus.</x:v>
      </x:c>
      <x:c r="J642" s="38" t="e">
        <x:f>HYPERLINK("https://pubmed.ncbi.nlm.nih.gov/"&amp;C642&amp;"/","Open PubMed")</x:f>
        <x:v>HYPERLINK is not implemented. linkLocation=https://pubmed.ncbi.nlm.nih.gov/20339839/, friendlyName=Open PubMed</x:v>
      </x:c>
    </x:row>
    <x:row r="643">
      <x:c r="A643" s="26" t="str">
        <x:v>PUBMED-20339663</x:v>
      </x:c>
      <x:c r="B643" s="26" t="n">
        <x:v>2010</x:v>
      </x:c>
      <x:c r="C643" s="26" t="str">
        <x:v>20339663</x:v>
      </x:c>
      <x:c r="D643" s="28" t="str">
        <x:v>Frequency of symptoms of attention deficit and hyperactivity disorder in autistic children.</x:v>
      </x:c>
      <x:c r="E643" s="28" t="str">
        <x:v>Primary study - cross-sectional</x:v>
      </x:c>
      <x:c r="F643" s="28" t="str">
        <x:v>Development &amp; presentation; Recognition &amp; diagnosis; Family &amp; education; Treatment &amp; support</x:v>
      </x:c>
      <x:c r="G643" s="28" t="str">
        <x:v>Childhood; Adolescence</x:v>
      </x:c>
      <x:c r="H643" s="28" t="str">
        <x:v>Later specialized</x:v>
      </x:c>
      <x:c r="I643" s="28" t="str">
        <x:v>Direct or strongly ADHD-related record retained for later screening; typically narrower treatment, biomarker, mechanistic, or single-comorbidity focus.</x:v>
      </x:c>
      <x:c r="J643" s="38" t="e">
        <x:f>HYPERLINK("https://pubmed.ncbi.nlm.nih.gov/"&amp;C643&amp;"/","Open PubMed")</x:f>
        <x:v>HYPERLINK is not implemented. linkLocation=https://pubmed.ncbi.nlm.nih.gov/20339663/, friendlyName=Open PubMed</x:v>
      </x:c>
    </x:row>
    <x:row r="644">
      <x:c r="A644" s="26" t="str">
        <x:v>PUBMED-20338019</x:v>
      </x:c>
      <x:c r="B644" s="26" t="n">
        <x:v>2010</x:v>
      </x:c>
      <x:c r="C644" s="26" t="str">
        <x:v>20338019</x:v>
      </x:c>
      <x:c r="D644" s="28" t="str">
        <x:v>The Attention and Executive Function Rating Inventory (ATTEX): Psychometric properties and clinical utility in diagnosing ADHD subtypes.</x:v>
      </x:c>
      <x:c r="E644" s="28" t="str">
        <x:v>Primary/contextual journal article</x:v>
      </x:c>
      <x:c r="F644" s="28" t="str">
        <x:v>Development &amp; presentation; Recognition &amp; diagnosis; Family &amp; education; Social &amp; structural; Environmental &amp; lifestyle</x:v>
      </x:c>
      <x:c r="G644" s="28" t="str">
        <x:v>Childhood; Adolescence</x:v>
      </x:c>
      <x:c r="H644" s="28" t="str">
        <x:v>Later specialized</x:v>
      </x:c>
      <x:c r="I644" s="28" t="str">
        <x:v>Direct or strongly ADHD-related record retained for later screening; typically narrower treatment, biomarker, mechanistic, or single-comorbidity focus.</x:v>
      </x:c>
      <x:c r="J644" s="38" t="e">
        <x:f>HYPERLINK("https://pubmed.ncbi.nlm.nih.gov/"&amp;C644&amp;"/","Open PubMed")</x:f>
        <x:v>HYPERLINK is not implemented. linkLocation=https://pubmed.ncbi.nlm.nih.gov/20338019/, friendlyName=Open PubMed</x:v>
      </x:c>
    </x:row>
    <x:row r="645">
      <x:c r="A645" s="26" t="str">
        <x:v>PUBMED-20336335</x:v>
      </x:c>
      <x:c r="B645" s="26" t="n">
        <x:v>2010</x:v>
      </x:c>
      <x:c r="C645" s="26" t="str">
        <x:v>20336335</x:v>
      </x:c>
      <x:c r="D645" s="28" t="str">
        <x:v>Genetic and environmental influences upon the CBCL/6-18 DSM-oriented scales: similarities and differences across three different computational approaches and two age ranges.</x:v>
      </x:c>
      <x:c r="E645" s="28" t="str">
        <x:v>Primary/contextual journal article</x:v>
      </x:c>
      <x:c r="F645" s="28" t="str">
        <x:v>Development &amp; presentation; Recognition &amp; diagnosis; Social &amp; structural; Environmental &amp; lifestyle</x:v>
      </x:c>
      <x:c r="G645" s="28" t="str">
        <x:v>Childhood; Adolescence</x:v>
      </x:c>
      <x:c r="H645" s="28" t="str">
        <x:v>Exclude/incidental</x:v>
      </x:c>
      <x:c r="I645" s="28" t="str">
        <x:v>ADHD appears peripheral or insufficiently aligned with the requested corpus scope based on accessible metadata/abstract.</x:v>
      </x:c>
      <x:c r="J645" s="38" t="e">
        <x:f>HYPERLINK("https://pubmed.ncbi.nlm.nih.gov/"&amp;C645&amp;"/","Open PubMed")</x:f>
        <x:v>HYPERLINK is not implemented. linkLocation=https://pubmed.ncbi.nlm.nih.gov/20336335/, friendlyName=Open PubMed</x:v>
      </x:c>
    </x:row>
    <x:row r="646">
      <x:c r="A646" s="26" t="str">
        <x:v>PUBMED-20332384</x:v>
      </x:c>
      <x:c r="B646" s="26" t="n">
        <x:v>2010</x:v>
      </x:c>
      <x:c r="C646" s="26" t="str">
        <x:v>20332384</x:v>
      </x:c>
      <x:c r="D646" s="28" t="str">
        <x:v>The human figure drawing as related to attention-deficit hyperactivity disorder (ADHD).</x:v>
      </x:c>
      <x:c r="E646" s="28" t="str">
        <x:v>Primary/contextual journal article</x:v>
      </x:c>
      <x:c r="F646" s="28" t="str">
        <x:v>Development &amp; presentation; Recognition &amp; diagnosis; Family &amp; education; Social &amp; structural</x:v>
      </x:c>
      <x:c r="G646" s="28" t="str">
        <x:v>Childhood</x:v>
      </x:c>
      <x:c r="H646" s="28" t="str">
        <x:v>Later specialized</x:v>
      </x:c>
      <x:c r="I646" s="28" t="str">
        <x:v>Direct or strongly ADHD-related record retained for later screening; typically narrower treatment, biomarker, mechanistic, or single-comorbidity focus.</x:v>
      </x:c>
      <x:c r="J646" s="38" t="e">
        <x:f>HYPERLINK("https://pubmed.ncbi.nlm.nih.gov/"&amp;C646&amp;"/","Open PubMed")</x:f>
        <x:v>HYPERLINK is not implemented. linkLocation=https://pubmed.ncbi.nlm.nih.gov/20332384/, friendlyName=Open PubMed</x:v>
      </x:c>
    </x:row>
    <x:row r="647">
      <x:c r="A647" s="26" t="str">
        <x:v>PUBMED-20331490</x:v>
      </x:c>
      <x:c r="B647" s="26" t="n">
        <x:v>2010</x:v>
      </x:c>
      <x:c r="C647" s="26" t="str">
        <x:v>20331490</x:v>
      </x:c>
      <x:c r="D647" s="28" t="str">
        <x:v>Revisiting the latent structure of ADHD: is there a 'g' factor?</x:v>
      </x:c>
      <x:c r="E647" s="28" t="str">
        <x:v>Primary/contextual journal article</x:v>
      </x:c>
      <x:c r="F647" s="28" t="str">
        <x:v>Development &amp; presentation; Recognition &amp; diagnosis; Family &amp; education; Social &amp; structural; Life outcomes &amp; lived experience</x:v>
      </x:c>
      <x:c r="G647" s="28" t="str">
        <x:v>Childhood; Adolescence</x:v>
      </x:c>
      <x:c r="H647" s="28" t="str">
        <x:v>Later specialized</x:v>
      </x:c>
      <x:c r="I647" s="28" t="str">
        <x:v>Direct or strongly ADHD-related record retained for later screening; typically narrower treatment, biomarker, mechanistic, or single-comorbidity focus.</x:v>
      </x:c>
      <x:c r="J647" s="38" t="e">
        <x:f>HYPERLINK("https://pubmed.ncbi.nlm.nih.gov/"&amp;C647&amp;"/","Open PubMed")</x:f>
        <x:v>HYPERLINK is not implemented. linkLocation=https://pubmed.ncbi.nlm.nih.gov/20331490/, friendlyName=Open PubMed</x:v>
      </x:c>
    </x:row>
    <x:row r="648">
      <x:c r="A648" s="26" t="str">
        <x:v>PUBMED-20308442</x:v>
      </x:c>
      <x:c r="B648" s="26" t="n">
        <x:v>2010</x:v>
      </x:c>
      <x:c r="C648" s="26" t="str">
        <x:v>20308442</x:v>
      </x:c>
      <x:c r="D648" s="28" t="str">
        <x:v>Update on the use of MR for assessment and diagnosis of psychiatric diseases.</x:v>
      </x:c>
      <x:c r="E648" s="28" t="str">
        <x:v>Evidence synthesis - review</x:v>
      </x:c>
      <x:c r="F648" s="28" t="str">
        <x:v>Development &amp; presentation; Recognition &amp; diagnosis; Social &amp; structural</x:v>
      </x:c>
      <x:c r="G648" s="28" t="str">
        <x:v>Not specified</x:v>
      </x:c>
      <x:c r="H648" s="28" t="str">
        <x:v>Exclude/incidental</x:v>
      </x:c>
      <x:c r="I648" s="28" t="str">
        <x:v>ADHD appears peripheral or insufficiently aligned with the requested corpus scope based on accessible metadata/abstract.</x:v>
      </x:c>
      <x:c r="J648" s="38" t="e">
        <x:f>HYPERLINK("https://pubmed.ncbi.nlm.nih.gov/"&amp;C648&amp;"/","Open PubMed")</x:f>
        <x:v>HYPERLINK is not implemented. linkLocation=https://pubmed.ncbi.nlm.nih.gov/20308442/, friendlyName=Open PubMed</x:v>
      </x:c>
    </x:row>
    <x:row r="649">
      <x:c r="A649" s="26" t="str">
        <x:v>PUBMED-20307165</x:v>
      </x:c>
      <x:c r="B649" s="26" t="n">
        <x:v>2010</x:v>
      </x:c>
      <x:c r="C649" s="26" t="str">
        <x:v>20307165</x:v>
      </x:c>
      <x:c r="D649" s="28" t="str">
        <x:v>Psychopathology and symptom remission at adolescence among children with attention-deficit-hyperactivity disorder.</x:v>
      </x:c>
      <x:c r="E649" s="28" t="str">
        <x:v>Primary study - randomized controlled trial</x:v>
      </x:c>
      <x:c r="F649" s="28" t="str">
        <x:v>Development &amp; presentation; Recognition &amp; diagnosis; Family &amp; education; Social &amp; structural; Environmental &amp; lifestyle</x:v>
      </x:c>
      <x:c r="G649" s="28" t="str">
        <x:v>Childhood; Adolescence</x:v>
      </x:c>
      <x:c r="H649" s="28" t="str">
        <x:v>Later specialized</x:v>
      </x:c>
      <x:c r="I649" s="28" t="str">
        <x:v>Direct or strongly ADHD-related record retained for later screening; typically narrower treatment, biomarker, mechanistic, or single-comorbidity focus.</x:v>
      </x:c>
      <x:c r="J649" s="38" t="e">
        <x:f>HYPERLINK("https://pubmed.ncbi.nlm.nih.gov/"&amp;C649&amp;"/","Open PubMed")</x:f>
        <x:v>HYPERLINK is not implemented. linkLocation=https://pubmed.ncbi.nlm.nih.gov/20307165/, friendlyName=Open PubMed</x:v>
      </x:c>
    </x:row>
    <x:row r="650">
      <x:c r="A650" s="26" t="str">
        <x:v>PUBMED-20304326</x:v>
      </x:c>
      <x:c r="B650" s="26" t="n">
        <x:v>2010</x:v>
      </x:c>
      <x:c r="C650" s="26" t="str">
        <x:v>20304326</x:v>
      </x:c>
      <x:c r="D650" s="28" t="str">
        <x:v>The prevalence of neuropsychiatric disorders in Sydenham's chorea.</x:v>
      </x:c>
      <x:c r="E650" s="28" t="str">
        <x:v>Primary study - cohort</x:v>
      </x:c>
      <x:c r="F650" s="28" t="str">
        <x:v>Development &amp; presentation; Recognition &amp; diagnosis; Family &amp; education; Social &amp; structural; Treatment &amp; support; Historical &amp; contemporary context</x:v>
      </x:c>
      <x:c r="G650" s="28" t="str">
        <x:v>Childhood; Adolescence</x:v>
      </x:c>
      <x:c r="H650" s="28" t="str">
        <x:v>Later specialized</x:v>
      </x:c>
      <x:c r="I650" s="28" t="str">
        <x:v>Direct or strongly ADHD-related record retained for later screening; typically narrower treatment, biomarker, mechanistic, or single-comorbidity focus.</x:v>
      </x:c>
      <x:c r="J650" s="38" t="e">
        <x:f>HYPERLINK("https://pubmed.ncbi.nlm.nih.gov/"&amp;C650&amp;"/","Open PubMed")</x:f>
        <x:v>HYPERLINK is not implemented. linkLocation=https://pubmed.ncbi.nlm.nih.gov/20304326/, friendlyName=Open PubMed</x:v>
      </x:c>
    </x:row>
    <x:row r="651">
      <x:c r="A651" s="26" t="str">
        <x:v>PUBMED-20303668</x:v>
      </x:c>
      <x:c r="B651" s="26" t="n">
        <x:v>2010</x:v>
      </x:c>
      <x:c r="C651" s="26" t="str">
        <x:v>20303668</x:v>
      </x:c>
      <x:c r="D651" s="28" t="str">
        <x:v>An intraoral neurocranial vertical distractor appliance provides unique treatment for Tourette's syndrome and resolves comorbid neurobehavioral problems of obsessive compulsive disorder.</x:v>
      </x:c>
      <x:c r="E651" s="28" t="str">
        <x:v>Evidence synthesis - review</x:v>
      </x:c>
      <x:c r="F651" s="28" t="str">
        <x:v>Development &amp; presentation; Recognition &amp; diagnosis; Social &amp; structural; Environmental &amp; lifestyle; Treatment &amp; support</x:v>
      </x:c>
      <x:c r="G651" s="28" t="str">
        <x:v>Not specified</x:v>
      </x:c>
      <x:c r="H651" s="28" t="str">
        <x:v>Later specialized</x:v>
      </x:c>
      <x:c r="I651" s="28" t="str">
        <x:v>Direct or strongly ADHD-related record retained for later screening; typically narrower treatment, biomarker, mechanistic, or single-comorbidity focus.</x:v>
      </x:c>
      <x:c r="J651" s="38" t="e">
        <x:f>HYPERLINK("https://pubmed.ncbi.nlm.nih.gov/"&amp;C651&amp;"/","Open PubMed")</x:f>
        <x:v>HYPERLINK is not implemented. linkLocation=https://pubmed.ncbi.nlm.nih.gov/20303668/, friendlyName=Open PubMed</x:v>
      </x:c>
    </x:row>
    <x:row r="652">
      <x:c r="A652" s="26" t="str">
        <x:v>PUBMED-20299700</x:v>
      </x:c>
      <x:c r="B652" s="26" t="n">
        <x:v>2010</x:v>
      </x:c>
      <x:c r="C652" s="26" t="str">
        <x:v>20299700</x:v>
      </x:c>
      <x:c r="D652" s="28" t="str">
        <x:v>Electroencephalogram discharges in atypical cognitive development.</x:v>
      </x:c>
      <x:c r="E652" s="28" t="str">
        <x:v>Primary/contextual journal article</x:v>
      </x:c>
      <x:c r="F652" s="28" t="str">
        <x:v>Development &amp; presentation; Recognition &amp; diagnosis; Family &amp; education; Social &amp; structural; Treatment &amp; support; Life outcomes &amp; lived experience</x:v>
      </x:c>
      <x:c r="G652" s="28" t="str">
        <x:v>Childhood</x:v>
      </x:c>
      <x:c r="H652" s="28" t="str">
        <x:v>Exclude/incidental</x:v>
      </x:c>
      <x:c r="I652" s="28" t="str">
        <x:v>ADHD appears peripheral or insufficiently aligned with the requested corpus scope based on accessible metadata/abstract.</x:v>
      </x:c>
      <x:c r="J652" s="38" t="e">
        <x:f>HYPERLINK("https://pubmed.ncbi.nlm.nih.gov/"&amp;C652&amp;"/","Open PubMed")</x:f>
        <x:v>HYPERLINK is not implemented. linkLocation=https://pubmed.ncbi.nlm.nih.gov/20299700/, friendlyName=Open PubMed</x:v>
      </x:c>
    </x:row>
    <x:row r="653">
      <x:c r="A653" s="26" t="str">
        <x:v>PUBMED-20298494</x:v>
      </x:c>
      <x:c r="B653" s="26" t="n">
        <x:v>2010</x:v>
      </x:c>
      <x:c r="C653" s="26" t="str">
        <x:v>20298494</x:v>
      </x:c>
      <x:c r="D653" s="28" t="str">
        <x:v>Motor function and methylphenidate effect in children with attention deficit hyperactivity disorder.</x:v>
      </x:c>
      <x:c r="E653" s="28" t="str">
        <x:v>Primary/contextual journal article</x:v>
      </x:c>
      <x:c r="F653" s="28" t="str">
        <x:v>Development &amp; presentation; Recognition &amp; diagnosis; Family &amp; education; Social &amp; structural; Treatment &amp; support</x:v>
      </x:c>
      <x:c r="G653" s="28" t="str">
        <x:v>Childhood; Adolescence</x:v>
      </x:c>
      <x:c r="H653" s="28" t="str">
        <x:v>Later specialized</x:v>
      </x:c>
      <x:c r="I653" s="28" t="str">
        <x:v>Direct or strongly ADHD-related record retained for later screening; typically narrower treatment, biomarker, mechanistic, or single-comorbidity focus.</x:v>
      </x:c>
      <x:c r="J653" s="38" t="e">
        <x:f>HYPERLINK("https://pubmed.ncbi.nlm.nih.gov/"&amp;C653&amp;"/","Open PubMed")</x:f>
        <x:v>HYPERLINK is not implemented. linkLocation=https://pubmed.ncbi.nlm.nih.gov/20298494/, friendlyName=Open PubMed</x:v>
      </x:c>
    </x:row>
    <x:row r="654">
      <x:c r="A654" s="26" t="str">
        <x:v>PUBMED-20238159</x:v>
      </x:c>
      <x:c r="B654" s="26" t="n">
        <x:v>2010</x:v>
      </x:c>
      <x:c r="C654" s="26" t="str">
        <x:v>20238159</x:v>
      </x:c>
      <x:c r="D654" s="28" t="str">
        <x:v>Effects of zinc and ferritin levels on parent and teacher reported symptom scores in attention deficit hyperactivity disorder.</x:v>
      </x:c>
      <x:c r="E654" s="28" t="str">
        <x:v>Primary/contextual journal article</x:v>
      </x:c>
      <x:c r="F654" s="28" t="str">
        <x:v>Development &amp; presentation; Recognition &amp; diagnosis; Family &amp; education; Social &amp; structural; Treatment &amp; support; Life outcomes &amp; lived experience</x:v>
      </x:c>
      <x:c r="G654" s="28" t="str">
        <x:v>Childhood; Adolescence</x:v>
      </x:c>
      <x:c r="H654" s="28" t="str">
        <x:v>Later specialized</x:v>
      </x:c>
      <x:c r="I654" s="28" t="str">
        <x:v>Direct or strongly ADHD-related record retained for later screening; typically narrower treatment, biomarker, mechanistic, or single-comorbidity focus.</x:v>
      </x:c>
      <x:c r="J654" s="38" t="e">
        <x:f>HYPERLINK("https://pubmed.ncbi.nlm.nih.gov/"&amp;C654&amp;"/","Open PubMed")</x:f>
        <x:v>HYPERLINK is not implemented. linkLocation=https://pubmed.ncbi.nlm.nih.gov/20238159/, friendlyName=Open PubMed</x:v>
      </x:c>
    </x:row>
    <x:row r="655">
      <x:c r="A655" s="26" t="str">
        <x:v>PUBMED-20235195</x:v>
      </x:c>
      <x:c r="B655" s="26" t="n">
        <x:v>2010</x:v>
      </x:c>
      <x:c r="C655" s="26" t="str">
        <x:v>20235195</x:v>
      </x:c>
      <x:c r="D655" s="28" t="str">
        <x:v>Subtle cognitive deficits in adults with a previous history of Sydenham's chorea during childhood.</x:v>
      </x:c>
      <x:c r="E655" s="28" t="str">
        <x:v>Primary study - case-control</x:v>
      </x:c>
      <x:c r="F655" s="28" t="str">
        <x:v>Development &amp; presentation; Recognition &amp; diagnosis; Family &amp; education; Social &amp; structural; Life outcomes &amp; lived experience; Historical &amp; contemporary context</x:v>
      </x:c>
      <x:c r="G655" s="28" t="str">
        <x:v>Childhood; Adulthood</x:v>
      </x:c>
      <x:c r="H655" s="28" t="str">
        <x:v>Exclude/incidental</x:v>
      </x:c>
      <x:c r="I655" s="28" t="str">
        <x:v>ADHD appears peripheral or insufficiently aligned with the requested corpus scope based on accessible metadata/abstract.</x:v>
      </x:c>
      <x:c r="J655" s="38" t="e">
        <x:f>HYPERLINK("https://pubmed.ncbi.nlm.nih.gov/"&amp;C655&amp;"/","Open PubMed")</x:f>
        <x:v>HYPERLINK is not implemented. linkLocation=https://pubmed.ncbi.nlm.nih.gov/20235195/, friendlyName=Open PubMed</x:v>
      </x:c>
    </x:row>
    <x:row r="656">
      <x:c r="A656" s="26" t="str">
        <x:v>PUBMED-20221932</x:v>
      </x:c>
      <x:c r="B656" s="26" t="n">
        <x:v>2010</x:v>
      </x:c>
      <x:c r="C656" s="26" t="str">
        <x:v>20221932</x:v>
      </x:c>
      <x:c r="D656" s="28" t="str">
        <x:v>Investigating the relationship between attention and working memory in clinical and community samples.</x:v>
      </x:c>
      <x:c r="E656" s="28" t="str">
        <x:v>Primary/contextual journal article</x:v>
      </x:c>
      <x:c r="F656" s="28" t="str">
        <x:v>Development &amp; presentation; Recognition &amp; diagnosis; Family &amp; education; Social &amp; structural; Environmental &amp; lifestyle; Treatment &amp; support; Life outcomes &amp; lived experience</x:v>
      </x:c>
      <x:c r="G656" s="28" t="str">
        <x:v>Childhood</x:v>
      </x:c>
      <x:c r="H656" s="28" t="str">
        <x:v>Later specialized</x:v>
      </x:c>
      <x:c r="I656" s="28" t="str">
        <x:v>Direct or strongly ADHD-related record retained for later screening; typically narrower treatment, biomarker, mechanistic, or single-comorbidity focus.</x:v>
      </x:c>
      <x:c r="J656" s="38" t="e">
        <x:f>HYPERLINK("https://pubmed.ncbi.nlm.nih.gov/"&amp;C656&amp;"/","Open PubMed")</x:f>
        <x:v>HYPERLINK is not implemented. linkLocation=https://pubmed.ncbi.nlm.nih.gov/20221932/, friendlyName=Open PubMed</x:v>
      </x:c>
    </x:row>
    <x:row r="657">
      <x:c r="A657" s="26" t="str">
        <x:v>PUBMED-20219292</x:v>
      </x:c>
      <x:c r="B657" s="26" t="n">
        <x:v>2010</x:v>
      </x:c>
      <x:c r="C657" s="26" t="str">
        <x:v>20219292</x:v>
      </x:c>
      <x:c r="D657" s="28" t="str">
        <x:v>OROS-methylphenidate or placebo for adult smokers with attention deficit hyperactivity disorder: racial/ethnic differences.</x:v>
      </x:c>
      <x:c r="E657" s="28" t="str">
        <x:v>Primary study - randomized controlled trial</x:v>
      </x:c>
      <x:c r="F657" s="28" t="str">
        <x:v>Development &amp; presentation; Recognition &amp; diagnosis; Social &amp; structural; Environmental &amp; lifestyle; Treatment &amp; support; Life outcomes &amp; lived experience</x:v>
      </x:c>
      <x:c r="G657" s="28" t="str">
        <x:v>Adulthood</x:v>
      </x:c>
      <x:c r="H657" s="28" t="str">
        <x:v>Later specialized</x:v>
      </x:c>
      <x:c r="I657" s="28" t="str">
        <x:v>Direct or strongly ADHD-related record retained for later screening; typically narrower treatment, biomarker, mechanistic, or single-comorbidity focus.</x:v>
      </x:c>
      <x:c r="J657" s="38" t="e">
        <x:f>HYPERLINK("https://pubmed.ncbi.nlm.nih.gov/"&amp;C657&amp;"/","Open PubMed")</x:f>
        <x:v>HYPERLINK is not implemented. linkLocation=https://pubmed.ncbi.nlm.nih.gov/20219292/, friendlyName=Open PubMed</x:v>
      </x:c>
    </x:row>
    <x:row r="658">
      <x:c r="A658" s="26" t="str">
        <x:v>PUBMED-20218799</x:v>
      </x:c>
      <x:c r="B658" s="26" t="n">
        <x:v>2010</x:v>
      </x:c>
      <x:c r="C658" s="26" t="str">
        <x:v>20218799</x:v>
      </x:c>
      <x:c r="D658" s="28" t="str">
        <x:v>Neurochemical alterations in women with borderline personality disorder and comorbid attention-deficit hyperactivity disorder.</x:v>
      </x:c>
      <x:c r="E658" s="28" t="str">
        <x:v>Primary study - case-control</x:v>
      </x:c>
      <x:c r="F658" s="28" t="str">
        <x:v>Development &amp; presentation; Family &amp; education; Social &amp; structural; Treatment &amp; support</x:v>
      </x:c>
      <x:c r="G658" s="28" t="str">
        <x:v>Adulthood</x:v>
      </x:c>
      <x:c r="H658" s="28" t="str">
        <x:v>Batch 1 core</x:v>
      </x:c>
      <x:c r="I658" s="28" t="str">
        <x:v>Direct ADHD primary study on diagnosis, family/education, structural conditions, lived experience/outcomes, or environment/lifestyle.</x:v>
      </x:c>
      <x:c r="J658" s="38" t="e">
        <x:f>HYPERLINK("https://pubmed.ncbi.nlm.nih.gov/"&amp;C658&amp;"/","Open PubMed")</x:f>
        <x:v>HYPERLINK is not implemented. linkLocation=https://pubmed.ncbi.nlm.nih.gov/20218799/, friendlyName=Open PubMed</x:v>
      </x:c>
    </x:row>
    <x:row r="659">
      <x:c r="A659" s="26" t="str">
        <x:v>PUBMED-20215927</x:v>
      </x:c>
      <x:c r="B659" s="26" t="n">
        <x:v>2010</x:v>
      </x:c>
      <x:c r="C659" s="26" t="str">
        <x:v>20215927</x:v>
      </x:c>
      <x:c r="D659" s="28" t="str">
        <x:v>Externalizing behavior problems and cigarette smoking as predictors of cannabis use: the TRAILS Study.</x:v>
      </x:c>
      <x:c r="E659" s="28" t="str">
        <x:v>Primary/contextual journal article</x:v>
      </x:c>
      <x:c r="F659" s="28" t="str">
        <x:v>Development &amp; presentation; Recognition &amp; diagnosis; Family &amp; education; Social &amp; structural; Environmental &amp; lifestyle; Life outcomes &amp; lived experience</x:v>
      </x:c>
      <x:c r="G659" s="28" t="str">
        <x:v>Childhood; Adolescence</x:v>
      </x:c>
      <x:c r="H659" s="28" t="str">
        <x:v>Exclude/incidental</x:v>
      </x:c>
      <x:c r="I659" s="28" t="str">
        <x:v>ADHD appears peripheral or insufficiently aligned with the requested corpus scope based on accessible metadata/abstract.</x:v>
      </x:c>
      <x:c r="J659" s="38" t="e">
        <x:f>HYPERLINK("https://pubmed.ncbi.nlm.nih.gov/"&amp;C659&amp;"/","Open PubMed")</x:f>
        <x:v>HYPERLINK is not implemented. linkLocation=https://pubmed.ncbi.nlm.nih.gov/20215927/, friendlyName=Open PubMed</x:v>
      </x:c>
    </x:row>
    <x:row r="660">
      <x:c r="A660" s="26" t="str">
        <x:v>PUBMED-20215922</x:v>
      </x:c>
      <x:c r="B660" s="26" t="n">
        <x:v>2010</x:v>
      </x:c>
      <x:c r="C660" s="26" t="str">
        <x:v>20215922</x:v>
      </x:c>
      <x:c r="D660" s="28" t="str">
        <x:v>Trends in antipsychotic drug use by very young, privately insured children.</x:v>
      </x:c>
      <x:c r="E660" s="28" t="str">
        <x:v>Primary study - cohort</x:v>
      </x:c>
      <x:c r="F660" s="28" t="str">
        <x:v>Development &amp; presentation; Recognition &amp; diagnosis; Family &amp; education; Social &amp; structural; Treatment &amp; support; Life outcomes &amp; lived experience</x:v>
      </x:c>
      <x:c r="G660" s="28" t="str">
        <x:v>Childhood</x:v>
      </x:c>
      <x:c r="H660" s="28" t="str">
        <x:v>Later specialized</x:v>
      </x:c>
      <x:c r="I660" s="28" t="str">
        <x:v>Direct or strongly ADHD-related record retained for later screening; typically narrower treatment, biomarker, mechanistic, or single-comorbidity focus.</x:v>
      </x:c>
      <x:c r="J660" s="38" t="e">
        <x:f>HYPERLINK("https://pubmed.ncbi.nlm.nih.gov/"&amp;C660&amp;"/","Open PubMed")</x:f>
        <x:v>HYPERLINK is not implemented. linkLocation=https://pubmed.ncbi.nlm.nih.gov/20215922/, friendlyName=Open PubMed</x:v>
      </x:c>
    </x:row>
    <x:row r="661">
      <x:c r="A661" s="26" t="str">
        <x:v>PUBMED-20212347</x:v>
      </x:c>
      <x:c r="B661" s="26" t="n">
        <x:v>2010</x:v>
      </x:c>
      <x:c r="C661" s="26" t="str">
        <x:v>20212347</x:v>
      </x:c>
      <x:c r="D661" s="28" t="str">
        <x:v>Increased resting energy expenditure in children with attention-deficit-hyperactivity disorder.</x:v>
      </x:c>
      <x:c r="E661" s="28" t="str">
        <x:v>Primary study - case-control</x:v>
      </x:c>
      <x:c r="F661" s="28" t="str">
        <x:v>Development &amp; presentation; Social &amp; structural; Environmental &amp; lifestyle; Treatment &amp; support</x:v>
      </x:c>
      <x:c r="G661" s="28" t="str">
        <x:v>Childhood</x:v>
      </x:c>
      <x:c r="H661" s="28" t="str">
        <x:v>Later specialized</x:v>
      </x:c>
      <x:c r="I661" s="28" t="str">
        <x:v>Direct or strongly ADHD-related record retained for later screening; typically narrower treatment, biomarker, mechanistic, or single-comorbidity focus.</x:v>
      </x:c>
      <x:c r="J661" s="38" t="e">
        <x:f>HYPERLINK("https://pubmed.ncbi.nlm.nih.gov/"&amp;C661&amp;"/","Open PubMed")</x:f>
        <x:v>HYPERLINK is not implemented. linkLocation=https://pubmed.ncbi.nlm.nih.gov/20212347/, friendlyName=Open PubMed</x:v>
      </x:c>
    </x:row>
    <x:row r="662">
      <x:c r="A662" s="26" t="str">
        <x:v>PUBMED-20212277</x:v>
      </x:c>
      <x:c r="B662" s="26" t="n">
        <x:v>2010</x:v>
      </x:c>
      <x:c r="C662" s="26" t="str">
        <x:v>20212277</x:v>
      </x:c>
      <x:c r="D662" s="28" t="str">
        <x:v>Modeled economic evaluation of alternative strategies to reduce sudden cardiac death among children treated for attention deficit/hyperactivity disorder.</x:v>
      </x:c>
      <x:c r="E662" s="28" t="str">
        <x:v>Primary/contextual journal article</x:v>
      </x:c>
      <x:c r="F662" s="28" t="str">
        <x:v>Development &amp; presentation; Recognition &amp; diagnosis; Social &amp; structural; Treatment &amp; support; Historical &amp; contemporary context</x:v>
      </x:c>
      <x:c r="G662" s="28" t="str">
        <x:v>Childhood; Adolescence</x:v>
      </x:c>
      <x:c r="H662" s="28" t="str">
        <x:v>Later specialized</x:v>
      </x:c>
      <x:c r="I662" s="28" t="str">
        <x:v>Direct or strongly ADHD-related record retained for later screening; typically narrower treatment, biomarker, mechanistic, or single-comorbidity focus.</x:v>
      </x:c>
      <x:c r="J662" s="38" t="e">
        <x:f>HYPERLINK("https://pubmed.ncbi.nlm.nih.gov/"&amp;C662&amp;"/","Open PubMed")</x:f>
        <x:v>HYPERLINK is not implemented. linkLocation=https://pubmed.ncbi.nlm.nih.gov/20212277/, friendlyName=Open PubMed</x:v>
      </x:c>
    </x:row>
    <x:row r="663">
      <x:c r="A663" s="26" t="str">
        <x:v>PUBMED-20211696</x:v>
      </x:c>
      <x:c r="B663" s="26" t="n">
        <x:v>2010</x:v>
      </x:c>
      <x:c r="C663" s="26" t="str">
        <x:v>20211696</x:v>
      </x:c>
      <x:c r="D663" s="28" t="str">
        <x:v>Methylphenidate normalizes elevated dopamine transporter densities in an animal model of the attention-deficit/hyperactivity disorder combined type, but not to the same extent in one of the attention-deficit/hyperactivity disorder inattentive type.</x:v>
      </x:c>
      <x:c r="E663" s="28" t="str">
        <x:v>Primary/contextual journal article</x:v>
      </x:c>
      <x:c r="F663" s="28" t="str">
        <x:v>Development &amp; presentation; Social &amp; structural; Treatment &amp; support</x:v>
      </x:c>
      <x:c r="G663" s="28" t="str">
        <x:v>Adulthood</x:v>
      </x:c>
      <x:c r="H663" s="28" t="str">
        <x:v>Exclude/incidental</x:v>
      </x:c>
      <x:c r="I663" s="28" t="str">
        <x:v>Animal-only record; retained outside the human-focused core corpus.</x:v>
      </x:c>
      <x:c r="J663" s="38" t="e">
        <x:f>HYPERLINK("https://pubmed.ncbi.nlm.nih.gov/"&amp;C663&amp;"/","Open PubMed")</x:f>
        <x:v>HYPERLINK is not implemented. linkLocation=https://pubmed.ncbi.nlm.nih.gov/20211696/, friendlyName=Open PubMed</x:v>
      </x:c>
    </x:row>
    <x:row r="664">
      <x:c r="A664" s="26" t="str">
        <x:v>PUBMED-20200834</x:v>
      </x:c>
      <x:c r="B664" s="26" t="n">
        <x:v>2010</x:v>
      </x:c>
      <x:c r="C664" s="26" t="str">
        <x:v>20200834</x:v>
      </x:c>
      <x:c r="D664" s="28" t="str">
        <x:v>[Presentation].</x:v>
      </x:c>
      <x:c r="E664" s="28" t="str">
        <x:v>Contextual - editorial/comment</x:v>
      </x:c>
      <x:c r="F664" s="28" t="str">
        <x:v>Development &amp; presentation</x:v>
      </x:c>
      <x:c r="G664" s="28" t="str">
        <x:v>Not specified</x:v>
      </x:c>
      <x:c r="H664" s="28" t="str">
        <x:v>Exclude/incidental</x:v>
      </x:c>
      <x:c r="I664" s="28" t="str">
        <x:v>ADHD appears peripheral or insufficiently aligned with the requested corpus scope based on accessible metadata/abstract.</x:v>
      </x:c>
      <x:c r="J664" s="38" t="e">
        <x:f>HYPERLINK("https://pubmed.ncbi.nlm.nih.gov/"&amp;C664&amp;"/","Open PubMed")</x:f>
        <x:v>HYPERLINK is not implemented. linkLocation=https://pubmed.ncbi.nlm.nih.gov/20200834/, friendlyName=Open PubMed</x:v>
      </x:c>
    </x:row>
    <x:row r="665">
      <x:c r="A665" s="26" t="str">
        <x:v>PUBMED-20200829</x:v>
      </x:c>
      <x:c r="B665" s="26" t="n">
        <x:v>2010</x:v>
      </x:c>
      <x:c r="C665" s="26" t="str">
        <x:v>20200829</x:v>
      </x:c>
      <x:c r="D665" s="28" t="str">
        <x:v>[Bipolar disorders as co-morbidity in childhood and adolescence--underdiagnosed or overinterpreted? Therapy of a 14-year-old boy with hyperkinetic conduct disorder and hypomania].</x:v>
      </x:c>
      <x:c r="E665" s="28" t="str">
        <x:v>Primary/contextual journal article</x:v>
      </x:c>
      <x:c r="F665" s="28" t="str">
        <x:v>Development &amp; presentation; Recognition &amp; diagnosis; Family &amp; education; Social &amp; structural; Treatment &amp; support</x:v>
      </x:c>
      <x:c r="G665" s="28" t="str">
        <x:v>Childhood; Adolescence</x:v>
      </x:c>
      <x:c r="H665" s="28" t="str">
        <x:v>Later specialized</x:v>
      </x:c>
      <x:c r="I665" s="28" t="str">
        <x:v>Direct or strongly ADHD-related record retained for later screening; typically narrower treatment, biomarker, mechanistic, or single-comorbidity focus.</x:v>
      </x:c>
      <x:c r="J665" s="38" t="e">
        <x:f>HYPERLINK("https://pubmed.ncbi.nlm.nih.gov/"&amp;C665&amp;"/","Open PubMed")</x:f>
        <x:v>HYPERLINK is not implemented. linkLocation=https://pubmed.ncbi.nlm.nih.gov/20200829/, friendlyName=Open PubMed</x:v>
      </x:c>
    </x:row>
    <x:row r="666">
      <x:c r="A666" s="26" t="str">
        <x:v>PUBMED-20198592</x:v>
      </x:c>
      <x:c r="B666" s="26" t="n">
        <x:v>2010</x:v>
      </x:c>
      <x:c r="C666" s="26" t="str">
        <x:v>20198592</x:v>
      </x:c>
      <x:c r="D666" s="28" t="str">
        <x:v>[Utility of the Wender-Utah rating scale and the checklists for the diagnosis of familial attention deficit hyperactivity disorder in adults. Convergent and concurrent validities].</x:v>
      </x:c>
      <x:c r="E666" s="28" t="str">
        <x:v>Primary/contextual journal article</x:v>
      </x:c>
      <x:c r="F666" s="28" t="str">
        <x:v>Development &amp; presentation; Recognition &amp; diagnosis</x:v>
      </x:c>
      <x:c r="G666" s="28" t="str">
        <x:v>Adolescence; Adulthood</x:v>
      </x:c>
      <x:c r="H666" s="28" t="str">
        <x:v>Later specialized</x:v>
      </x:c>
      <x:c r="I666" s="28" t="str">
        <x:v>Direct or strongly ADHD-related record retained for later screening; typically narrower treatment, biomarker, mechanistic, or single-comorbidity focus.</x:v>
      </x:c>
      <x:c r="J666" s="38" t="e">
        <x:f>HYPERLINK("https://pubmed.ncbi.nlm.nih.gov/"&amp;C666&amp;"/","Open PubMed")</x:f>
        <x:v>HYPERLINK is not implemented. linkLocation=https://pubmed.ncbi.nlm.nih.gov/20198592/, friendlyName=Open PubMed</x:v>
      </x:c>
    </x:row>
    <x:row r="667">
      <x:c r="A667" s="26" t="str">
        <x:v>PUBMED-20192892</x:v>
      </x:c>
      <x:c r="B667" s="26" t="n">
        <x:v>2010</x:v>
      </x:c>
      <x:c r="C667" s="26" t="str">
        <x:v>20192892</x:v>
      </x:c>
      <x:c r="D667" s="28" t="str">
        <x:v>The Autism--Tics, AD/HD and other Comorbidities (A-TAC) telephone interview: convergence with the Child Behavior Checklist (CBCL).</x:v>
      </x:c>
      <x:c r="E667" s="28" t="str">
        <x:v>Primary study - cross-sectional</x:v>
      </x:c>
      <x:c r="F667" s="28" t="str">
        <x:v>Development &amp; presentation; Recognition &amp; diagnosis; Family &amp; education; Social &amp; structural</x:v>
      </x:c>
      <x:c r="G667" s="28" t="str">
        <x:v>Childhood</x:v>
      </x:c>
      <x:c r="H667" s="28" t="str">
        <x:v>Exclude/incidental</x:v>
      </x:c>
      <x:c r="I667" s="28" t="str">
        <x:v>ADHD appears peripheral or insufficiently aligned with the requested corpus scope based on accessible metadata/abstract.</x:v>
      </x:c>
      <x:c r="J667" s="38" t="e">
        <x:f>HYPERLINK("https://pubmed.ncbi.nlm.nih.gov/"&amp;C667&amp;"/","Open PubMed")</x:f>
        <x:v>HYPERLINK is not implemented. linkLocation=https://pubmed.ncbi.nlm.nih.gov/20192892/, friendlyName=Open PubMed</x:v>
      </x:c>
    </x:row>
    <x:row r="668">
      <x:c r="A668" s="26" t="str">
        <x:v>PUBMED-20191011</x:v>
      </x:c>
      <x:c r="B668" s="26" t="n">
        <x:v>2010</x:v>
      </x:c>
      <x:c r="C668" s="26" t="str">
        <x:v>20191011</x:v>
      </x:c>
      <x:c r="D668" s="28" t="str">
        <x:v>Increased cortisol after stress is associated with variability in response time in ADHD children.</x:v>
      </x:c>
      <x:c r="E668" s="28" t="str">
        <x:v>Primary/contextual journal article</x:v>
      </x:c>
      <x:c r="F668" s="28" t="str">
        <x:v>Development &amp; presentation; Social &amp; structural; Environmental &amp; lifestyle</x:v>
      </x:c>
      <x:c r="G668" s="28" t="str">
        <x:v>Childhood; Adolescence</x:v>
      </x:c>
      <x:c r="H668" s="28" t="str">
        <x:v>Later specialized</x:v>
      </x:c>
      <x:c r="I668" s="28" t="str">
        <x:v>Direct or strongly ADHD-related record retained for later screening; typically narrower treatment, biomarker, mechanistic, or single-comorbidity focus.</x:v>
      </x:c>
      <x:c r="J668" s="38" t="e">
        <x:f>HYPERLINK("https://pubmed.ncbi.nlm.nih.gov/"&amp;C668&amp;"/","Open PubMed")</x:f>
        <x:v>HYPERLINK is not implemented. linkLocation=https://pubmed.ncbi.nlm.nih.gov/20191011/, friendlyName=Open PubMed</x:v>
      </x:c>
    </x:row>
    <x:row r="669">
      <x:c r="A669" s="26" t="str">
        <x:v>PUBMED-20185081</x:v>
      </x:c>
      <x:c r="B669" s="26" t="n">
        <x:v>2010</x:v>
      </x:c>
      <x:c r="C669" s="26" t="str">
        <x:v>20185081</x:v>
      </x:c>
      <x:c r="D669" s="28" t="str">
        <x:v>Embedding values: how science and society jointly valence a concept-the case of ADHD.</x:v>
      </x:c>
      <x:c r="E669" s="28" t="str">
        <x:v>Primary/contextual journal article</x:v>
      </x:c>
      <x:c r="F669" s="28" t="str">
        <x:v>Development &amp; presentation</x:v>
      </x:c>
      <x:c r="G669" s="28" t="str">
        <x:v>Not specified</x:v>
      </x:c>
      <x:c r="H669" s="28" t="str">
        <x:v>Later specialized</x:v>
      </x:c>
      <x:c r="I669" s="28" t="str">
        <x:v>Direct or strongly ADHD-related record retained for later screening; typically narrower treatment, biomarker, mechanistic, or single-comorbidity focus.</x:v>
      </x:c>
      <x:c r="J669" s="38" t="e">
        <x:f>HYPERLINK("https://pubmed.ncbi.nlm.nih.gov/"&amp;C669&amp;"/","Open PubMed")</x:f>
        <x:v>HYPERLINK is not implemented. linkLocation=https://pubmed.ncbi.nlm.nih.gov/20185081/, friendlyName=Open PubMed</x:v>
      </x:c>
    </x:row>
    <x:row r="670">
      <x:c r="A670" s="26" t="str">
        <x:v>PUBMED-20176681</x:v>
      </x:c>
      <x:c r="B670" s="26" t="n">
        <x:v>2010</x:v>
      </x:c>
      <x:c r="C670" s="26" t="str">
        <x:v>20176681</x:v>
      </x:c>
      <x:c r="D670" s="28" t="str">
        <x:v>ADHD after fetal exposure to maternal smoking.</x:v>
      </x:c>
      <x:c r="E670" s="28" t="str">
        <x:v>Primary/contextual journal article</x:v>
      </x:c>
      <x:c r="F670" s="28" t="str">
        <x:v>Development &amp; presentation; Family &amp; education; Social &amp; structural; Environmental &amp; lifestyle; Treatment &amp; support</x:v>
      </x:c>
      <x:c r="G670" s="28" t="str">
        <x:v>Childhood; Adolescence; Adulthood</x:v>
      </x:c>
      <x:c r="H670" s="28" t="str">
        <x:v>Later specialized</x:v>
      </x:c>
      <x:c r="I670" s="28" t="str">
        <x:v>Direct or strongly ADHD-related record retained for later screening; typically narrower treatment, biomarker, mechanistic, or single-comorbidity focus.</x:v>
      </x:c>
      <x:c r="J670" s="38" t="e">
        <x:f>HYPERLINK("https://pubmed.ncbi.nlm.nih.gov/"&amp;C670&amp;"/","Open PubMed")</x:f>
        <x:v>HYPERLINK is not implemented. linkLocation=https://pubmed.ncbi.nlm.nih.gov/20176681/, friendlyName=Open PubMed</x:v>
      </x:c>
    </x:row>
    <x:row r="671">
      <x:c r="A671" s="26" t="str">
        <x:v>PUBMED-20175634</x:v>
      </x:c>
      <x:c r="B671" s="26" t="n">
        <x:v>2010</x:v>
      </x:c>
      <x:c r="C671" s="26" t="str">
        <x:v>20175634</x:v>
      </x:c>
      <x:c r="D671" s="28" t="str">
        <x:v>Clinically significant behavior problems during the initial 18 months following early childhood traumatic brain injury.</x:v>
      </x:c>
      <x:c r="E671" s="28" t="str">
        <x:v>Primary study - cohort</x:v>
      </x:c>
      <x:c r="F671" s="28" t="str">
        <x:v>Development &amp; presentation; Recognition &amp; diagnosis; Family &amp; education; Social &amp; structural; Environmental &amp; lifestyle; Treatment &amp; support; Life outcomes &amp; lived experience</x:v>
      </x:c>
      <x:c r="G671" s="28" t="str">
        <x:v>Childhood</x:v>
      </x:c>
      <x:c r="H671" s="28" t="str">
        <x:v>Exclude/incidental</x:v>
      </x:c>
      <x:c r="I671" s="28" t="str">
        <x:v>ADHD appears peripheral or insufficiently aligned with the requested corpus scope based on accessible metadata/abstract.</x:v>
      </x:c>
      <x:c r="J671" s="38" t="e">
        <x:f>HYPERLINK("https://pubmed.ncbi.nlm.nih.gov/"&amp;C671&amp;"/","Open PubMed")</x:f>
        <x:v>HYPERLINK is not implemented. linkLocation=https://pubmed.ncbi.nlm.nih.gov/20175634/, friendlyName=Open PubMed</x:v>
      </x:c>
    </x:row>
    <x:row r="672">
      <x:c r="A672" s="26" t="str">
        <x:v>PUBMED-20173084</x:v>
      </x:c>
      <x:c r="B672" s="26" t="n">
        <x:v>2010</x:v>
      </x:c>
      <x:c r="C672" s="26" t="str">
        <x:v>20173084</x:v>
      </x:c>
      <x:c r="D672" s="28" t="str">
        <x:v>Lisdexamfetamine dimesylate: linear dose-proportionality, low intersubject and intrasubject variability, and safety in an open-label single-dose pharmacokinetic study in healthy adult volunteers.</x:v>
      </x:c>
      <x:c r="E672" s="28" t="str">
        <x:v>Primary study - clinical trial</x:v>
      </x:c>
      <x:c r="F672" s="28" t="str">
        <x:v>Development &amp; presentation; Recognition &amp; diagnosis; Social &amp; structural; Treatment &amp; support; Life outcomes &amp; lived experience</x:v>
      </x:c>
      <x:c r="G672" s="28" t="str">
        <x:v>Adulthood</x:v>
      </x:c>
      <x:c r="H672" s="28" t="str">
        <x:v>Exclude/incidental</x:v>
      </x:c>
      <x:c r="I672" s="28" t="str">
        <x:v>ADHD appears peripheral or insufficiently aligned with the requested corpus scope based on accessible metadata/abstract.</x:v>
      </x:c>
      <x:c r="J672" s="38" t="e">
        <x:f>HYPERLINK("https://pubmed.ncbi.nlm.nih.gov/"&amp;C672&amp;"/","Open PubMed")</x:f>
        <x:v>HYPERLINK is not implemented. linkLocation=https://pubmed.ncbi.nlm.nih.gov/20173084/, friendlyName=Open PubMed</x:v>
      </x:c>
    </x:row>
    <x:row r="673">
      <x:c r="A673" s="26" t="str">
        <x:v>PUBMED-20167752</x:v>
      </x:c>
      <x:c r="B673" s="26" t="n">
        <x:v>2010</x:v>
      </x:c>
      <x:c r="C673" s="26" t="str">
        <x:v>20167752</x:v>
      </x:c>
      <x:c r="D673" s="28" t="str">
        <x:v>China. Fear of MRI scans trips up brain researchers.</x:v>
      </x:c>
      <x:c r="E673" s="28" t="str">
        <x:v>Other/unclear</x:v>
      </x:c>
      <x:c r="F673" s="28" t="str">
        <x:v>Development &amp; presentation; Family &amp; education</x:v>
      </x:c>
      <x:c r="G673" s="28" t="str">
        <x:v>Childhood</x:v>
      </x:c>
      <x:c r="H673" s="28" t="str">
        <x:v>Exclude/incidental</x:v>
      </x:c>
      <x:c r="I673" s="28" t="str">
        <x:v>ADHD appears peripheral or insufficiently aligned with the requested corpus scope based on accessible metadata/abstract.</x:v>
      </x:c>
      <x:c r="J673" s="38" t="e">
        <x:f>HYPERLINK("https://pubmed.ncbi.nlm.nih.gov/"&amp;C673&amp;"/","Open PubMed")</x:f>
        <x:v>HYPERLINK is not implemented. linkLocation=https://pubmed.ncbi.nlm.nih.gov/20167752/, friendlyName=Open PubMed</x:v>
      </x:c>
    </x:row>
    <x:row r="674">
      <x:c r="A674" s="26" t="str">
        <x:v>PUBMED-20163434</x:v>
      </x:c>
      <x:c r="B674" s="26" t="n">
        <x:v>2010</x:v>
      </x:c>
      <x:c r="C674" s="26" t="str">
        <x:v>20163434</x:v>
      </x:c>
      <x:c r="D674" s="28" t="str">
        <x:v>Examining the link between working memory behaviour and academic attainment in children with ADHD.</x:v>
      </x:c>
      <x:c r="E674" s="28" t="str">
        <x:v>Primary/contextual journal article</x:v>
      </x:c>
      <x:c r="F674" s="28" t="str">
        <x:v>Development &amp; presentation; Recognition &amp; diagnosis; Family &amp; education; Social &amp; structural</x:v>
      </x:c>
      <x:c r="G674" s="28" t="str">
        <x:v>Childhood</x:v>
      </x:c>
      <x:c r="H674" s="28" t="str">
        <x:v>Later specialized</x:v>
      </x:c>
      <x:c r="I674" s="28" t="str">
        <x:v>Direct or strongly ADHD-related record retained for later screening; typically narrower treatment, biomarker, mechanistic, or single-comorbidity focus.</x:v>
      </x:c>
      <x:c r="J674" s="38" t="e">
        <x:f>HYPERLINK("https://pubmed.ncbi.nlm.nih.gov/"&amp;C674&amp;"/","Open PubMed")</x:f>
        <x:v>HYPERLINK is not implemented. linkLocation=https://pubmed.ncbi.nlm.nih.gov/20163434/, friendlyName=Open PubMed</x:v>
      </x:c>
    </x:row>
    <x:row r="675">
      <x:c r="A675" s="26" t="str">
        <x:v>PUBMED-20157743</x:v>
      </x:c>
      <x:c r="B675" s="26" t="n">
        <x:v>2010</x:v>
      </x:c>
      <x:c r="C675" s="26" t="str">
        <x:v>20157743</x:v>
      </x:c>
      <x:c r="D675" s="28" t="str">
        <x:v>Preliminary fMRI findings on the effects of event rate in adults with ADHD.</x:v>
      </x:c>
      <x:c r="E675" s="28" t="str">
        <x:v>Primary/contextual journal article</x:v>
      </x:c>
      <x:c r="F675" s="28" t="str">
        <x:v>Development &amp; presentation; Recognition &amp; diagnosis; Social &amp; structural</x:v>
      </x:c>
      <x:c r="G675" s="28" t="str">
        <x:v>Adolescence; Adulthood</x:v>
      </x:c>
      <x:c r="H675" s="28" t="str">
        <x:v>Later specialized</x:v>
      </x:c>
      <x:c r="I675" s="28" t="str">
        <x:v>Direct or strongly ADHD-related record retained for later screening; typically narrower treatment, biomarker, mechanistic, or single-comorbidity focus.</x:v>
      </x:c>
      <x:c r="J675" s="38" t="e">
        <x:f>HYPERLINK("https://pubmed.ncbi.nlm.nih.gov/"&amp;C675&amp;"/","Open PubMed")</x:f>
        <x:v>HYPERLINK is not implemented. linkLocation=https://pubmed.ncbi.nlm.nih.gov/20157743/, friendlyName=Open PubMed</x:v>
      </x:c>
    </x:row>
    <x:row r="676">
      <x:c r="A676" s="26" t="str">
        <x:v>PUBMED-20156489</x:v>
      </x:c>
      <x:c r="B676" s="26" t="n">
        <x:v>2010</x:v>
      </x:c>
      <x:c r="C676" s="26" t="str">
        <x:v>20156489</x:v>
      </x:c>
      <x:c r="D676" s="28" t="str">
        <x:v>Prepuberal subchronic methylphenidate and atomoxetine induce different long-term effects on adult behaviour and forebrain dopamine, norepinephrine and serotonin in Naples high-excitability rats.</x:v>
      </x:c>
      <x:c r="E676" s="28" t="str">
        <x:v>Primary/contextual journal article</x:v>
      </x:c>
      <x:c r="F676" s="28" t="str">
        <x:v>Development &amp; presentation; Recognition &amp; diagnosis; Social &amp; structural; Treatment &amp; support</x:v>
      </x:c>
      <x:c r="G676" s="28" t="str">
        <x:v>Adulthood</x:v>
      </x:c>
      <x:c r="H676" s="28" t="str">
        <x:v>Exclude/incidental</x:v>
      </x:c>
      <x:c r="I676" s="28" t="str">
        <x:v>Animal-only record; retained outside the human-focused core corpus.</x:v>
      </x:c>
      <x:c r="J676" s="38" t="e">
        <x:f>HYPERLINK("https://pubmed.ncbi.nlm.nih.gov/"&amp;C676&amp;"/","Open PubMed")</x:f>
        <x:v>HYPERLINK is not implemented. linkLocation=https://pubmed.ncbi.nlm.nih.gov/20156489/, friendlyName=Open PubMed</x:v>
      </x:c>
    </x:row>
    <x:row r="677">
      <x:c r="A677" s="26" t="str">
        <x:v>PUBMED-20153148</x:v>
      </x:c>
      <x:c r="B677" s="26" t="n">
        <x:v>2010</x:v>
      </x:c>
      <x:c r="C677" s="26" t="str">
        <x:v>20153148</x:v>
      </x:c>
      <x:c r="D677" s="28" t="str">
        <x:v>Short-TE proton magnetic resonance spectroscopy investigation in adolescents with attention-deficit hyperactivity disorder.</x:v>
      </x:c>
      <x:c r="E677" s="28" t="str">
        <x:v>Primary/contextual journal article</x:v>
      </x:c>
      <x:c r="F677" s="28" t="str">
        <x:v>Development &amp; presentation; Recognition &amp; diagnosis; Social &amp; structural</x:v>
      </x:c>
      <x:c r="G677" s="28" t="str">
        <x:v>Childhood; Adolescence</x:v>
      </x:c>
      <x:c r="H677" s="28" t="str">
        <x:v>Later specialized</x:v>
      </x:c>
      <x:c r="I677" s="28" t="str">
        <x:v>Direct or strongly ADHD-related record retained for later screening; typically narrower treatment, biomarker, mechanistic, or single-comorbidity focus.</x:v>
      </x:c>
      <x:c r="J677" s="38" t="e">
        <x:f>HYPERLINK("https://pubmed.ncbi.nlm.nih.gov/"&amp;C677&amp;"/","Open PubMed")</x:f>
        <x:v>HYPERLINK is not implemented. linkLocation=https://pubmed.ncbi.nlm.nih.gov/20153148/, friendlyName=Open PubMed</x:v>
      </x:c>
    </x:row>
    <x:row r="678">
      <x:c r="A678" s="26" t="str">
        <x:v>PUBMED-20152039</x:v>
      </x:c>
      <x:c r="B678" s="26" t="n">
        <x:v>2010</x:v>
      </x:c>
      <x:c r="C678" s="26" t="str">
        <x:v>20152039</x:v>
      </x:c>
      <x:c r="D678" s="28" t="str">
        <x:v>Spatial analysis of learning and developmental disorders in upper Cape Cod, Massachusetts using generalized additive models.</x:v>
      </x:c>
      <x:c r="E678" s="28" t="str">
        <x:v>Primary study - cohort</x:v>
      </x:c>
      <x:c r="F678" s="28" t="str">
        <x:v>Development &amp; presentation; Family &amp; education; Social &amp; structural; Environmental &amp; lifestyle; Life outcomes &amp; lived experience; Historical &amp; contemporary context</x:v>
      </x:c>
      <x:c r="G678" s="28" t="str">
        <x:v>Childhood</x:v>
      </x:c>
      <x:c r="H678" s="28" t="str">
        <x:v>Exclude/incidental</x:v>
      </x:c>
      <x:c r="I678" s="28" t="str">
        <x:v>ADHD appears peripheral or insufficiently aligned with the requested corpus scope based on accessible metadata/abstract.</x:v>
      </x:c>
      <x:c r="J678" s="38" t="e">
        <x:f>HYPERLINK("https://pubmed.ncbi.nlm.nih.gov/"&amp;C678&amp;"/","Open PubMed")</x:f>
        <x:v>HYPERLINK is not implemented. linkLocation=https://pubmed.ncbi.nlm.nih.gov/20152039/, friendlyName=Open PubMed</x:v>
      </x:c>
    </x:row>
    <x:row r="679">
      <x:c r="A679" s="26" t="str">
        <x:v>PUBMED-20150882</x:v>
      </x:c>
      <x:c r="B679" s="26" t="n">
        <x:v>2010</x:v>
      </x:c>
      <x:c r="C679" s="26" t="str">
        <x:v>20150882</x:v>
      </x:c>
      <x:c r="D679" s="28" t="str">
        <x:v>The association between TaqI A polymorphism of ANKK1 (DRD2) gene and ADHD in the Czech boys aged between 6 and 13 years.</x:v>
      </x:c>
      <x:c r="E679" s="28" t="str">
        <x:v>Primary/contextual journal article</x:v>
      </x:c>
      <x:c r="F679" s="28" t="str">
        <x:v>Development &amp; presentation; Social &amp; structural</x:v>
      </x:c>
      <x:c r="G679" s="28" t="str">
        <x:v>Childhood; Adolescence</x:v>
      </x:c>
      <x:c r="H679" s="28" t="str">
        <x:v>Later specialized</x:v>
      </x:c>
      <x:c r="I679" s="28" t="str">
        <x:v>Direct or strongly ADHD-related record retained for later screening; typically narrower treatment, biomarker, mechanistic, or single-comorbidity focus.</x:v>
      </x:c>
      <x:c r="J679" s="38" t="e">
        <x:f>HYPERLINK("https://pubmed.ncbi.nlm.nih.gov/"&amp;C679&amp;"/","Open PubMed")</x:f>
        <x:v>HYPERLINK is not implemented. linkLocation=https://pubmed.ncbi.nlm.nih.gov/20150882/, friendlyName=Open PubMed</x:v>
      </x:c>
    </x:row>
    <x:row r="680">
      <x:c r="A680" s="26" t="str">
        <x:v>PUBMED-20146095</x:v>
      </x:c>
      <x:c r="B680" s="26" t="n">
        <x:v>2010</x:v>
      </x:c>
      <x:c r="C680" s="26" t="str">
        <x:v>20146095</x:v>
      </x:c>
      <x:c r="D680" s="28" t="str">
        <x:v>Personality mediation of genetic effects on Attention-Deficit/Hyperactivity Disorder.</x:v>
      </x:c>
      <x:c r="E680" s="28" t="str">
        <x:v>Primary/contextual journal article</x:v>
      </x:c>
      <x:c r="F680" s="28" t="str">
        <x:v>Development &amp; presentation; Recognition &amp; diagnosis; Family &amp; education; Social &amp; structural; Life outcomes &amp; lived experience</x:v>
      </x:c>
      <x:c r="G680" s="28" t="str">
        <x:v>Childhood; Adolescence</x:v>
      </x:c>
      <x:c r="H680" s="28" t="str">
        <x:v>Later specialized</x:v>
      </x:c>
      <x:c r="I680" s="28" t="str">
        <x:v>Direct or strongly ADHD-related record retained for later screening; typically narrower treatment, biomarker, mechanistic, or single-comorbidity focus.</x:v>
      </x:c>
      <x:c r="J680" s="38" t="e">
        <x:f>HYPERLINK("https://pubmed.ncbi.nlm.nih.gov/"&amp;C680&amp;"/","Open PubMed")</x:f>
        <x:v>HYPERLINK is not implemented. linkLocation=https://pubmed.ncbi.nlm.nih.gov/20146095/, friendlyName=Open PubMed</x:v>
      </x:c>
    </x:row>
    <x:row r="681">
      <x:c r="A681" s="26" t="str">
        <x:v>PUBMED-20145109</x:v>
      </x:c>
      <x:c r="B681" s="26" t="n">
        <x:v>2010</x:v>
      </x:c>
      <x:c r="C681" s="26" t="str">
        <x:v>20145109</x:v>
      </x:c>
      <x:c r="D681" s="28" t="str">
        <x:v>Forebrain overexpression of CK1delta leads to down-regulation of dopamine receptors and altered locomotor activity reminiscent of ADHD.</x:v>
      </x:c>
      <x:c r="E681" s="28" t="str">
        <x:v>Primary/contextual journal article</x:v>
      </x:c>
      <x:c r="F681" s="28" t="str">
        <x:v>Development &amp; presentation; Environmental &amp; lifestyle; Treatment &amp; support</x:v>
      </x:c>
      <x:c r="G681" s="28" t="str">
        <x:v>Not specified</x:v>
      </x:c>
      <x:c r="H681" s="28" t="str">
        <x:v>Exclude/incidental</x:v>
      </x:c>
      <x:c r="I681" s="28" t="str">
        <x:v>Animal-only record; retained outside the human-focused core corpus.</x:v>
      </x:c>
      <x:c r="J681" s="38" t="e">
        <x:f>HYPERLINK("https://pubmed.ncbi.nlm.nih.gov/"&amp;C681&amp;"/","Open PubMed")</x:f>
        <x:v>HYPERLINK is not implemented. linkLocation=https://pubmed.ncbi.nlm.nih.gov/20145109/, friendlyName=Open PubMed</x:v>
      </x:c>
    </x:row>
    <x:row r="682">
      <x:c r="A682" s="26" t="str">
        <x:v>PUBMED-20145015</x:v>
      </x:c>
      <x:c r="B682" s="26" t="n">
        <x:v>2010</x:v>
      </x:c>
      <x:c r="C682" s="26" t="str">
        <x:v>20145015</x:v>
      </x:c>
      <x:c r="D682" s="28" t="str">
        <x:v>NICE guideline: attention deficit hyperactivity disorder.</x:v>
      </x:c>
      <x:c r="E682" s="28" t="str">
        <x:v>Evidence synthesis - review</x:v>
      </x:c>
      <x:c r="F682" s="28" t="str">
        <x:v>Development &amp; presentation; Recognition &amp; diagnosis; Treatment &amp; support</x:v>
      </x:c>
      <x:c r="G682" s="28" t="str">
        <x:v>Childhood</x:v>
      </x:c>
      <x:c r="H682" s="28" t="str">
        <x:v>Batch 1 core</x:v>
      </x:c>
      <x:c r="I682" s="28" t="str">
        <x:v>Direct ADHD evidence synthesis/guideline with broad multi-topic relevance.</x:v>
      </x:c>
      <x:c r="J682" s="38" t="e">
        <x:f>HYPERLINK("https://pubmed.ncbi.nlm.nih.gov/"&amp;C682&amp;"/","Open PubMed")</x:f>
        <x:v>HYPERLINK is not implemented. linkLocation=https://pubmed.ncbi.nlm.nih.gov/20145015/, friendlyName=Open PubMed</x:v>
      </x:c>
    </x:row>
    <x:row r="683">
      <x:c r="A683" s="26" t="str">
        <x:v>PUBMED-20143220</x:v>
      </x:c>
      <x:c r="B683" s="26" t="n">
        <x:v>2010</x:v>
      </x:c>
      <x:c r="C683" s="26" t="str">
        <x:v>20143220</x:v>
      </x:c>
      <x:c r="D683" s="28" t="str">
        <x:v>Age-dependent presentation in children with attention deficit hyperactivity disorder.</x:v>
      </x:c>
      <x:c r="E683" s="28" t="str">
        <x:v>Other/unclear</x:v>
      </x:c>
      <x:c r="F683" s="28" t="str">
        <x:v>Development &amp; presentation; Recognition &amp; diagnosis; Family &amp; education</x:v>
      </x:c>
      <x:c r="G683" s="28" t="str">
        <x:v>Childhood; Adolescence</x:v>
      </x:c>
      <x:c r="H683" s="28" t="str">
        <x:v>Later specialized</x:v>
      </x:c>
      <x:c r="I683" s="28" t="str">
        <x:v>Direct or strongly ADHD-related record retained for later screening; typically narrower treatment, biomarker, mechanistic, or single-comorbidity focus.</x:v>
      </x:c>
      <x:c r="J683" s="38" t="e">
        <x:f>HYPERLINK("https://pubmed.ncbi.nlm.nih.gov/"&amp;C683&amp;"/","Open PubMed")</x:f>
        <x:v>HYPERLINK is not implemented. linkLocation=https://pubmed.ncbi.nlm.nih.gov/20143220/, friendlyName=Open PubMed</x:v>
      </x:c>
    </x:row>
    <x:row r="684">
      <x:c r="A684" s="26" t="str">
        <x:v>PUBMED-20141238</x:v>
      </x:c>
      <x:c r="B684" s="26" t="n">
        <x:v>2010</x:v>
      </x:c>
      <x:c r="C684" s="26" t="str">
        <x:v>20141238</x:v>
      </x:c>
      <x:c r="D684" s="28" t="str">
        <x:v>Genetic and environmental influences on ADHD symptom dimensions of inattention and hyperactivity: a meta-analysis.</x:v>
      </x:c>
      <x:c r="E684" s="28" t="str">
        <x:v>Evidence synthesis - meta-analysis</x:v>
      </x:c>
      <x:c r="F684" s="28" t="str">
        <x:v>Development &amp; presentation; Recognition &amp; diagnosis; Social &amp; structural; Environmental &amp; lifestyle; Treatment &amp; support</x:v>
      </x:c>
      <x:c r="G684" s="28" t="str">
        <x:v>Not specified</x:v>
      </x:c>
      <x:c r="H684" s="28" t="str">
        <x:v>Later specialized</x:v>
      </x:c>
      <x:c r="I684" s="28" t="str">
        <x:v>Direct or strongly ADHD-related record retained for later screening; typically narrower treatment, biomarker, mechanistic, or single-comorbidity focus.</x:v>
      </x:c>
      <x:c r="J684" s="38" t="e">
        <x:f>HYPERLINK("https://pubmed.ncbi.nlm.nih.gov/"&amp;C684&amp;"/","Open PubMed")</x:f>
        <x:v>HYPERLINK is not implemented. linkLocation=https://pubmed.ncbi.nlm.nih.gov/20141238/, friendlyName=Open PubMed</x:v>
      </x:c>
    </x:row>
    <x:row r="685">
      <x:c r="A685" s="26" t="str">
        <x:v>PUBMED-20139403</x:v>
      </x:c>
      <x:c r="B685" s="26" t="n">
        <x:v>2010</x:v>
      </x:c>
      <x:c r="C685" s="26" t="str">
        <x:v>20139403</x:v>
      </x:c>
      <x:c r="D685" s="28" t="str">
        <x:v>Corpus callosum segment circumference is associated with response control in children with attention-deficit hyperactivity disorder (ADHD).</x:v>
      </x:c>
      <x:c r="E685" s="28" t="str">
        <x:v>Primary study - cohort</x:v>
      </x:c>
      <x:c r="F685" s="28" t="str">
        <x:v>Development &amp; presentation; Social &amp; structural; Life outcomes &amp; lived experience</x:v>
      </x:c>
      <x:c r="G685" s="28" t="str">
        <x:v>Childhood</x:v>
      </x:c>
      <x:c r="H685" s="28" t="str">
        <x:v>Later specialized</x:v>
      </x:c>
      <x:c r="I685" s="28" t="str">
        <x:v>Direct or strongly ADHD-related record retained for later screening; typically narrower treatment, biomarker, mechanistic, or single-comorbidity focus.</x:v>
      </x:c>
      <x:c r="J685" s="38" t="e">
        <x:f>HYPERLINK("https://pubmed.ncbi.nlm.nih.gov/"&amp;C685&amp;"/","Open PubMed")</x:f>
        <x:v>HYPERLINK is not implemented. linkLocation=https://pubmed.ncbi.nlm.nih.gov/20139403/, friendlyName=Open PubMed</x:v>
      </x:c>
    </x:row>
    <x:row r="686">
      <x:c r="A686" s="26" t="str">
        <x:v>PUBMED-20138371</x:v>
      </x:c>
      <x:c r="B686" s="26" t="n">
        <x:v>2010</x:v>
      </x:c>
      <x:c r="C686" s="26" t="str">
        <x:v>20138371</x:v>
      </x:c>
      <x:c r="D686" s="28" t="str">
        <x:v>Disentangling the attentional deficit in schizophrenia: pointers from schizotypy.</x:v>
      </x:c>
      <x:c r="E686" s="28" t="str">
        <x:v>Primary/contextual journal article</x:v>
      </x:c>
      <x:c r="F686" s="28" t="str">
        <x:v>Development &amp; presentation; Recognition &amp; diagnosis; Social &amp; structural</x:v>
      </x:c>
      <x:c r="G686" s="28" t="str">
        <x:v>Adolescence; Adulthood</x:v>
      </x:c>
      <x:c r="H686" s="28" t="str">
        <x:v>Exclude/incidental</x:v>
      </x:c>
      <x:c r="I686" s="28" t="str">
        <x:v>ADHD appears peripheral or insufficiently aligned with the requested corpus scope based on accessible metadata/abstract.</x:v>
      </x:c>
      <x:c r="J686" s="38" t="e">
        <x:f>HYPERLINK("https://pubmed.ncbi.nlm.nih.gov/"&amp;C686&amp;"/","Open PubMed")</x:f>
        <x:v>HYPERLINK is not implemented. linkLocation=https://pubmed.ncbi.nlm.nih.gov/20138371/, friendlyName=Open PubMed</x:v>
      </x:c>
    </x:row>
    <x:row r="687">
      <x:c r="A687" s="26" t="str">
        <x:v>PUBMED-20123910</x:v>
      </x:c>
      <x:c r="B687" s="26" t="n">
        <x:v>2010</x:v>
      </x:c>
      <x:c r="C687" s="26" t="str">
        <x:v>20123910</x:v>
      </x:c>
      <x:c r="D687" s="28" t="str">
        <x:v>Morphological abnormalities of the thalamus in youths with attention deficit hyperactivity disorder.</x:v>
      </x:c>
      <x:c r="E687" s="28" t="str">
        <x:v>Primary study - case-control</x:v>
      </x:c>
      <x:c r="F687" s="28" t="str">
        <x:v>Development &amp; presentation; Recognition &amp; diagnosis; Social &amp; structural; Treatment &amp; support; Life outcomes &amp; lived experience</x:v>
      </x:c>
      <x:c r="G687" s="28" t="str">
        <x:v>Childhood; Adolescence</x:v>
      </x:c>
      <x:c r="H687" s="28" t="str">
        <x:v>Later specialized</x:v>
      </x:c>
      <x:c r="I687" s="28" t="str">
        <x:v>Direct or strongly ADHD-related record retained for later screening; typically narrower treatment, biomarker, mechanistic, or single-comorbidity focus.</x:v>
      </x:c>
      <x:c r="J687" s="38" t="e">
        <x:f>HYPERLINK("https://pubmed.ncbi.nlm.nih.gov/"&amp;C687&amp;"/","Open PubMed")</x:f>
        <x:v>HYPERLINK is not implemented. linkLocation=https://pubmed.ncbi.nlm.nih.gov/20123910/, friendlyName=Open PubMed</x:v>
      </x:c>
    </x:row>
    <x:row r="688">
      <x:c r="A688" s="26" t="str">
        <x:v>PUBMED-20117683</x:v>
      </x:c>
      <x:c r="B688" s="26" t="n">
        <x:v>2010</x:v>
      </x:c>
      <x:c r="C688" s="26" t="str">
        <x:v>20117683</x:v>
      </x:c>
      <x:c r="D688" s="28" t="str">
        <x:v>Author's response to letter regarding unintentional injury risk among preschoolers with behavior disorders.</x:v>
      </x:c>
      <x:c r="E688" s="28" t="str">
        <x:v>Primary study - case-control</x:v>
      </x:c>
      <x:c r="F688" s="28" t="str">
        <x:v>Development &amp; presentation; Family &amp; education; Life outcomes &amp; lived experience</x:v>
      </x:c>
      <x:c r="G688" s="28" t="str">
        <x:v>Childhood</x:v>
      </x:c>
      <x:c r="H688" s="28" t="str">
        <x:v>Exclude/incidental</x:v>
      </x:c>
      <x:c r="I688" s="28" t="str">
        <x:v>ADHD appears peripheral or insufficiently aligned with the requested corpus scope based on accessible metadata/abstract.</x:v>
      </x:c>
      <x:c r="J688" s="38" t="e">
        <x:f>HYPERLINK("https://pubmed.ncbi.nlm.nih.gov/"&amp;C688&amp;"/","Open PubMed")</x:f>
        <x:v>HYPERLINK is not implemented. linkLocation=https://pubmed.ncbi.nlm.nih.gov/20117683/, friendlyName=Open PubMed</x:v>
      </x:c>
    </x:row>
    <x:row r="689">
      <x:c r="A689" s="26" t="str">
        <x:v>PUBMED-20113357</x:v>
      </x:c>
      <x:c r="B689" s="26" t="n">
        <x:v>2010</x:v>
      </x:c>
      <x:c r="C689" s="26" t="str">
        <x:v>20113357</x:v>
      </x:c>
      <x:c r="D689" s="28" t="str">
        <x:v>An international multicenter association study of the serotonin transporter gene in persistent ADHD.</x:v>
      </x:c>
      <x:c r="E689" s="28" t="str">
        <x:v>Evidence synthesis - meta-analysis</x:v>
      </x:c>
      <x:c r="F689" s="28" t="str">
        <x:v>Development &amp; presentation; Treatment &amp; support</x:v>
      </x:c>
      <x:c r="G689" s="28" t="str">
        <x:v>Childhood; Adolescence; Adulthood</x:v>
      </x:c>
      <x:c r="H689" s="28" t="str">
        <x:v>Later specialized</x:v>
      </x:c>
      <x:c r="I689" s="28" t="str">
        <x:v>Direct or strongly ADHD-related record retained for later screening; typically narrower treatment, biomarker, mechanistic, or single-comorbidity focus.</x:v>
      </x:c>
      <x:c r="J689" s="38" t="e">
        <x:f>HYPERLINK("https://pubmed.ncbi.nlm.nih.gov/"&amp;C689&amp;"/","Open PubMed")</x:f>
        <x:v>HYPERLINK is not implemented. linkLocation=https://pubmed.ncbi.nlm.nih.gov/20113357/, friendlyName=Open PubMed</x:v>
      </x:c>
    </x:row>
    <x:row r="690">
      <x:c r="A690" s="26" t="str">
        <x:v>PUBMED-20113302</x:v>
      </x:c>
      <x:c r="B690" s="26" t="n">
        <x:v>2010</x:v>
      </x:c>
      <x:c r="C690" s="26" t="str">
        <x:v>20113302</x:v>
      </x:c>
      <x:c r="D690" s="28" t="str">
        <x:v>Psychiatric comorbidity among children and adolescents with and without persistent attention-deficit hyperactivity disorder.</x:v>
      </x:c>
      <x:c r="E690" s="28" t="str">
        <x:v>Primary/contextual journal article</x:v>
      </x:c>
      <x:c r="F690" s="28" t="str">
        <x:v>Development &amp; presentation; Recognition &amp; diagnosis; Family &amp; education; Social &amp; structural; Environmental &amp; lifestyle; Treatment &amp; support; Life outcomes &amp; lived experience</x:v>
      </x:c>
      <x:c r="G690" s="28" t="str">
        <x:v>Childhood; Adolescence</x:v>
      </x:c>
      <x:c r="H690" s="28" t="str">
        <x:v>Later specialized</x:v>
      </x:c>
      <x:c r="I690" s="28" t="str">
        <x:v>Direct or strongly ADHD-related record retained for later screening; typically narrower treatment, biomarker, mechanistic, or single-comorbidity focus.</x:v>
      </x:c>
      <x:c r="J690" s="38" t="e">
        <x:f>HYPERLINK("https://pubmed.ncbi.nlm.nih.gov/"&amp;C690&amp;"/","Open PubMed")</x:f>
        <x:v>HYPERLINK is not implemented. linkLocation=https://pubmed.ncbi.nlm.nih.gov/20113302/, friendlyName=Open PubMed</x:v>
      </x:c>
    </x:row>
    <x:row r="691">
      <x:c r="A691" s="26" t="str">
        <x:v>PUBMED-20110825</x:v>
      </x:c>
      <x:c r="B691" s="26" t="n">
        <x:v>2010</x:v>
      </x:c>
      <x:c r="C691" s="26" t="str">
        <x:v>20110825</x:v>
      </x:c>
      <x:c r="D691" s="28" t="str">
        <x:v>Medical home services for children with behavioral health conditions.</x:v>
      </x:c>
      <x:c r="E691" s="28" t="str">
        <x:v>Primary study - cross-sectional</x:v>
      </x:c>
      <x:c r="F691" s="28" t="str">
        <x:v>Development &amp; presentation; Family &amp; education; Treatment &amp; support; Historical &amp; contemporary context</x:v>
      </x:c>
      <x:c r="G691" s="28" t="str">
        <x:v>Childhood; Adolescence</x:v>
      </x:c>
      <x:c r="H691" s="28" t="str">
        <x:v>Later specialized</x:v>
      </x:c>
      <x:c r="I691" s="28" t="str">
        <x:v>Direct or strongly ADHD-related record retained for later screening; typically narrower treatment, biomarker, mechanistic, or single-comorbidity focus.</x:v>
      </x:c>
      <x:c r="J691" s="38" t="e">
        <x:f>HYPERLINK("https://pubmed.ncbi.nlm.nih.gov/"&amp;C691&amp;"/","Open PubMed")</x:f>
        <x:v>HYPERLINK is not implemented. linkLocation=https://pubmed.ncbi.nlm.nih.gov/20110825/, friendlyName=Open PubMed</x:v>
      </x:c>
    </x:row>
    <x:row r="692">
      <x:c r="A692" s="26" t="str">
        <x:v>PUBMED-20107302</x:v>
      </x:c>
      <x:c r="B692" s="26" t="n">
        <x:v>2010</x:v>
      </x:c>
      <x:c r="C692" s="26" t="str">
        <x:v>20107302</x:v>
      </x:c>
      <x:c r="D692" s="28" t="str">
        <x:v>Review of medication adherence in children and adults with ADHD.</x:v>
      </x:c>
      <x:c r="E692" s="28" t="str">
        <x:v>Evidence synthesis - review</x:v>
      </x:c>
      <x:c r="F692" s="28" t="str">
        <x:v>Development &amp; presentation; Social &amp; structural; Environmental &amp; lifestyle; Treatment &amp; support</x:v>
      </x:c>
      <x:c r="G692" s="28" t="str">
        <x:v>Childhood; Adolescence; Adulthood</x:v>
      </x:c>
      <x:c r="H692" s="28" t="str">
        <x:v>Batch 1 core</x:v>
      </x:c>
      <x:c r="I692" s="28" t="str">
        <x:v>Direct ADHD evidence synthesis/guideline with broad multi-topic relevance.</x:v>
      </x:c>
      <x:c r="J692" s="38" t="e">
        <x:f>HYPERLINK("https://pubmed.ncbi.nlm.nih.gov/"&amp;C692&amp;"/","Open PubMed")</x:f>
        <x:v>HYPERLINK is not implemented. linkLocation=https://pubmed.ncbi.nlm.nih.gov/20107302/, friendlyName=Open PubMed</x:v>
      </x:c>
    </x:row>
    <x:row r="693">
      <x:c r="A693" s="26" t="str">
        <x:v>PUBMED-20103615</x:v>
      </x:c>
      <x:c r="B693" s="26" t="n">
        <x:v>2010</x:v>
      </x:c>
      <x:c r="C693" s="26" t="str">
        <x:v>20103615</x:v>
      </x:c>
      <x:c r="D693" s="28" t="str">
        <x:v>Use of sertraline in childhood retentive encopresis.</x:v>
      </x:c>
      <x:c r="E693" s="28" t="str">
        <x:v>Other/unclear</x:v>
      </x:c>
      <x:c r="F693" s="28" t="str">
        <x:v>Development &amp; presentation; Treatment &amp; support</x:v>
      </x:c>
      <x:c r="G693" s="28" t="str">
        <x:v>Childhood</x:v>
      </x:c>
      <x:c r="H693" s="28" t="str">
        <x:v>Exclude/incidental</x:v>
      </x:c>
      <x:c r="I693" s="28" t="str">
        <x:v>ADHD appears peripheral or insufficiently aligned with the requested corpus scope based on accessible metadata/abstract.</x:v>
      </x:c>
      <x:c r="J693" s="38" t="e">
        <x:f>HYPERLINK("https://pubmed.ncbi.nlm.nih.gov/"&amp;C693&amp;"/","Open PubMed")</x:f>
        <x:v>HYPERLINK is not implemented. linkLocation=https://pubmed.ncbi.nlm.nih.gov/20103615/, friendlyName=Open PubMed</x:v>
      </x:c>
    </x:row>
    <x:row r="694">
      <x:c r="A694" s="26" t="str">
        <x:v>PUBMED-20100533</x:v>
      </x:c>
      <x:c r="B694" s="26" t="n">
        <x:v>2010</x:v>
      </x:c>
      <x:c r="C694" s="26" t="str">
        <x:v>20100533</x:v>
      </x:c>
      <x:c r="D694" s="28" t="str">
        <x:v>Overflow movements and white matter abnormalities in ADHD.</x:v>
      </x:c>
      <x:c r="E694" s="28" t="str">
        <x:v>Evidence synthesis - review</x:v>
      </x:c>
      <x:c r="F694" s="28" t="str">
        <x:v>Development &amp; presentation; Social &amp; structural</x:v>
      </x:c>
      <x:c r="G694" s="28" t="str">
        <x:v>Childhood</x:v>
      </x:c>
      <x:c r="H694" s="28" t="str">
        <x:v>Later specialized</x:v>
      </x:c>
      <x:c r="I694" s="28" t="str">
        <x:v>Direct or strongly ADHD-related record retained for later screening; typically narrower treatment, biomarker, mechanistic, or single-comorbidity focus.</x:v>
      </x:c>
      <x:c r="J694" s="38" t="e">
        <x:f>HYPERLINK("https://pubmed.ncbi.nlm.nih.gov/"&amp;C694&amp;"/","Open PubMed")</x:f>
        <x:v>HYPERLINK is not implemented. linkLocation=https://pubmed.ncbi.nlm.nih.gov/20100533/, friendlyName=Open PubMed</x:v>
      </x:c>
    </x:row>
    <x:row r="695">
      <x:c r="A695" s="26" t="str">
        <x:v>PUBMED-20096409</x:v>
      </x:c>
      <x:c r="B695" s="26" t="n">
        <x:v>2010</x:v>
      </x:c>
      <x:c r="C695" s="26" t="str">
        <x:v>20096409</x:v>
      </x:c>
      <x:c r="D695" s="28" t="str">
        <x:v>What does distractibility in ADHD reveal about mechanisms for top-down attentional control?</x:v>
      </x:c>
      <x:c r="E695" s="28" t="str">
        <x:v>Primary/contextual journal article</x:v>
      </x:c>
      <x:c r="F695" s="28" t="str">
        <x:v>Development &amp; presentation; Recognition &amp; diagnosis; Social &amp; structural</x:v>
      </x:c>
      <x:c r="G695" s="28" t="str">
        <x:v>Childhood; Adolescence; Adulthood</x:v>
      </x:c>
      <x:c r="H695" s="28" t="str">
        <x:v>Later specialized</x:v>
      </x:c>
      <x:c r="I695" s="28" t="str">
        <x:v>Direct or strongly ADHD-related record retained for later screening; typically narrower treatment, biomarker, mechanistic, or single-comorbidity focus.</x:v>
      </x:c>
      <x:c r="J695" s="38" t="e">
        <x:f>HYPERLINK("https://pubmed.ncbi.nlm.nih.gov/"&amp;C695&amp;"/","Open PubMed")</x:f>
        <x:v>HYPERLINK is not implemented. linkLocation=https://pubmed.ncbi.nlm.nih.gov/20096409/, friendlyName=Open PubMed</x:v>
      </x:c>
    </x:row>
    <x:row r="696">
      <x:c r="A696" s="26" t="str">
        <x:v>PUBMED-20085952</x:v>
      </x:c>
      <x:c r="B696" s="26" t="n">
        <x:v>2010</x:v>
      </x:c>
      <x:c r="C696" s="26" t="str">
        <x:v>20085952</x:v>
      </x:c>
      <x:c r="D696" s="28" t="str">
        <x:v>Dopamine reward pathway in adult ADHD.</x:v>
      </x:c>
      <x:c r="E696" s="28" t="str">
        <x:v>Primary study - case-control</x:v>
      </x:c>
      <x:c r="F696" s="28" t="str">
        <x:v>Development &amp; presentation; Recognition &amp; diagnosis</x:v>
      </x:c>
      <x:c r="G696" s="28" t="str">
        <x:v>Adulthood</x:v>
      </x:c>
      <x:c r="H696" s="28" t="str">
        <x:v>Later specialized</x:v>
      </x:c>
      <x:c r="I696" s="28" t="str">
        <x:v>Direct or strongly ADHD-related record retained for later screening; typically narrower treatment, biomarker, mechanistic, or single-comorbidity focus.</x:v>
      </x:c>
      <x:c r="J696" s="38" t="e">
        <x:f>HYPERLINK("https://pubmed.ncbi.nlm.nih.gov/"&amp;C696&amp;"/","Open PubMed")</x:f>
        <x:v>HYPERLINK is not implemented. linkLocation=https://pubmed.ncbi.nlm.nih.gov/20085952/, friendlyName=Open PubMed</x:v>
      </x:c>
    </x:row>
    <x:row r="697">
      <x:c r="A697" s="26" t="str">
        <x:v>PUBMED-20085951</x:v>
      </x:c>
      <x:c r="B697" s="26" t="n">
        <x:v>2010</x:v>
      </x:c>
      <x:c r="C697" s="26" t="str">
        <x:v>20085951</x:v>
      </x:c>
      <x:c r="D697" s="28" t="str">
        <x:v>Dopamine reward pathway in adult ADHD.</x:v>
      </x:c>
      <x:c r="E697" s="28" t="str">
        <x:v>Contextual - editorial/comment</x:v>
      </x:c>
      <x:c r="F697" s="28" t="str">
        <x:v>Development &amp; presentation</x:v>
      </x:c>
      <x:c r="G697" s="28" t="str">
        <x:v>Adulthood</x:v>
      </x:c>
      <x:c r="H697" s="28" t="str">
        <x:v>Later specialized</x:v>
      </x:c>
      <x:c r="I697" s="28" t="str">
        <x:v>Direct or strongly ADHD-related record retained for later screening; typically narrower treatment, biomarker, mechanistic, or single-comorbidity focus.</x:v>
      </x:c>
      <x:c r="J697" s="38" t="e">
        <x:f>HYPERLINK("https://pubmed.ncbi.nlm.nih.gov/"&amp;C697&amp;"/","Open PubMed")</x:f>
        <x:v>HYPERLINK is not implemented. linkLocation=https://pubmed.ncbi.nlm.nih.gov/20085951/, friendlyName=Open PubMed</x:v>
      </x:c>
    </x:row>
    <x:row r="698">
      <x:c r="A698" s="26" t="str">
        <x:v>PUBMED-20085666</x:v>
      </x:c>
      <x:c r="B698" s="26" t="n">
        <x:v>2010</x:v>
      </x:c>
      <x:c r="C698" s="26" t="str">
        <x:v>20085666</x:v>
      </x:c>
      <x:c r="D698" s="28" t="str">
        <x:v>Executive functioning in high-IQ adults with ADHD.</x:v>
      </x:c>
      <x:c r="E698" s="28" t="str">
        <x:v>Primary study - case-control</x:v>
      </x:c>
      <x:c r="F698" s="28" t="str">
        <x:v>Development &amp; presentation; Recognition &amp; diagnosis; Life outcomes &amp; lived experience</x:v>
      </x:c>
      <x:c r="G698" s="28" t="str">
        <x:v>Adolescence; Adulthood</x:v>
      </x:c>
      <x:c r="H698" s="28" t="str">
        <x:v>Later specialized</x:v>
      </x:c>
      <x:c r="I698" s="28" t="str">
        <x:v>Direct or strongly ADHD-related record retained for later screening; typically narrower treatment, biomarker, mechanistic, or single-comorbidity focus.</x:v>
      </x:c>
      <x:c r="J698" s="38" t="e">
        <x:f>HYPERLINK("https://pubmed.ncbi.nlm.nih.gov/"&amp;C698&amp;"/","Open PubMed")</x:f>
        <x:v>HYPERLINK is not implemented. linkLocation=https://pubmed.ncbi.nlm.nih.gov/20085666/, friendlyName=Open PubMed</x:v>
      </x:c>
    </x:row>
    <x:row r="699">
      <x:c r="A699" s="26" t="str">
        <x:v>PUBMED-20085506</x:v>
      </x:c>
      <x:c r="B699" s="26" t="n">
        <x:v>2010</x:v>
      </x:c>
      <x:c r="C699" s="26" t="str">
        <x:v>20085506</x:v>
      </x:c>
      <x:c r="D699" s="28" t="str">
        <x:v>ADHD-related symptoms among adults in out-patient psychiatry and female prison inmates as compared with the general population.</x:v>
      </x:c>
      <x:c r="E699" s="28" t="str">
        <x:v>Primary/contextual journal article</x:v>
      </x:c>
      <x:c r="F699" s="28" t="str">
        <x:v>Development &amp; presentation; Recognition &amp; diagnosis; Social &amp; structural; Environmental &amp; lifestyle; Treatment &amp; support; Life outcomes &amp; lived experience</x:v>
      </x:c>
      <x:c r="G699" s="28" t="str">
        <x:v>Childhood; Adolescence; Adulthood</x:v>
      </x:c>
      <x:c r="H699" s="28" t="str">
        <x:v>Later specialized</x:v>
      </x:c>
      <x:c r="I699" s="28" t="str">
        <x:v>Direct or strongly ADHD-related record retained for later screening; typically narrower treatment, biomarker, mechanistic, or single-comorbidity focus.</x:v>
      </x:c>
      <x:c r="J699" s="38" t="e">
        <x:f>HYPERLINK("https://pubmed.ncbi.nlm.nih.gov/"&amp;C699&amp;"/","Open PubMed")</x:f>
        <x:v>HYPERLINK is not implemented. linkLocation=https://pubmed.ncbi.nlm.nih.gov/20085506/, friendlyName=Open PubMed</x:v>
      </x:c>
    </x:row>
    <x:row r="700">
      <x:c r="A700" s="26" t="str">
        <x:v>PUBMED-20077801</x:v>
      </x:c>
      <x:c r="B700" s="26" t="n">
        <x:v>2010</x:v>
      </x:c>
      <x:c r="C700" s="26" t="str">
        <x:v>20077801</x:v>
      </x:c>
      <x:c r="D700" s="28" t="str">
        <x:v>[Care continuity for patients with tic disorders during transition from childhood to adulthood].</x:v>
      </x:c>
      <x:c r="E700" s="28" t="str">
        <x:v>Evidence synthesis - review</x:v>
      </x:c>
      <x:c r="F700" s="28" t="str">
        <x:v>Development &amp; presentation; Family &amp; education; Social &amp; structural; Treatment &amp; support</x:v>
      </x:c>
      <x:c r="G700" s="28" t="str">
        <x:v>Childhood; Adolescence; Adulthood</x:v>
      </x:c>
      <x:c r="H700" s="28" t="str">
        <x:v>Exclude/incidental</x:v>
      </x:c>
      <x:c r="I700" s="28" t="str">
        <x:v>ADHD appears peripheral or insufficiently aligned with the requested corpus scope based on accessible metadata/abstract.</x:v>
      </x:c>
      <x:c r="J700" s="38" t="e">
        <x:f>HYPERLINK("https://pubmed.ncbi.nlm.nih.gov/"&amp;C700&amp;"/","Open PubMed")</x:f>
        <x:v>HYPERLINK is not implemented. linkLocation=https://pubmed.ncbi.nlm.nih.gov/20077801/, friendlyName=Open PubMed</x:v>
      </x:c>
    </x:row>
    <x:row r="701">
      <x:c r="A701" s="26" t="str">
        <x:v>PUBMED-20071099</x:v>
      </x:c>
      <x:c r="B701" s="26" t="n">
        <x:v>2010</x:v>
      </x:c>
      <x:c r="C701" s="26" t="str">
        <x:v>20071099</x:v>
      </x:c>
      <x:c r="D701" s="28" t="str">
        <x:v>Course of self-reported symptoms of attention deficit and hyperactivity in substance abusers during early treatment.</x:v>
      </x:c>
      <x:c r="E701" s="28" t="str">
        <x:v>Primary study - randomized controlled trial</x:v>
      </x:c>
      <x:c r="F701" s="28" t="str">
        <x:v>Development &amp; presentation; Social &amp; structural; Treatment &amp; support; Life outcomes &amp; lived experience</x:v>
      </x:c>
      <x:c r="G701" s="28" t="str">
        <x:v>Adulthood</x:v>
      </x:c>
      <x:c r="H701" s="28" t="str">
        <x:v>Later specialized</x:v>
      </x:c>
      <x:c r="I701" s="28" t="str">
        <x:v>Direct or strongly ADHD-related record retained for later screening; typically narrower treatment, biomarker, mechanistic, or single-comorbidity focus.</x:v>
      </x:c>
      <x:c r="J701" s="38" t="e">
        <x:f>HYPERLINK("https://pubmed.ncbi.nlm.nih.gov/"&amp;C701&amp;"/","Open PubMed")</x:f>
        <x:v>HYPERLINK is not implemented. linkLocation=https://pubmed.ncbi.nlm.nih.gov/20071099/, friendlyName=Open PubMed</x:v>
      </x:c>
    </x:row>
    <x:row r="702">
      <x:c r="A702" s="26" t="str">
        <x:v>PUBMED-20068122</x:v>
      </x:c>
      <x:c r="B702" s="26" t="n">
        <x:v>2010</x:v>
      </x:c>
      <x:c r="C702" s="26" t="str">
        <x:v>20068122</x:v>
      </x:c>
      <x:c r="D702" s="28" t="str">
        <x:v>The age at onset of attention deficit hyperactivity disorder.</x:v>
      </x:c>
      <x:c r="E702" s="28" t="str">
        <x:v>Evidence synthesis - review</x:v>
      </x:c>
      <x:c r="F702" s="28" t="str">
        <x:v>Development &amp; presentation; Recognition &amp; diagnosis; Social &amp; structural</x:v>
      </x:c>
      <x:c r="G702" s="28" t="str">
        <x:v>Childhood; Adolescence; Adulthood</x:v>
      </x:c>
      <x:c r="H702" s="28" t="str">
        <x:v>Later specialized</x:v>
      </x:c>
      <x:c r="I702" s="28" t="str">
        <x:v>Direct or strongly ADHD-related record retained for later screening; typically narrower treatment, biomarker, mechanistic, or single-comorbidity focus.</x:v>
      </x:c>
      <x:c r="J702" s="38" t="e">
        <x:f>HYPERLINK("https://pubmed.ncbi.nlm.nih.gov/"&amp;C702&amp;"/","Open PubMed")</x:f>
        <x:v>HYPERLINK is not implemented. linkLocation=https://pubmed.ncbi.nlm.nih.gov/20068122/, friendlyName=Open PubMed</x:v>
      </x:c>
    </x:row>
    <x:row r="703">
      <x:c r="A703" s="26" t="str">
        <x:v>PUBMED-20064664</x:v>
      </x:c>
      <x:c r="B703" s="26" t="n">
        <x:v>2010</x:v>
      </x:c>
      <x:c r="C703" s="26" t="str">
        <x:v>20064664</x:v>
      </x:c>
      <x:c r="D703" s="28" t="str">
        <x:v>Impact of anxiety disorders on attentional functions in children with ADHD.</x:v>
      </x:c>
      <x:c r="E703" s="28" t="str">
        <x:v>Primary/contextual journal article</x:v>
      </x:c>
      <x:c r="F703" s="28" t="str">
        <x:v>Development &amp; presentation; Recognition &amp; diagnosis; Social &amp; structural; Treatment &amp; support; Life outcomes &amp; lived experience</x:v>
      </x:c>
      <x:c r="G703" s="28" t="str">
        <x:v>Childhood; Adolescence</x:v>
      </x:c>
      <x:c r="H703" s="28" t="str">
        <x:v>Later specialized</x:v>
      </x:c>
      <x:c r="I703" s="28" t="str">
        <x:v>Direct or strongly ADHD-related record retained for later screening; typically narrower treatment, biomarker, mechanistic, or single-comorbidity focus.</x:v>
      </x:c>
      <x:c r="J703" s="38" t="e">
        <x:f>HYPERLINK("https://pubmed.ncbi.nlm.nih.gov/"&amp;C703&amp;"/","Open PubMed")</x:f>
        <x:v>HYPERLINK is not implemented. linkLocation=https://pubmed.ncbi.nlm.nih.gov/20064664/, friendlyName=Open PubMed</x:v>
      </x:c>
    </x:row>
    <x:row r="704">
      <x:c r="A704" s="26" t="str">
        <x:v>PUBMED-20060961</x:v>
      </x:c>
      <x:c r="B704" s="26" t="n">
        <x:v>2010</x:v>
      </x:c>
      <x:c r="C704" s="26" t="str">
        <x:v>20060961</x:v>
      </x:c>
      <x:c r="D704" s="28" t="str">
        <x:v>Attentional control activation relates to working memory in attention-deficit/hyperactivity disorder.</x:v>
      </x:c>
      <x:c r="E704" s="28" t="str">
        <x:v>Primary/contextual journal article</x:v>
      </x:c>
      <x:c r="F704" s="28" t="str">
        <x:v>Development &amp; presentation; Recognition &amp; diagnosis; Social &amp; structural</x:v>
      </x:c>
      <x:c r="G704" s="28" t="str">
        <x:v>Adulthood</x:v>
      </x:c>
      <x:c r="H704" s="28" t="str">
        <x:v>Later specialized</x:v>
      </x:c>
      <x:c r="I704" s="28" t="str">
        <x:v>Direct or strongly ADHD-related record retained for later screening; typically narrower treatment, biomarker, mechanistic, or single-comorbidity focus.</x:v>
      </x:c>
      <x:c r="J704" s="38" t="e">
        <x:f>HYPERLINK("https://pubmed.ncbi.nlm.nih.gov/"&amp;C704&amp;"/","Open PubMed")</x:f>
        <x:v>HYPERLINK is not implemented. linkLocation=https://pubmed.ncbi.nlm.nih.gov/20060961/, friendlyName=Open PubMed</x:v>
      </x:c>
    </x:row>
    <x:row r="705">
      <x:c r="A705" s="26" t="str">
        <x:v>PUBMED-20060129</x:v>
      </x:c>
      <x:c r="B705" s="26" t="n">
        <x:v>2010</x:v>
      </x:c>
      <x:c r="C705" s="26" t="str">
        <x:v>20060129</x:v>
      </x:c>
      <x:c r="D705" s="28" t="str">
        <x:v>Reduced activation and inter-regional functional connectivity of fronto-striatal networks in adults with childhood Attention-Deficit Hyperactivity Disorder (ADHD) and persisting symptoms during tasks of motor inhibition and cognitive switching.</x:v>
      </x:c>
      <x:c r="E705" s="28" t="str">
        <x:v>Primary/contextual journal article</x:v>
      </x:c>
      <x:c r="F705" s="28" t="str">
        <x:v>Development &amp; presentation; Recognition &amp; diagnosis; Treatment &amp; support</x:v>
      </x:c>
      <x:c r="G705" s="28" t="str">
        <x:v>Childhood; Adulthood</x:v>
      </x:c>
      <x:c r="H705" s="28" t="str">
        <x:v>Later specialized</x:v>
      </x:c>
      <x:c r="I705" s="28" t="str">
        <x:v>Direct or strongly ADHD-related record retained for later screening; typically narrower treatment, biomarker, mechanistic, or single-comorbidity focus.</x:v>
      </x:c>
      <x:c r="J705" s="38" t="e">
        <x:f>HYPERLINK("https://pubmed.ncbi.nlm.nih.gov/"&amp;C705&amp;"/","Open PubMed")</x:f>
        <x:v>HYPERLINK is not implemented. linkLocation=https://pubmed.ncbi.nlm.nih.gov/20060129/, friendlyName=Open PubMed</x:v>
      </x:c>
    </x:row>
    <x:row r="706">
      <x:c r="A706" s="26" t="str">
        <x:v>PUBMED-20060100</x:v>
      </x:c>
      <x:c r="B706" s="26" t="n">
        <x:v>2010</x:v>
      </x:c>
      <x:c r="C706" s="26" t="str">
        <x:v>20060100</x:v>
      </x:c>
      <x:c r="D706" s="28" t="str">
        <x:v>Functional disconnection of frontal cortex and visual cortex in attention-deficit/hyperactivity disorder.</x:v>
      </x:c>
      <x:c r="E706" s="28" t="str">
        <x:v>Primary/contextual journal article</x:v>
      </x:c>
      <x:c r="F706" s="28" t="str">
        <x:v>Development &amp; presentation; Treatment &amp; support</x:v>
      </x:c>
      <x:c r="G706" s="28" t="str">
        <x:v>Childhood</x:v>
      </x:c>
      <x:c r="H706" s="28" t="str">
        <x:v>Later specialized</x:v>
      </x:c>
      <x:c r="I706" s="28" t="str">
        <x:v>Direct or strongly ADHD-related record retained for later screening; typically narrower treatment, biomarker, mechanistic, or single-comorbidity focus.</x:v>
      </x:c>
      <x:c r="J706" s="38" t="e">
        <x:f>HYPERLINK("https://pubmed.ncbi.nlm.nih.gov/"&amp;C706&amp;"/","Open PubMed")</x:f>
        <x:v>HYPERLINK is not implemented. linkLocation=https://pubmed.ncbi.nlm.nih.gov/20060100/, friendlyName=Open PubMed</x:v>
      </x:c>
    </x:row>
    <x:row r="707">
      <x:c r="A707" s="26" t="str">
        <x:v>PUBMED-20059511</x:v>
      </x:c>
      <x:c r="B707" s="26" t="n">
        <x:v>2010</x:v>
      </x:c>
      <x:c r="C707" s="26" t="str">
        <x:v>20059511</x:v>
      </x:c>
      <x:c r="D707" s="28" t="str">
        <x:v>Predictive validity of attentional functions in differentiating children with and without ADHD: a componential analysis.</x:v>
      </x:c>
      <x:c r="E707" s="28" t="str">
        <x:v>Primary/contextual journal article</x:v>
      </x:c>
      <x:c r="F707" s="28" t="str">
        <x:v>Development &amp; presentation; Recognition &amp; diagnosis; Social &amp; structural</x:v>
      </x:c>
      <x:c r="G707" s="28" t="str">
        <x:v>Childhood</x:v>
      </x:c>
      <x:c r="H707" s="28" t="str">
        <x:v>Later specialized</x:v>
      </x:c>
      <x:c r="I707" s="28" t="str">
        <x:v>Direct or strongly ADHD-related record retained for later screening; typically narrower treatment, biomarker, mechanistic, or single-comorbidity focus.</x:v>
      </x:c>
      <x:c r="J707" s="38" t="e">
        <x:f>HYPERLINK("https://pubmed.ncbi.nlm.nih.gov/"&amp;C707&amp;"/","Open PubMed")</x:f>
        <x:v>HYPERLINK is not implemented. linkLocation=https://pubmed.ncbi.nlm.nih.gov/20059511/, friendlyName=Open PubMed</x:v>
      </x:c>
    </x:row>
    <x:row r="708">
      <x:c r="A708" s="26" t="str">
        <x:v>PUBMED-20054796</x:v>
      </x:c>
      <x:c r="B708" s="26" t="n">
        <x:v>2010</x:v>
      </x:c>
      <x:c r="C708" s="26" t="str">
        <x:v>20054796</x:v>
      </x:c>
      <x:c r="D708" s="28" t="str">
        <x:v>[Neurofeedback and attention deficit hyperactivity disorder: what is it and is it working?].</x:v>
      </x:c>
      <x:c r="E708" s="28" t="str">
        <x:v>Evidence synthesis - review</x:v>
      </x:c>
      <x:c r="F708" s="28" t="str">
        <x:v>Development &amp; presentation; Family &amp; education; Social &amp; structural; Treatment &amp; support; Life outcomes &amp; lived experience</x:v>
      </x:c>
      <x:c r="G708" s="28" t="str">
        <x:v>Childhood; Adolescence; Adulthood</x:v>
      </x:c>
      <x:c r="H708" s="28" t="str">
        <x:v>Later specialized</x:v>
      </x:c>
      <x:c r="I708" s="28" t="str">
        <x:v>Direct or strongly ADHD-related record retained for later screening; typically narrower treatment, biomarker, mechanistic, or single-comorbidity focus.</x:v>
      </x:c>
      <x:c r="J708" s="38" t="e">
        <x:f>HYPERLINK("https://pubmed.ncbi.nlm.nih.gov/"&amp;C708&amp;"/","Open PubMed")</x:f>
        <x:v>HYPERLINK is not implemented. linkLocation=https://pubmed.ncbi.nlm.nih.gov/20054796/, friendlyName=Open PubMed</x:v>
      </x:c>
    </x:row>
    <x:row r="709">
      <x:c r="A709" s="26" t="str">
        <x:v>PUBMED-20047172</x:v>
      </x:c>
      <x:c r="B709" s="26" t="n">
        <x:v>2010</x:v>
      </x:c>
      <x:c r="C709" s="26" t="str">
        <x:v>20047172</x:v>
      </x:c>
      <x:c r="D709" s="28" t="str">
        <x:v>[Algorithms for the medical treatment of Attention-Deficit/Hyperactivity Disorder with specific co-morbidities].</x:v>
      </x:c>
      <x:c r="E709" s="28" t="str">
        <x:v>Evidence synthesis - review</x:v>
      </x:c>
      <x:c r="F709" s="28" t="str">
        <x:v>Development &amp; presentation; Recognition &amp; diagnosis; Family &amp; education; Social &amp; structural; Environmental &amp; lifestyle; Treatment &amp; support</x:v>
      </x:c>
      <x:c r="G709" s="28" t="str">
        <x:v>Childhood; Adolescence</x:v>
      </x:c>
      <x:c r="H709" s="28" t="str">
        <x:v>Later specialized</x:v>
      </x:c>
      <x:c r="I709" s="28" t="str">
        <x:v>Direct or strongly ADHD-related record retained for later screening; typically narrower treatment, biomarker, mechanistic, or single-comorbidity focus.</x:v>
      </x:c>
      <x:c r="J709" s="38" t="e">
        <x:f>HYPERLINK("https://pubmed.ncbi.nlm.nih.gov/"&amp;C709&amp;"/","Open PubMed")</x:f>
        <x:v>HYPERLINK is not implemented. linkLocation=https://pubmed.ncbi.nlm.nih.gov/20047172/, friendlyName=Open PubMed</x:v>
      </x:c>
    </x:row>
    <x:row r="710">
      <x:c r="A710" s="26" t="str">
        <x:v>PUBMED-20044098</x:v>
      </x:c>
      <x:c r="B710" s="26" t="n">
        <x:v>2010</x:v>
      </x:c>
      <x:c r="C710" s="26" t="str">
        <x:v>20044098</x:v>
      </x:c>
      <x:c r="D710" s="28" t="str">
        <x:v>Prefrontal oxygenation during working memory in ADHD.</x:v>
      </x:c>
      <x:c r="E710" s="28" t="str">
        <x:v>Primary/contextual journal article</x:v>
      </x:c>
      <x:c r="F710" s="28" t="str">
        <x:v>Development &amp; presentation; Recognition &amp; diagnosis; Social &amp; structural; Treatment &amp; support</x:v>
      </x:c>
      <x:c r="G710" s="28" t="str">
        <x:v>Childhood</x:v>
      </x:c>
      <x:c r="H710" s="28" t="str">
        <x:v>Later specialized</x:v>
      </x:c>
      <x:c r="I710" s="28" t="str">
        <x:v>Direct or strongly ADHD-related record retained for later screening; typically narrower treatment, biomarker, mechanistic, or single-comorbidity focus.</x:v>
      </x:c>
      <x:c r="J710" s="38" t="e">
        <x:f>HYPERLINK("https://pubmed.ncbi.nlm.nih.gov/"&amp;C710&amp;"/","Open PubMed")</x:f>
        <x:v>HYPERLINK is not implemented. linkLocation=https://pubmed.ncbi.nlm.nih.gov/20044098/, friendlyName=Open PubMed</x:v>
      </x:c>
    </x:row>
    <x:row r="711">
      <x:c r="A711" s="26" t="str">
        <x:v>PUBMED-21541145</x:v>
      </x:c>
      <x:c r="B711" s="26" t="n">
        <x:v>2010</x:v>
      </x:c>
      <x:c r="C711" s="26" t="str">
        <x:v>21541145</x:v>
      </x:c>
      <x:c r="D711" s="28" t="str">
        <x:v>An investigation of differential reinforcement of alternative behavior without extinction.</x:v>
      </x:c>
      <x:c r="E711" s="28" t="str">
        <x:v>Primary/contextual journal article</x:v>
      </x:c>
      <x:c r="F711" s="28" t="str">
        <x:v>Development &amp; presentation; Family &amp; education; Social &amp; structural; Treatment &amp; support; Life outcomes &amp; lived experience</x:v>
      </x:c>
      <x:c r="G711" s="28" t="str">
        <x:v>Childhood</x:v>
      </x:c>
      <x:c r="H711" s="28" t="str">
        <x:v>Exclude/incidental</x:v>
      </x:c>
      <x:c r="I711" s="28" t="str">
        <x:v>ADHD appears peripheral or insufficiently aligned with the requested corpus scope based on accessible metadata/abstract.</x:v>
      </x:c>
      <x:c r="J711" s="38" t="e">
        <x:f>HYPERLINK("https://pubmed.ncbi.nlm.nih.gov/"&amp;C711&amp;"/","Open PubMed")</x:f>
        <x:v>HYPERLINK is not implemented. linkLocation=https://pubmed.ncbi.nlm.nih.gov/21541145/, friendlyName=Open PubMed</x:v>
      </x:c>
    </x:row>
    <x:row r="712">
      <x:c r="A712" s="26" t="str">
        <x:v>PUBMED-20040247</x:v>
      </x:c>
      <x:c r="B712" s="26" t="n">
        <x:v>2010</x:v>
      </x:c>
      <x:c r="C712" s="26" t="str">
        <x:v>20040247</x:v>
      </x:c>
      <x:c r="D712" s="28" t="str">
        <x:v>Structural abnormality of the substantia nigra in children with attention-deficit hyperactivity disorder.</x:v>
      </x:c>
      <x:c r="E712" s="28" t="str">
        <x:v>Primary/contextual journal article</x:v>
      </x:c>
      <x:c r="F712" s="28" t="str">
        <x:v>Development &amp; presentation; Recognition &amp; diagnosis; Social &amp; structural</x:v>
      </x:c>
      <x:c r="G712" s="28" t="str">
        <x:v>Childhood; Adolescence</x:v>
      </x:c>
      <x:c r="H712" s="28" t="str">
        <x:v>Later specialized</x:v>
      </x:c>
      <x:c r="I712" s="28" t="str">
        <x:v>Direct or strongly ADHD-related record retained for later screening; typically narrower treatment, biomarker, mechanistic, or single-comorbidity focus.</x:v>
      </x:c>
      <x:c r="J712" s="38" t="e">
        <x:f>HYPERLINK("https://pubmed.ncbi.nlm.nih.gov/"&amp;C712&amp;"/","Open PubMed")</x:f>
        <x:v>HYPERLINK is not implemented. linkLocation=https://pubmed.ncbi.nlm.nih.gov/20040247/, friendlyName=Open PubMed</x:v>
      </x:c>
    </x:row>
    <x:row r="713">
      <x:c r="A713" s="26" t="str">
        <x:v>PUBMED-20039111</x:v>
      </x:c>
      <x:c r="B713" s="26" t="n">
        <x:v>2010</x:v>
      </x:c>
      <x:c r="C713" s="26" t="str">
        <x:v>20039111</x:v>
      </x:c>
      <x:c r="D713" s="28" t="str">
        <x:v>Autism and ADHD symptoms in patients with OCD: are they associated with specific OC symptom dimensions or OC symptom severity?</x:v>
      </x:c>
      <x:c r="E713" s="28" t="str">
        <x:v>Primary/contextual journal article</x:v>
      </x:c>
      <x:c r="F713" s="28" t="str">
        <x:v>Development &amp; presentation; Recognition &amp; diagnosis; Social &amp; structural; Life outcomes &amp; lived experience</x:v>
      </x:c>
      <x:c r="G713" s="28" t="str">
        <x:v>Adulthood</x:v>
      </x:c>
      <x:c r="H713" s="28" t="str">
        <x:v>Later specialized</x:v>
      </x:c>
      <x:c r="I713" s="28" t="str">
        <x:v>Direct or strongly ADHD-related record retained for later screening; typically narrower treatment, biomarker, mechanistic, or single-comorbidity focus.</x:v>
      </x:c>
      <x:c r="J713" s="38" t="e">
        <x:f>HYPERLINK("https://pubmed.ncbi.nlm.nih.gov/"&amp;C713&amp;"/","Open PubMed")</x:f>
        <x:v>HYPERLINK is not implemented. linkLocation=https://pubmed.ncbi.nlm.nih.gov/20039111/, friendlyName=Open PubMed</x:v>
      </x:c>
    </x:row>
    <x:row r="714">
      <x:c r="A714" s="26" t="str">
        <x:v>PUBMED-20034616</x:v>
      </x:c>
      <x:c r="B714" s="26" t="n">
        <x:v>2010</x:v>
      </x:c>
      <x:c r="C714" s="26" t="str">
        <x:v>20034616</x:v>
      </x:c>
      <x:c r="D714" s="28" t="str">
        <x:v>Temporal reward discounting in attention-deficit/hyperactivity disorder: the contribution of symptom domains, reward magnitude, and session length.</x:v>
      </x:c>
      <x:c r="E714" s="28" t="str">
        <x:v>Primary/contextual journal article</x:v>
      </x:c>
      <x:c r="F714" s="28" t="str">
        <x:v>Development &amp; presentation; Recognition &amp; diagnosis; Social &amp; structural</x:v>
      </x:c>
      <x:c r="G714" s="28" t="str">
        <x:v>Childhood; Adolescence</x:v>
      </x:c>
      <x:c r="H714" s="28" t="str">
        <x:v>Later specialized</x:v>
      </x:c>
      <x:c r="I714" s="28" t="str">
        <x:v>Direct or strongly ADHD-related record retained for later screening; typically narrower treatment, biomarker, mechanistic, or single-comorbidity focus.</x:v>
      </x:c>
      <x:c r="J714" s="38" t="e">
        <x:f>HYPERLINK("https://pubmed.ncbi.nlm.nih.gov/"&amp;C714&amp;"/","Open PubMed")</x:f>
        <x:v>HYPERLINK is not implemented. linkLocation=https://pubmed.ncbi.nlm.nih.gov/20034616/, friendlyName=Open PubMed</x:v>
      </x:c>
    </x:row>
    <x:row r="715">
      <x:c r="A715" s="26" t="str">
        <x:v>PUBMED-20030423</x:v>
      </x:c>
      <x:c r="B715" s="26" t="n">
        <x:v>2010</x:v>
      </x:c>
      <x:c r="C715" s="26" t="str">
        <x:v>20030423</x:v>
      </x:c>
      <x:c r="D715" s="28" t="str">
        <x:v>Attention-deficit hyperactivity disorder: recent advances in paediatric pharmacotherapy.</x:v>
      </x:c>
      <x:c r="E715" s="28" t="str">
        <x:v>Primary/contextual journal article</x:v>
      </x:c>
      <x:c r="F715" s="28" t="str">
        <x:v>Development &amp; presentation; Recognition &amp; diagnosis; Social &amp; structural; Environmental &amp; lifestyle; Treatment &amp; support; Life outcomes &amp; lived experience; Historical &amp; contemporary context</x:v>
      </x:c>
      <x:c r="G715" s="28" t="str">
        <x:v>Childhood; Adolescence</x:v>
      </x:c>
      <x:c r="H715" s="28" t="str">
        <x:v>Later specialized</x:v>
      </x:c>
      <x:c r="I715" s="28" t="str">
        <x:v>Direct or strongly ADHD-related record retained for later screening; typically narrower treatment, biomarker, mechanistic, or single-comorbidity focus.</x:v>
      </x:c>
      <x:c r="J715" s="38" t="e">
        <x:f>HYPERLINK("https://pubmed.ncbi.nlm.nih.gov/"&amp;C715&amp;"/","Open PubMed")</x:f>
        <x:v>HYPERLINK is not implemented. linkLocation=https://pubmed.ncbi.nlm.nih.gov/20030423/, friendlyName=Open PubMed</x:v>
      </x:c>
    </x:row>
    <x:row r="716">
      <x:c r="A716" s="26" t="str">
        <x:v>PUBMED-20024672</x:v>
      </x:c>
      <x:c r="B716" s="26" t="n">
        <x:v>2010</x:v>
      </x:c>
      <x:c r="C716" s="26" t="str">
        <x:v>20024672</x:v>
      </x:c>
      <x:c r="D716" s="28" t="str">
        <x:v>A developmental examination of story recall and coherence among children with ADHD.</x:v>
      </x:c>
      <x:c r="E716" s="28" t="str">
        <x:v>Primary/contextual journal article</x:v>
      </x:c>
      <x:c r="F716" s="28" t="str">
        <x:v>Development &amp; presentation; Family &amp; education; Social &amp; structural</x:v>
      </x:c>
      <x:c r="G716" s="28" t="str">
        <x:v>Childhood</x:v>
      </x:c>
      <x:c r="H716" s="28" t="str">
        <x:v>Later specialized</x:v>
      </x:c>
      <x:c r="I716" s="28" t="str">
        <x:v>Direct or strongly ADHD-related record retained for later screening; typically narrower treatment, biomarker, mechanistic, or single-comorbidity focus.</x:v>
      </x:c>
      <x:c r="J716" s="38" t="e">
        <x:f>HYPERLINK("https://pubmed.ncbi.nlm.nih.gov/"&amp;C716&amp;"/","Open PubMed")</x:f>
        <x:v>HYPERLINK is not implemented. linkLocation=https://pubmed.ncbi.nlm.nih.gov/20024672/, friendlyName=Open PubMed</x:v>
      </x:c>
    </x:row>
    <x:row r="717">
      <x:c r="A717" s="26" t="str">
        <x:v>PUBMED-20022119</x:v>
      </x:c>
      <x:c r="B717" s="26" t="n">
        <x:v>2010</x:v>
      </x:c>
      <x:c r="C717" s="26" t="str">
        <x:v>20022119</x:v>
      </x:c>
      <x:c r="D717" s="28" t="str">
        <x:v>Platelet monoamine oxidase activity in children with attention-deficit/hyperactivity disorder.</x:v>
      </x:c>
      <x:c r="E717" s="28" t="str">
        <x:v>Primary/contextual journal article</x:v>
      </x:c>
      <x:c r="F717" s="28" t="str">
        <x:v>Development &amp; presentation; Recognition &amp; diagnosis; Family &amp; education; Social &amp; structural</x:v>
      </x:c>
      <x:c r="G717" s="28" t="str">
        <x:v>Childhood; Adolescence</x:v>
      </x:c>
      <x:c r="H717" s="28" t="str">
        <x:v>Later specialized</x:v>
      </x:c>
      <x:c r="I717" s="28" t="str">
        <x:v>Direct or strongly ADHD-related record retained for later screening; typically narrower treatment, biomarker, mechanistic, or single-comorbidity focus.</x:v>
      </x:c>
      <x:c r="J717" s="38" t="e">
        <x:f>HYPERLINK("https://pubmed.ncbi.nlm.nih.gov/"&amp;C717&amp;"/","Open PubMed")</x:f>
        <x:v>HYPERLINK is not implemented. linkLocation=https://pubmed.ncbi.nlm.nih.gov/20022119/, friendlyName=Open PubMed</x:v>
      </x:c>
    </x:row>
    <x:row r="718">
      <x:c r="A718" s="26" t="str">
        <x:v>PUBMED-20015192</x:v>
      </x:c>
      <x:c r="B718" s="26" t="n">
        <x:v>2010</x:v>
      </x:c>
      <x:c r="C718" s="26" t="str">
        <x:v>20015192</x:v>
      </x:c>
      <x:c r="D718" s="28" t="str">
        <x:v>Developmental phenotypes and causal pathways in attention deficit/hyperactivity disorder: potential targets for early intervention?</x:v>
      </x:c>
      <x:c r="E718" s="28" t="str">
        <x:v>Evidence synthesis - review</x:v>
      </x:c>
      <x:c r="F718" s="28" t="str">
        <x:v>Development &amp; presentation; Family &amp; education; Social &amp; structural; Environmental &amp; lifestyle; Treatment &amp; support; Life outcomes &amp; lived experience</x:v>
      </x:c>
      <x:c r="G718" s="28" t="str">
        <x:v>Childhood</x:v>
      </x:c>
      <x:c r="H718" s="28" t="str">
        <x:v>Later specialized</x:v>
      </x:c>
      <x:c r="I718" s="28" t="str">
        <x:v>Direct or strongly ADHD-related record retained for later screening; typically narrower treatment, biomarker, mechanistic, or single-comorbidity focus.</x:v>
      </x:c>
      <x:c r="J718" s="38" t="e">
        <x:f>HYPERLINK("https://pubmed.ncbi.nlm.nih.gov/"&amp;C718&amp;"/","Open PubMed")</x:f>
        <x:v>HYPERLINK is not implemented. linkLocation=https://pubmed.ncbi.nlm.nih.gov/20015192/, friendlyName=Open PubMed</x:v>
      </x:c>
    </x:row>
    <x:row r="719">
      <x:c r="A719" s="26" t="str">
        <x:v>PUBMED-20008822</x:v>
      </x:c>
      <x:c r="B719" s="26" t="n">
        <x:v>2010</x:v>
      </x:c>
      <x:c r="C719" s="26" t="str">
        <x:v>20008822</x:v>
      </x:c>
      <x:c r="D719" s="28" t="str">
        <x:v>Anterior cingulate volumetric alterations in treatment-naïve adults with ADHD: a pilot study.</x:v>
      </x:c>
      <x:c r="E719" s="28" t="str">
        <x:v>Primary/contextual journal article</x:v>
      </x:c>
      <x:c r="F719" s="28" t="str">
        <x:v>Development &amp; presentation; Recognition &amp; diagnosis; Social &amp; structural; Treatment &amp; support</x:v>
      </x:c>
      <x:c r="G719" s="28" t="str">
        <x:v>Adolescence; Adulthood</x:v>
      </x:c>
      <x:c r="H719" s="28" t="str">
        <x:v>Later specialized</x:v>
      </x:c>
      <x:c r="I719" s="28" t="str">
        <x:v>Direct or strongly ADHD-related record retained for later screening; typically narrower treatment, biomarker, mechanistic, or single-comorbidity focus.</x:v>
      </x:c>
      <x:c r="J719" s="38" t="e">
        <x:f>HYPERLINK("https://pubmed.ncbi.nlm.nih.gov/"&amp;C719&amp;"/","Open PubMed")</x:f>
        <x:v>HYPERLINK is not implemented. linkLocation=https://pubmed.ncbi.nlm.nih.gov/20008822/, friendlyName=Open PubMed</x:v>
      </x:c>
    </x:row>
    <x:row r="720">
      <x:c r="A720" s="26" t="str">
        <x:v>PUBMED-19960365</x:v>
      </x:c>
      <x:c r="B720" s="26" t="n">
        <x:v>2010</x:v>
      </x:c>
      <x:c r="C720" s="26" t="str">
        <x:v>19960365</x:v>
      </x:c>
      <x:c r="D720" s="28" t="str">
        <x:v>Does childhood executive function predict adolescent functional outcomes in girls with ADHD?</x:v>
      </x:c>
      <x:c r="E720" s="28" t="str">
        <x:v>Primary/contextual journal article</x:v>
      </x:c>
      <x:c r="F720" s="28" t="str">
        <x:v>Development &amp; presentation; Recognition &amp; diagnosis; Family &amp; education; Social &amp; structural; Life outcomes &amp; lived experience</x:v>
      </x:c>
      <x:c r="G720" s="28" t="str">
        <x:v>Childhood; Adolescence</x:v>
      </x:c>
      <x:c r="H720" s="28" t="str">
        <x:v>Later specialized</x:v>
      </x:c>
      <x:c r="I720" s="28" t="str">
        <x:v>Direct or strongly ADHD-related record retained for later screening; typically narrower treatment, biomarker, mechanistic, or single-comorbidity focus.</x:v>
      </x:c>
      <x:c r="J720" s="38" t="e">
        <x:f>HYPERLINK("https://pubmed.ncbi.nlm.nih.gov/"&amp;C720&amp;"/","Open PubMed")</x:f>
        <x:v>HYPERLINK is not implemented. linkLocation=https://pubmed.ncbi.nlm.nih.gov/19960365/, friendlyName=Open PubMed</x:v>
      </x:c>
    </x:row>
    <x:row r="721">
      <x:c r="A721" s="26" t="str">
        <x:v>PUBMED-19955108</x:v>
      </x:c>
      <x:c r="B721" s="26" t="n">
        <x:v>2010</x:v>
      </x:c>
      <x:c r="C721" s="26" t="str">
        <x:v>19955108</x:v>
      </x:c>
      <x:c r="D721" s="28" t="str">
        <x:v>The measurement of dispositions to rash action in children.</x:v>
      </x:c>
      <x:c r="E721" s="28" t="str">
        <x:v>Primary/contextual journal article</x:v>
      </x:c>
      <x:c r="F721" s="28" t="str">
        <x:v>Development &amp; presentation; Recognition &amp; diagnosis; Social &amp; structural</x:v>
      </x:c>
      <x:c r="G721" s="28" t="str">
        <x:v>Childhood; Adolescence; Adulthood</x:v>
      </x:c>
      <x:c r="H721" s="28" t="str">
        <x:v>Exclude/incidental</x:v>
      </x:c>
      <x:c r="I721" s="28" t="str">
        <x:v>ADHD appears peripheral or insufficiently aligned with the requested corpus scope based on accessible metadata/abstract.</x:v>
      </x:c>
      <x:c r="J721" s="38" t="e">
        <x:f>HYPERLINK("https://pubmed.ncbi.nlm.nih.gov/"&amp;C721&amp;"/","Open PubMed")</x:f>
        <x:v>HYPERLINK is not implemented. linkLocation=https://pubmed.ncbi.nlm.nih.gov/19955108/, friendlyName=Open PubMed</x:v>
      </x:c>
    </x:row>
    <x:row r="722">
      <x:c r="A722" s="26" t="str">
        <x:v>PUBMED-19946720</x:v>
      </x:c>
      <x:c r="B722" s="26" t="n">
        <x:v>2010</x:v>
      </x:c>
      <x:c r="C722" s="26" t="str">
        <x:v>19946720</x:v>
      </x:c>
      <x:c r="D722" s="28" t="str">
        <x:v>COMT Val158Met polymorphism and socioeconomic status interact to predict attention deficit/hyperactivity problems in children aged 10-14.</x:v>
      </x:c>
      <x:c r="E722" s="28" t="str">
        <x:v>Primary study - cross-sectional</x:v>
      </x:c>
      <x:c r="F722" s="28" t="str">
        <x:v>Development &amp; presentation; Recognition &amp; diagnosis; Family &amp; education; Social &amp; structural; Environmental &amp; lifestyle</x:v>
      </x:c>
      <x:c r="G722" s="28" t="str">
        <x:v>Childhood; Adolescence</x:v>
      </x:c>
      <x:c r="H722" s="28" t="str">
        <x:v>Later specialized</x:v>
      </x:c>
      <x:c r="I722" s="28" t="str">
        <x:v>Direct or strongly ADHD-related record retained for later screening; typically narrower treatment, biomarker, mechanistic, or single-comorbidity focus.</x:v>
      </x:c>
      <x:c r="J722" s="38" t="e">
        <x:f>HYPERLINK("https://pubmed.ncbi.nlm.nih.gov/"&amp;C722&amp;"/","Open PubMed")</x:f>
        <x:v>HYPERLINK is not implemented. linkLocation=https://pubmed.ncbi.nlm.nih.gov/19946720/, friendlyName=Open PubMed</x:v>
      </x:c>
    </x:row>
    <x:row r="723">
      <x:c r="A723" s="26" t="str">
        <x:v>PUBMED-19945506</x:v>
      </x:c>
      <x:c r="B723" s="26" t="n">
        <x:v>2010</x:v>
      </x:c>
      <x:c r="C723" s="26" t="str">
        <x:v>19945506</x:v>
      </x:c>
      <x:c r="D723" s="28" t="str">
        <x:v>Relation between resting EEG to cognitive performance and clinical symptoms in adults with attention-deficit/hyperactivity disorder.</x:v>
      </x:c>
      <x:c r="E723" s="28" t="str">
        <x:v>Primary/contextual journal article</x:v>
      </x:c>
      <x:c r="F723" s="28" t="str">
        <x:v>Development &amp; presentation; Treatment &amp; support</x:v>
      </x:c>
      <x:c r="G723" s="28" t="str">
        <x:v>Childhood; Adolescence; Adulthood</x:v>
      </x:c>
      <x:c r="H723" s="28" t="str">
        <x:v>Later specialized</x:v>
      </x:c>
      <x:c r="I723" s="28" t="str">
        <x:v>Direct or strongly ADHD-related record retained for later screening; typically narrower treatment, biomarker, mechanistic, or single-comorbidity focus.</x:v>
      </x:c>
      <x:c r="J723" s="38" t="e">
        <x:f>HYPERLINK("https://pubmed.ncbi.nlm.nih.gov/"&amp;C723&amp;"/","Open PubMed")</x:f>
        <x:v>HYPERLINK is not implemented. linkLocation=https://pubmed.ncbi.nlm.nih.gov/19945506/, friendlyName=Open PubMed</x:v>
      </x:c>
    </x:row>
    <x:row r="724">
      <x:c r="A724" s="26" t="str">
        <x:v>PUBMED-19941051</x:v>
      </x:c>
      <x:c r="B724" s="26" t="n">
        <x:v>2010</x:v>
      </x:c>
      <x:c r="C724" s="26" t="str">
        <x:v>19941051</x:v>
      </x:c>
      <x:c r="D724" s="28" t="str">
        <x:v>Equivalency for father and mother ratings of the ADHD symptoms.</x:v>
      </x:c>
      <x:c r="E724" s="28" t="str">
        <x:v>Primary/contextual journal article</x:v>
      </x:c>
      <x:c r="F724" s="28" t="str">
        <x:v>Development &amp; presentation; Recognition &amp; diagnosis; Family &amp; education; Social &amp; structural</x:v>
      </x:c>
      <x:c r="G724" s="28" t="str">
        <x:v>Childhood; Adulthood</x:v>
      </x:c>
      <x:c r="H724" s="28" t="str">
        <x:v>Later specialized</x:v>
      </x:c>
      <x:c r="I724" s="28" t="str">
        <x:v>Direct or strongly ADHD-related record retained for later screening; typically narrower treatment, biomarker, mechanistic, or single-comorbidity focus.</x:v>
      </x:c>
      <x:c r="J724" s="38" t="e">
        <x:f>HYPERLINK("https://pubmed.ncbi.nlm.nih.gov/"&amp;C724&amp;"/","Open PubMed")</x:f>
        <x:v>HYPERLINK is not implemented. linkLocation=https://pubmed.ncbi.nlm.nih.gov/19941051/, friendlyName=Open PubMed</x:v>
      </x:c>
    </x:row>
    <x:row r="725">
      <x:c r="A725" s="26" t="str">
        <x:v>PUBMED-19922756</x:v>
      </x:c>
      <x:c r="B725" s="26" t="n">
        <x:v>2010</x:v>
      </x:c>
      <x:c r="C725" s="26" t="str">
        <x:v>19922756</x:v>
      </x:c>
      <x:c r="D725" s="28" t="str">
        <x:v>Effect of alpha2A-adrenoceptor C-1291G genotype and maltreatment on hyperactivity and inattention in adolescents.</x:v>
      </x:c>
      <x:c r="E725" s="28" t="str">
        <x:v>Primary study - cohort</x:v>
      </x:c>
      <x:c r="F725" s="28" t="str">
        <x:v>Development &amp; presentation; Recognition &amp; diagnosis; Family &amp; education; Social &amp; structural; Environmental &amp; lifestyle; Treatment &amp; support; Life outcomes &amp; lived experience</x:v>
      </x:c>
      <x:c r="G725" s="28" t="str">
        <x:v>Childhood; Adolescence</x:v>
      </x:c>
      <x:c r="H725" s="28" t="str">
        <x:v>Later specialized</x:v>
      </x:c>
      <x:c r="I725" s="28" t="str">
        <x:v>Direct or strongly ADHD-related record retained for later screening; typically narrower treatment, biomarker, mechanistic, or single-comorbidity focus.</x:v>
      </x:c>
      <x:c r="J725" s="38" t="e">
        <x:f>HYPERLINK("https://pubmed.ncbi.nlm.nih.gov/"&amp;C725&amp;"/","Open PubMed")</x:f>
        <x:v>HYPERLINK is not implemented. linkLocation=https://pubmed.ncbi.nlm.nih.gov/19922756/, friendlyName=Open PubMed</x:v>
      </x:c>
    </x:row>
    <x:row r="726">
      <x:c r="A726" s="26" t="str">
        <x:v>PUBMED-19916704</x:v>
      </x:c>
      <x:c r="B726" s="26" t="n">
        <x:v>2010</x:v>
      </x:c>
      <x:c r="C726" s="26" t="str">
        <x:v>19916704</x:v>
      </x:c>
      <x:c r="D726" s="28" t="str">
        <x:v>Switching from oral extended-release methylphenidate to the methylphenidate transdermal system: continued attention-deficit/hyperactivity disorder symptom control and tolerability after abrupt conversion.</x:v>
      </x:c>
      <x:c r="E726" s="28" t="str">
        <x:v>Primary/contextual journal article</x:v>
      </x:c>
      <x:c r="F726" s="28" t="str">
        <x:v>Development &amp; presentation; Recognition &amp; diagnosis; Family &amp; education; Social &amp; structural; Treatment &amp; support; Life outcomes &amp; lived experience</x:v>
      </x:c>
      <x:c r="G726" s="28" t="str">
        <x:v>Childhood</x:v>
      </x:c>
      <x:c r="H726" s="28" t="str">
        <x:v>Later specialized</x:v>
      </x:c>
      <x:c r="I726" s="28" t="str">
        <x:v>Direct or strongly ADHD-related record retained for later screening; typically narrower treatment, biomarker, mechanistic, or single-comorbidity focus.</x:v>
      </x:c>
      <x:c r="J726" s="38" t="e">
        <x:f>HYPERLINK("https://pubmed.ncbi.nlm.nih.gov/"&amp;C726&amp;"/","Open PubMed")</x:f>
        <x:v>HYPERLINK is not implemented. linkLocation=https://pubmed.ncbi.nlm.nih.gov/19916704/, friendlyName=Open PubMed</x:v>
      </x:c>
    </x:row>
    <x:row r="727">
      <x:c r="A727" s="26" t="str">
        <x:v>PUBMED-19915200</x:v>
      </x:c>
      <x:c r="B727" s="26" t="n">
        <x:v>2010</x:v>
      </x:c>
      <x:c r="C727" s="26" t="str">
        <x:v>19915200</x:v>
      </x:c>
      <x:c r="D727" s="28" t="str">
        <x:v>Examining unusual digit span performance in a population of postsecondary students assessed for academic difficulties.</x:v>
      </x:c>
      <x:c r="E727" s="28" t="str">
        <x:v>Primary/contextual journal article</x:v>
      </x:c>
      <x:c r="F727" s="28" t="str">
        <x:v>Development &amp; presentation; Recognition &amp; diagnosis; Family &amp; education; Social &amp; structural; Historical &amp; contemporary context</x:v>
      </x:c>
      <x:c r="G727" s="28" t="str">
        <x:v>Adolescence; Adulthood</x:v>
      </x:c>
      <x:c r="H727" s="28" t="str">
        <x:v>Exclude/incidental</x:v>
      </x:c>
      <x:c r="I727" s="28" t="str">
        <x:v>ADHD appears peripheral or insufficiently aligned with the requested corpus scope based on accessible metadata/abstract.</x:v>
      </x:c>
      <x:c r="J727" s="38" t="e">
        <x:f>HYPERLINK("https://pubmed.ncbi.nlm.nih.gov/"&amp;C727&amp;"/","Open PubMed")</x:f>
        <x:v>HYPERLINK is not implemented. linkLocation=https://pubmed.ncbi.nlm.nih.gov/19915200/, friendlyName=Open PubMed</x:v>
      </x:c>
    </x:row>
    <x:row r="728">
      <x:c r="A728" s="26" t="str">
        <x:v>PUBMED-19914599</x:v>
      </x:c>
      <x:c r="B728" s="26" t="n">
        <x:v>2010</x:v>
      </x:c>
      <x:c r="C728" s="26" t="str">
        <x:v>19914599</x:v>
      </x:c>
      <x:c r="D728" s="28" t="str">
        <x:v>Effects of motivation and medication on electrophysiological markers of response inhibition in children with attention-deficit/hyperactivity disorder.</x:v>
      </x:c>
      <x:c r="E728" s="28" t="str">
        <x:v>Primary/contextual journal article</x:v>
      </x:c>
      <x:c r="F728" s="28" t="str">
        <x:v>Development &amp; presentation; Recognition &amp; diagnosis; Treatment &amp; support; Life outcomes &amp; lived experience</x:v>
      </x:c>
      <x:c r="G728" s="28" t="str">
        <x:v>Childhood; Adolescence</x:v>
      </x:c>
      <x:c r="H728" s="28" t="str">
        <x:v>Later specialized</x:v>
      </x:c>
      <x:c r="I728" s="28" t="str">
        <x:v>Direct or strongly ADHD-related record retained for later screening; typically narrower treatment, biomarker, mechanistic, or single-comorbidity focus.</x:v>
      </x:c>
      <x:c r="J728" s="38" t="e">
        <x:f>HYPERLINK("https://pubmed.ncbi.nlm.nih.gov/"&amp;C728&amp;"/","Open PubMed")</x:f>
        <x:v>HYPERLINK is not implemented. linkLocation=https://pubmed.ncbi.nlm.nih.gov/19914599/, friendlyName=Open PubMed</x:v>
      </x:c>
    </x:row>
    <x:row r="729">
      <x:c r="A729" s="26" t="str">
        <x:v>PUBMED-19908138</x:v>
      </x:c>
      <x:c r="B729" s="26" t="n">
        <x:v>2010</x:v>
      </x:c>
      <x:c r="C729" s="26" t="str">
        <x:v>19908138</x:v>
      </x:c>
      <x:c r="D729" s="28" t="str">
        <x:v>Exploring the relationship between autistic-like traits and ADHD behaviors in early childhood: findings from a community twin study of 2-year-olds.</x:v>
      </x:c>
      <x:c r="E729" s="28" t="str">
        <x:v>Primary/contextual journal article</x:v>
      </x:c>
      <x:c r="F729" s="28" t="str">
        <x:v>Development &amp; presentation; Recognition &amp; diagnosis; Family &amp; education; Social &amp; structural; Environmental &amp; lifestyle; Life outcomes &amp; lived experience</x:v>
      </x:c>
      <x:c r="G729" s="28" t="str">
        <x:v>Childhood</x:v>
      </x:c>
      <x:c r="H729" s="28" t="str">
        <x:v>Later specialized</x:v>
      </x:c>
      <x:c r="I729" s="28" t="str">
        <x:v>Direct or strongly ADHD-related record retained for later screening; typically narrower treatment, biomarker, mechanistic, or single-comorbidity focus.</x:v>
      </x:c>
      <x:c r="J729" s="38" t="e">
        <x:f>HYPERLINK("https://pubmed.ncbi.nlm.nih.gov/"&amp;C729&amp;"/","Open PubMed")</x:f>
        <x:v>HYPERLINK is not implemented. linkLocation=https://pubmed.ncbi.nlm.nih.gov/19908138/, friendlyName=Open PubMed</x:v>
      </x:c>
    </x:row>
    <x:row r="730">
      <x:c r="A730" s="26" t="str">
        <x:v>PUBMED-19894075</x:v>
      </x:c>
      <x:c r="B730" s="26" t="n">
        <x:v>2010</x:v>
      </x:c>
      <x:c r="C730" s="26" t="str">
        <x:v>19894075</x:v>
      </x:c>
      <x:c r="D730" s="28" t="str">
        <x:v>Co-morbidity and patterns of care in stimulant-treated children with ADHD in the Netherlands.</x:v>
      </x:c>
      <x:c r="E730" s="28" t="str">
        <x:v>Primary/contextual journal article</x:v>
      </x:c>
      <x:c r="F730" s="28" t="str">
        <x:v>Development &amp; presentation; Recognition &amp; diagnosis; Family &amp; education; Social &amp; structural; Treatment &amp; support</x:v>
      </x:c>
      <x:c r="G730" s="28" t="str">
        <x:v>Childhood; Adolescence</x:v>
      </x:c>
      <x:c r="H730" s="28" t="str">
        <x:v>Later specialized</x:v>
      </x:c>
      <x:c r="I730" s="28" t="str">
        <x:v>Direct or strongly ADHD-related record retained for later screening; typically narrower treatment, biomarker, mechanistic, or single-comorbidity focus.</x:v>
      </x:c>
      <x:c r="J730" s="38" t="e">
        <x:f>HYPERLINK("https://pubmed.ncbi.nlm.nih.gov/"&amp;C730&amp;"/","Open PubMed")</x:f>
        <x:v>HYPERLINK is not implemented. linkLocation=https://pubmed.ncbi.nlm.nih.gov/19894075/, friendlyName=Open PubMed</x:v>
      </x:c>
    </x:row>
    <x:row r="731">
      <x:c r="A731" s="26" t="str">
        <x:v>PUBMED-19894072</x:v>
      </x:c>
      <x:c r="B731" s="26" t="n">
        <x:v>2010</x:v>
      </x:c>
      <x:c r="C731" s="26" t="str">
        <x:v>19894072</x:v>
      </x:c>
      <x:c r="D731" s="28" t="str">
        <x:v>A gene-environment investigation on personality traits in two independent clinical sets of adult patients with personality disorder and attention deficit/hyperactive disorder.</x:v>
      </x:c>
      <x:c r="E731" s="28" t="str">
        <x:v>Primary/contextual journal article</x:v>
      </x:c>
      <x:c r="F731" s="28" t="str">
        <x:v>Development &amp; presentation; Family &amp; education; Social &amp; structural; Environmental &amp; lifestyle; Treatment &amp; support</x:v>
      </x:c>
      <x:c r="G731" s="28" t="str">
        <x:v>Adulthood</x:v>
      </x:c>
      <x:c r="H731" s="28" t="str">
        <x:v>Later specialized</x:v>
      </x:c>
      <x:c r="I731" s="28" t="str">
        <x:v>Direct or strongly ADHD-related record retained for later screening; typically narrower treatment, biomarker, mechanistic, or single-comorbidity focus.</x:v>
      </x:c>
      <x:c r="J731" s="38" t="e">
        <x:f>HYPERLINK("https://pubmed.ncbi.nlm.nih.gov/"&amp;C731&amp;"/","Open PubMed")</x:f>
        <x:v>HYPERLINK is not implemented. linkLocation=https://pubmed.ncbi.nlm.nih.gov/19894072/, friendlyName=Open PubMed</x:v>
      </x:c>
    </x:row>
    <x:row r="732">
      <x:c r="A732" s="26" t="str">
        <x:v>PUBMED-19891745</x:v>
      </x:c>
      <x:c r="B732" s="26" t="n">
        <x:v>2010</x:v>
      </x:c>
      <x:c r="C732" s="26" t="str">
        <x:v>19891745</x:v>
      </x:c>
      <x:c r="D732" s="28" t="str">
        <x:v>Practitioner review: Non-pharmacological treatments for ADHD: a lifespan approach.</x:v>
      </x:c>
      <x:c r="E732" s="28" t="str">
        <x:v>Primary/contextual journal article</x:v>
      </x:c>
      <x:c r="F732" s="28" t="str">
        <x:v>Development &amp; presentation; Family &amp; education; Social &amp; structural; Treatment &amp; support; Historical &amp; contemporary context</x:v>
      </x:c>
      <x:c r="G732" s="28" t="str">
        <x:v>Childhood; Adolescence; Adulthood</x:v>
      </x:c>
      <x:c r="H732" s="28" t="str">
        <x:v>Later specialized</x:v>
      </x:c>
      <x:c r="I732" s="28" t="str">
        <x:v>Direct or strongly ADHD-related record retained for later screening; typically narrower treatment, biomarker, mechanistic, or single-comorbidity focus.</x:v>
      </x:c>
      <x:c r="J732" s="38" t="e">
        <x:f>HYPERLINK("https://pubmed.ncbi.nlm.nih.gov/"&amp;C732&amp;"/","Open PubMed")</x:f>
        <x:v>HYPERLINK is not implemented. linkLocation=https://pubmed.ncbi.nlm.nih.gov/19891745/, friendlyName=Open PubMed</x:v>
      </x:c>
    </x:row>
    <x:row r="733">
      <x:c r="A733" s="26" t="str">
        <x:v>PUBMED-19890261</x:v>
      </x:c>
      <x:c r="B733" s="26" t="n">
        <x:v>2010</x:v>
      </x:c>
      <x:c r="C733" s="26" t="str">
        <x:v>19890261</x:v>
      </x:c>
      <x:c r="D733" s="28" t="str">
        <x:v>Multicenter analysis of the SLC6A3/DAT1 VNTR haplotype in persistent ADHD suggests differential involvement of the gene in childhood and persistent ADHD.</x:v>
      </x:c>
      <x:c r="E733" s="28" t="str">
        <x:v>Evidence synthesis - meta-analysis</x:v>
      </x:c>
      <x:c r="F733" s="28" t="str">
        <x:v>Development &amp; presentation; Social &amp; structural</x:v>
      </x:c>
      <x:c r="G733" s="28" t="str">
        <x:v>Childhood; Adolescence; Adulthood</x:v>
      </x:c>
      <x:c r="H733" s="28" t="str">
        <x:v>Later specialized</x:v>
      </x:c>
      <x:c r="I733" s="28" t="str">
        <x:v>Direct or strongly ADHD-related record retained for later screening; typically narrower treatment, biomarker, mechanistic, or single-comorbidity focus.</x:v>
      </x:c>
      <x:c r="J733" s="38" t="e">
        <x:f>HYPERLINK("https://pubmed.ncbi.nlm.nih.gov/"&amp;C733&amp;"/","Open PubMed")</x:f>
        <x:v>HYPERLINK is not implemented. linkLocation=https://pubmed.ncbi.nlm.nih.gov/19890261/, friendlyName=Open PubMed</x:v>
      </x:c>
    </x:row>
    <x:row r="734">
      <x:c r="A734" s="26" t="str">
        <x:v>PUBMED-19874428</x:v>
      </x:c>
      <x:c r="B734" s="26" t="n">
        <x:v>2010</x:v>
      </x:c>
      <x:c r="C734" s="26" t="str">
        <x:v>19874428</x:v>
      </x:c>
      <x:c r="D734" s="28" t="str">
        <x:v>Lower maternal folate status in early pregnancy is associated with childhood hyperactivity and peer problems in offspring.</x:v>
      </x:c>
      <x:c r="E734" s="28" t="str">
        <x:v>Primary study - cohort</x:v>
      </x:c>
      <x:c r="F734" s="28" t="str">
        <x:v>Development &amp; presentation; Social &amp; structural; Environmental &amp; lifestyle</x:v>
      </x:c>
      <x:c r="G734" s="28" t="str">
        <x:v>Childhood; Adulthood</x:v>
      </x:c>
      <x:c r="H734" s="28" t="str">
        <x:v>Later specialized</x:v>
      </x:c>
      <x:c r="I734" s="28" t="str">
        <x:v>Direct or strongly ADHD-related record retained for later screening; typically narrower treatment, biomarker, mechanistic, or single-comorbidity focus.</x:v>
      </x:c>
      <x:c r="J734" s="38" t="e">
        <x:f>HYPERLINK("https://pubmed.ncbi.nlm.nih.gov/"&amp;C734&amp;"/","Open PubMed")</x:f>
        <x:v>HYPERLINK is not implemented. linkLocation=https://pubmed.ncbi.nlm.nih.gov/19874428/, friendlyName=Open PubMed</x:v>
      </x:c>
    </x:row>
    <x:row r="735">
      <x:c r="A735" s="26" t="str">
        <x:v>PUBMED-19863753</x:v>
      </x:c>
      <x:c r="B735" s="26" t="n">
        <x:v>2010</x:v>
      </x:c>
      <x:c r="C735" s="26" t="str">
        <x:v>19863753</x:v>
      </x:c>
      <x:c r="D735" s="28" t="str">
        <x:v>Game-based peripheral biofeedback for stress assessment in children.</x:v>
      </x:c>
      <x:c r="E735" s="28" t="str">
        <x:v>Primary study - cohort</x:v>
      </x:c>
      <x:c r="F735" s="28" t="str">
        <x:v>Development &amp; presentation; Recognition &amp; diagnosis; Family &amp; education; Social &amp; structural; Environmental &amp; lifestyle</x:v>
      </x:c>
      <x:c r="G735" s="28" t="str">
        <x:v>Childhood</x:v>
      </x:c>
      <x:c r="H735" s="28" t="str">
        <x:v>Later specialized</x:v>
      </x:c>
      <x:c r="I735" s="28" t="str">
        <x:v>Direct or strongly ADHD-related record retained for later screening; typically narrower treatment, biomarker, mechanistic, or single-comorbidity focus.</x:v>
      </x:c>
      <x:c r="J735" s="38" t="e">
        <x:f>HYPERLINK("https://pubmed.ncbi.nlm.nih.gov/"&amp;C735&amp;"/","Open PubMed")</x:f>
        <x:v>HYPERLINK is not implemented. linkLocation=https://pubmed.ncbi.nlm.nih.gov/19863753/, friendlyName=Open PubMed</x:v>
      </x:c>
    </x:row>
    <x:row r="736">
      <x:c r="A736" s="26" t="str">
        <x:v>PUBMED-19857516</x:v>
      </x:c>
      <x:c r="B736" s="26" t="n">
        <x:v>2010</x:v>
      </x:c>
      <x:c r="C736" s="26" t="str">
        <x:v>19857516</x:v>
      </x:c>
      <x:c r="D736" s="28" t="str">
        <x:v>Social cognition in attention-deficit hyperactivity disorder (ADHD).</x:v>
      </x:c>
      <x:c r="E736" s="28" t="str">
        <x:v>Evidence synthesis - review</x:v>
      </x:c>
      <x:c r="F736" s="28" t="str">
        <x:v>Development &amp; presentation; Recognition &amp; diagnosis; Social &amp; structural; Treatment &amp; support</x:v>
      </x:c>
      <x:c r="G736" s="28" t="str">
        <x:v>Not specified</x:v>
      </x:c>
      <x:c r="H736" s="28" t="str">
        <x:v>Later specialized</x:v>
      </x:c>
      <x:c r="I736" s="28" t="str">
        <x:v>Direct or strongly ADHD-related record retained for later screening; typically narrower treatment, biomarker, mechanistic, or single-comorbidity focus.</x:v>
      </x:c>
      <x:c r="J736" s="38" t="e">
        <x:f>HYPERLINK("https://pubmed.ncbi.nlm.nih.gov/"&amp;C736&amp;"/","Open PubMed")</x:f>
        <x:v>HYPERLINK is not implemented. linkLocation=https://pubmed.ncbi.nlm.nih.gov/19857516/, friendlyName=Open PubMed</x:v>
      </x:c>
    </x:row>
    <x:row r="737">
      <x:c r="A737" s="26" t="str">
        <x:v>PUBMED-19849882</x:v>
      </x:c>
      <x:c r="B737" s="26" t="n">
        <x:v>2010</x:v>
      </x:c>
      <x:c r="C737" s="26" t="str">
        <x:v>19849882</x:v>
      </x:c>
      <x:c r="D737" s="28" t="str">
        <x:v>Examining predictors of reaction times in children with ADHD and normal controls.</x:v>
      </x:c>
      <x:c r="E737" s="28" t="str">
        <x:v>Primary/contextual journal article</x:v>
      </x:c>
      <x:c r="F737" s="28" t="str">
        <x:v>Development &amp; presentation; Social &amp; structural</x:v>
      </x:c>
      <x:c r="G737" s="28" t="str">
        <x:v>Childhood</x:v>
      </x:c>
      <x:c r="H737" s="28" t="str">
        <x:v>Later specialized</x:v>
      </x:c>
      <x:c r="I737" s="28" t="str">
        <x:v>Direct or strongly ADHD-related record retained for later screening; typically narrower treatment, biomarker, mechanistic, or single-comorbidity focus.</x:v>
      </x:c>
      <x:c r="J737" s="38" t="e">
        <x:f>HYPERLINK("https://pubmed.ncbi.nlm.nih.gov/"&amp;C737&amp;"/","Open PubMed")</x:f>
        <x:v>HYPERLINK is not implemented. linkLocation=https://pubmed.ncbi.nlm.nih.gov/19849882/, friendlyName=Open PubMed</x:v>
      </x:c>
    </x:row>
    <x:row r="738">
      <x:c r="A738" s="26" t="str">
        <x:v>PUBMED-19849880</x:v>
      </x:c>
      <x:c r="B738" s="26" t="n">
        <x:v>2010</x:v>
      </x:c>
      <x:c r="C738" s="26" t="str">
        <x:v>19849880</x:v>
      </x:c>
      <x:c r="D738" s="28" t="str">
        <x:v>Differential engagement of cognitive and affective neural systems in pediatric bipolar disorder and attention deficit hyperactivity disorder.</x:v>
      </x:c>
      <x:c r="E738" s="28" t="str">
        <x:v>Primary/contextual journal article</x:v>
      </x:c>
      <x:c r="F738" s="28" t="str">
        <x:v>Development &amp; presentation; Social &amp; structural; Treatment &amp; support</x:v>
      </x:c>
      <x:c r="G738" s="28" t="str">
        <x:v>Childhood; Adolescence</x:v>
      </x:c>
      <x:c r="H738" s="28" t="str">
        <x:v>Later specialized</x:v>
      </x:c>
      <x:c r="I738" s="28" t="str">
        <x:v>Direct or strongly ADHD-related record retained for later screening; typically narrower treatment, biomarker, mechanistic, or single-comorbidity focus.</x:v>
      </x:c>
      <x:c r="J738" s="38" t="e">
        <x:f>HYPERLINK("https://pubmed.ncbi.nlm.nih.gov/"&amp;C738&amp;"/","Open PubMed")</x:f>
        <x:v>HYPERLINK is not implemented. linkLocation=https://pubmed.ncbi.nlm.nih.gov/19849880/, friendlyName=Open PubMed</x:v>
      </x:c>
    </x:row>
    <x:row r="739">
      <x:c r="A739" s="26" t="str">
        <x:v>PUBMED-19833320</x:v>
      </x:c>
      <x:c r="B739" s="26" t="n">
        <x:v>2010</x:v>
      </x:c>
      <x:c r="C739" s="26" t="str">
        <x:v>19833320</x:v>
      </x:c>
      <x:c r="D739" s="28" t="str">
        <x:v>Streptococcal upper respiratory tract infections and psychosocial stress predict future tic and obsessive-compulsive symptom severity in children and adolescents with Tourette syndrome and obsessive-compulsive disorder.</x:v>
      </x:c>
      <x:c r="E739" s="28" t="str">
        <x:v>Primary/contextual journal article</x:v>
      </x:c>
      <x:c r="F739" s="28" t="str">
        <x:v>Development &amp; presentation; Recognition &amp; diagnosis; Environmental &amp; lifestyle; Treatment &amp; support</x:v>
      </x:c>
      <x:c r="G739" s="28" t="str">
        <x:v>Childhood; Adolescence</x:v>
      </x:c>
      <x:c r="H739" s="28" t="str">
        <x:v>Exclude/incidental</x:v>
      </x:c>
      <x:c r="I739" s="28" t="str">
        <x:v>ADHD appears peripheral or insufficiently aligned with the requested corpus scope based on accessible metadata/abstract.</x:v>
      </x:c>
      <x:c r="J739" s="38" t="e">
        <x:f>HYPERLINK("https://pubmed.ncbi.nlm.nih.gov/"&amp;C739&amp;"/","Open PubMed")</x:f>
        <x:v>HYPERLINK is not implemented. linkLocation=https://pubmed.ncbi.nlm.nih.gov/19833320/, friendlyName=Open PubMed</x:v>
      </x:c>
    </x:row>
    <x:row r="740">
      <x:c r="A740" s="26" t="str">
        <x:v>PUBMED-19823900</x:v>
      </x:c>
      <x:c r="B740" s="26" t="n">
        <x:v>2010</x:v>
      </x:c>
      <x:c r="C740" s="26" t="str">
        <x:v>19823900</x:v>
      </x:c>
      <x:c r="D740" s="28" t="str">
        <x:v>Treating attention-deficit/hyperactivity disorder beyond symptom control alone in children and adolescents: a review of the potential benefits of long-acting stimulants.</x:v>
      </x:c>
      <x:c r="E740" s="28" t="str">
        <x:v>Evidence synthesis - review</x:v>
      </x:c>
      <x:c r="F740" s="28" t="str">
        <x:v>Development &amp; presentation; Family &amp; education; Social &amp; structural; Treatment &amp; support; Life outcomes &amp; lived experience</x:v>
      </x:c>
      <x:c r="G740" s="28" t="str">
        <x:v>Childhood; Adolescence; Adulthood</x:v>
      </x:c>
      <x:c r="H740" s="28" t="str">
        <x:v>Batch 1 core</x:v>
      </x:c>
      <x:c r="I740" s="28" t="str">
        <x:v>Direct ADHD evidence synthesis/guideline with broad multi-topic relevance.</x:v>
      </x:c>
      <x:c r="J740" s="38" t="e">
        <x:f>HYPERLINK("https://pubmed.ncbi.nlm.nih.gov/"&amp;C740&amp;"/","Open PubMed")</x:f>
        <x:v>HYPERLINK is not implemented. linkLocation=https://pubmed.ncbi.nlm.nih.gov/19823900/, friendlyName=Open PubMed</x:v>
      </x:c>
    </x:row>
    <x:row r="741">
      <x:c r="A741" s="26" t="str">
        <x:v>PUBMED-19820986</x:v>
      </x:c>
      <x:c r="B741" s="26" t="n">
        <x:v>2010</x:v>
      </x:c>
      <x:c r="C741" s="26" t="str">
        <x:v>19820986</x:v>
      </x:c>
      <x:c r="D741" s="28" t="str">
        <x:v>Risk factors of abuse of parents by their ADHD children.</x:v>
      </x:c>
      <x:c r="E741" s="28" t="str">
        <x:v>Primary/contextual journal article</x:v>
      </x:c>
      <x:c r="F741" s="28" t="str">
        <x:v>Development &amp; presentation; Recognition &amp; diagnosis; Family &amp; education; Life outcomes &amp; lived experience</x:v>
      </x:c>
      <x:c r="G741" s="28" t="str">
        <x:v>Childhood; Adolescence</x:v>
      </x:c>
      <x:c r="H741" s="28" t="str">
        <x:v>Later specialized</x:v>
      </x:c>
      <x:c r="I741" s="28" t="str">
        <x:v>Direct or strongly ADHD-related record retained for later screening; typically narrower treatment, biomarker, mechanistic, or single-comorbidity focus.</x:v>
      </x:c>
      <x:c r="J741" s="38" t="e">
        <x:f>HYPERLINK("https://pubmed.ncbi.nlm.nih.gov/"&amp;C741&amp;"/","Open PubMed")</x:f>
        <x:v>HYPERLINK is not implemented. linkLocation=https://pubmed.ncbi.nlm.nih.gov/19820986/, friendlyName=Open PubMed</x:v>
      </x:c>
    </x:row>
    <x:row r="742">
      <x:c r="A742" s="26" t="str">
        <x:v>PUBMED-19815048</x:v>
      </x:c>
      <x:c r="B742" s="26" t="n">
        <x:v>2010</x:v>
      </x:c>
      <x:c r="C742" s="26" t="str">
        <x:v>19815048</x:v>
      </x:c>
      <x:c r="D742" s="28" t="str">
        <x:v>Ginkgo biloba for attention-deficit/hyperactivity disorder in children and adolescents: a double blind, randomized controlled trial.</x:v>
      </x:c>
      <x:c r="E742" s="28" t="str">
        <x:v>Primary study - randomized controlled trial</x:v>
      </x:c>
      <x:c r="F742" s="28" t="str">
        <x:v>Development &amp; presentation; Recognition &amp; diagnosis; Family &amp; education; Social &amp; structural; Treatment &amp; support; Life outcomes &amp; lived experience</x:v>
      </x:c>
      <x:c r="G742" s="28" t="str">
        <x:v>Childhood; Adolescence</x:v>
      </x:c>
      <x:c r="H742" s="28" t="str">
        <x:v>Later specialized</x:v>
      </x:c>
      <x:c r="I742" s="28" t="str">
        <x:v>Direct or strongly ADHD-related record retained for later screening; typically narrower treatment, biomarker, mechanistic, or single-comorbidity focus.</x:v>
      </x:c>
      <x:c r="J742" s="38" t="e">
        <x:f>HYPERLINK("https://pubmed.ncbi.nlm.nih.gov/"&amp;C742&amp;"/","Open PubMed")</x:f>
        <x:v>HYPERLINK is not implemented. linkLocation=https://pubmed.ncbi.nlm.nih.gov/19815048/, friendlyName=Open PubMed</x:v>
      </x:c>
    </x:row>
    <x:row r="743">
      <x:c r="A743" s="26" t="str">
        <x:v>PUBMED-19813130</x:v>
      </x:c>
      <x:c r="B743" s="26" t="n">
        <x:v>2010</x:v>
      </x:c>
      <x:c r="C743" s="26" t="str">
        <x:v>19813130</x:v>
      </x:c>
      <x:c r="D743" s="28" t="str">
        <x:v>Working memory, response inhibition, and within-subject variability in children with attention-deficit/hyperactivity disorder or reading disorder.</x:v>
      </x:c>
      <x:c r="E743" s="28" t="str">
        <x:v>Primary/contextual journal article</x:v>
      </x:c>
      <x:c r="F743" s="28" t="str">
        <x:v>Development &amp; presentation; Recognition &amp; diagnosis; Social &amp; structural; Life outcomes &amp; lived experience</x:v>
      </x:c>
      <x:c r="G743" s="28" t="str">
        <x:v>Childhood</x:v>
      </x:c>
      <x:c r="H743" s="28" t="str">
        <x:v>Later specialized</x:v>
      </x:c>
      <x:c r="I743" s="28" t="str">
        <x:v>Direct or strongly ADHD-related record retained for later screening; typically narrower treatment, biomarker, mechanistic, or single-comorbidity focus.</x:v>
      </x:c>
      <x:c r="J743" s="38" t="e">
        <x:f>HYPERLINK("https://pubmed.ncbi.nlm.nih.gov/"&amp;C743&amp;"/","Open PubMed")</x:f>
        <x:v>HYPERLINK is not implemented. linkLocation=https://pubmed.ncbi.nlm.nih.gov/19813130/, friendlyName=Open PubMed</x:v>
      </x:c>
    </x:row>
    <x:row r="744">
      <x:c r="A744" s="26" t="str">
        <x:v>PUBMED-19806424</x:v>
      </x:c>
      <x:c r="B744" s="26" t="n">
        <x:v>2010</x:v>
      </x:c>
      <x:c r="C744" s="26" t="str">
        <x:v>19806424</x:v>
      </x:c>
      <x:c r="D744" s="28" t="str">
        <x:v>How do different diagnostic criteria, age and gender affect the prevalence of attention deficit hyperactivity disorder in adults? An epidemiological study in a Hungarian community sample.</x:v>
      </x:c>
      <x:c r="E744" s="28" t="str">
        <x:v>Primary/contextual journal article</x:v>
      </x:c>
      <x:c r="F744" s="28" t="str">
        <x:v>Development &amp; presentation; Recognition &amp; diagnosis; Social &amp; structural</x:v>
      </x:c>
      <x:c r="G744" s="28" t="str">
        <x:v>Adolescence; Adulthood</x:v>
      </x:c>
      <x:c r="H744" s="28" t="str">
        <x:v>Later specialized</x:v>
      </x:c>
      <x:c r="I744" s="28" t="str">
        <x:v>Direct or strongly ADHD-related record retained for later screening; typically narrower treatment, biomarker, mechanistic, or single-comorbidity focus.</x:v>
      </x:c>
      <x:c r="J744" s="38" t="e">
        <x:f>HYPERLINK("https://pubmed.ncbi.nlm.nih.gov/"&amp;C744&amp;"/","Open PubMed")</x:f>
        <x:v>HYPERLINK is not implemented. linkLocation=https://pubmed.ncbi.nlm.nih.gov/19806424/, friendlyName=Open PubMed</x:v>
      </x:c>
    </x:row>
    <x:row r="745">
      <x:c r="A745" s="26" t="str">
        <x:v>PUBMED-19805622</x:v>
      </x:c>
      <x:c r="B745" s="26" t="n">
        <x:v>2010</x:v>
      </x:c>
      <x:c r="C745" s="26" t="str">
        <x:v>19805622</x:v>
      </x:c>
      <x:c r="D745" s="28" t="str">
        <x:v>Maternal anxiety and attention problems in children at 5 and 14 years.</x:v>
      </x:c>
      <x:c r="E745" s="28" t="str">
        <x:v>Primary study - cohort</x:v>
      </x:c>
      <x:c r="F745" s="28" t="str">
        <x:v>Development &amp; presentation; Recognition &amp; diagnosis; Family &amp; education; Social &amp; structural; Environmental &amp; lifestyle; Treatment &amp; support</x:v>
      </x:c>
      <x:c r="G745" s="28" t="str">
        <x:v>Childhood; Adolescence; Adulthood</x:v>
      </x:c>
      <x:c r="H745" s="28" t="str">
        <x:v>Later specialized</x:v>
      </x:c>
      <x:c r="I745" s="28" t="str">
        <x:v>Direct or strongly ADHD-related record retained for later screening; typically narrower treatment, biomarker, mechanistic, or single-comorbidity focus.</x:v>
      </x:c>
      <x:c r="J745" s="38" t="e">
        <x:f>HYPERLINK("https://pubmed.ncbi.nlm.nih.gov/"&amp;C745&amp;"/","Open PubMed")</x:f>
        <x:v>HYPERLINK is not implemented. linkLocation=https://pubmed.ncbi.nlm.nih.gov/19805622/, friendlyName=Open PubMed</x:v>
      </x:c>
    </x:row>
    <x:row r="746">
      <x:c r="A746" s="26" t="str">
        <x:v>PUBMED-19787447</x:v>
      </x:c>
      <x:c r="B746" s="26" t="n">
        <x:v>2010</x:v>
      </x:c>
      <x:c r="C746" s="26" t="str">
        <x:v>19787447</x:v>
      </x:c>
      <x:c r="D746" s="28" t="str">
        <x:v>ADHD and working memory: the impact of central executive deficits and exceeding storage/rehearsal capacity on observed inattentive behavior.</x:v>
      </x:c>
      <x:c r="E746" s="28" t="str">
        <x:v>Primary/contextual journal article</x:v>
      </x:c>
      <x:c r="F746" s="28" t="str">
        <x:v>Development &amp; presentation; Recognition &amp; diagnosis; Social &amp; structural; Life outcomes &amp; lived experience</x:v>
      </x:c>
      <x:c r="G746" s="28" t="str">
        <x:v>Childhood</x:v>
      </x:c>
      <x:c r="H746" s="28" t="str">
        <x:v>Later specialized</x:v>
      </x:c>
      <x:c r="I746" s="28" t="str">
        <x:v>Direct or strongly ADHD-related record retained for later screening; typically narrower treatment, biomarker, mechanistic, or single-comorbidity focus.</x:v>
      </x:c>
      <x:c r="J746" s="38" t="e">
        <x:f>HYPERLINK("https://pubmed.ncbi.nlm.nih.gov/"&amp;C746&amp;"/","Open PubMed")</x:f>
        <x:v>HYPERLINK is not implemented. linkLocation=https://pubmed.ncbi.nlm.nih.gov/19787447/, friendlyName=Open PubMed</x:v>
      </x:c>
    </x:row>
    <x:row r="747">
      <x:c r="A747" s="26" t="str">
        <x:v>PUBMED-19784855</x:v>
      </x:c>
      <x:c r="B747" s="26" t="n">
        <x:v>2010</x:v>
      </x:c>
      <x:c r="C747" s="26" t="str">
        <x:v>19784855</x:v>
      </x:c>
      <x:c r="D747" s="28" t="str">
        <x:v>Serum protein profiling and proteomics in autistic spectrum disorder using magnetic bead-assisted mass spectrometry.</x:v>
      </x:c>
      <x:c r="E747" s="28" t="str">
        <x:v>Primary study - case-control</x:v>
      </x:c>
      <x:c r="F747" s="28" t="str">
        <x:v>Development &amp; presentation; Recognition &amp; diagnosis</x:v>
      </x:c>
      <x:c r="G747" s="28" t="str">
        <x:v>Childhood; Adolescence</x:v>
      </x:c>
      <x:c r="H747" s="28" t="str">
        <x:v>Later specialized</x:v>
      </x:c>
      <x:c r="I747" s="28" t="str">
        <x:v>Direct or strongly ADHD-related record retained for later screening; typically narrower treatment, biomarker, mechanistic, or single-comorbidity focus.</x:v>
      </x:c>
      <x:c r="J747" s="38" t="e">
        <x:f>HYPERLINK("https://pubmed.ncbi.nlm.nih.gov/"&amp;C747&amp;"/","Open PubMed")</x:f>
        <x:v>HYPERLINK is not implemented. linkLocation=https://pubmed.ncbi.nlm.nih.gov/19784855/, friendlyName=Open PubMed</x:v>
      </x:c>
    </x:row>
    <x:row r="748">
      <x:c r="A748" s="26" t="str">
        <x:v>PUBMED-19783808</x:v>
      </x:c>
      <x:c r="B748" s="26" t="n">
        <x:v>2010</x:v>
      </x:c>
      <x:c r="C748" s="26" t="str">
        <x:v>19783808</x:v>
      </x:c>
      <x:c r="D748" s="28" t="str">
        <x:v>Parental attributions for success in managing the behavior of children with ADHD.</x:v>
      </x:c>
      <x:c r="E748" s="28" t="str">
        <x:v>Primary study - randomized controlled trial</x:v>
      </x:c>
      <x:c r="F748" s="28" t="str">
        <x:v>Development &amp; presentation; Recognition &amp; diagnosis; Family &amp; education; Social &amp; structural; Treatment &amp; support</x:v>
      </x:c>
      <x:c r="G748" s="28" t="str">
        <x:v>Childhood</x:v>
      </x:c>
      <x:c r="H748" s="28" t="str">
        <x:v>Later specialized</x:v>
      </x:c>
      <x:c r="I748" s="28" t="str">
        <x:v>Direct or strongly ADHD-related record retained for later screening; typically narrower treatment, biomarker, mechanistic, or single-comorbidity focus.</x:v>
      </x:c>
      <x:c r="J748" s="38" t="e">
        <x:f>HYPERLINK("https://pubmed.ncbi.nlm.nih.gov/"&amp;C748&amp;"/","Open PubMed")</x:f>
        <x:v>HYPERLINK is not implemented. linkLocation=https://pubmed.ncbi.nlm.nih.gov/19783808/, friendlyName=Open PubMed</x:v>
      </x:c>
    </x:row>
    <x:row r="749">
      <x:c r="A749" s="26" t="str">
        <x:v>PUBMED-19779055</x:v>
      </x:c>
      <x:c r="B749" s="26" t="n">
        <x:v>2010</x:v>
      </x:c>
      <x:c r="C749" s="26" t="str">
        <x:v>19779055</x:v>
      </x:c>
      <x:c r="D749" s="28" t="str">
        <x:v>ADHD symptomatology and adjustment to college in China and the United States.</x:v>
      </x:c>
      <x:c r="E749" s="28" t="str">
        <x:v>Primary/contextual journal article</x:v>
      </x:c>
      <x:c r="F749" s="28" t="str">
        <x:v>Development &amp; presentation; Family &amp; education; Social &amp; structural</x:v>
      </x:c>
      <x:c r="G749" s="28" t="str">
        <x:v>Adolescence; Adulthood</x:v>
      </x:c>
      <x:c r="H749" s="28" t="str">
        <x:v>Later specialized</x:v>
      </x:c>
      <x:c r="I749" s="28" t="str">
        <x:v>Direct or strongly ADHD-related record retained for later screening; typically narrower treatment, biomarker, mechanistic, or single-comorbidity focus.</x:v>
      </x:c>
      <x:c r="J749" s="38" t="e">
        <x:f>HYPERLINK("https://pubmed.ncbi.nlm.nih.gov/"&amp;C749&amp;"/","Open PubMed")</x:f>
        <x:v>HYPERLINK is not implemented. linkLocation=https://pubmed.ncbi.nlm.nih.gov/19779055/, friendlyName=Open PubMed</x:v>
      </x:c>
    </x:row>
    <x:row r="750">
      <x:c r="A750" s="26" t="str">
        <x:v>PUBMED-19770771</x:v>
      </x:c>
      <x:c r="B750" s="26" t="n">
        <x:v>2010</x:v>
      </x:c>
      <x:c r="C750" s="26" t="str">
        <x:v>19770771</x:v>
      </x:c>
      <x:c r="D750" s="28" t="str">
        <x:v>Mania and attention-deficit/hyperactivity disorder: common symptomatology, common pathophysiology and common treatment?</x:v>
      </x:c>
      <x:c r="E750" s="28" t="str">
        <x:v>Evidence synthesis - review</x:v>
      </x:c>
      <x:c r="F750" s="28" t="str">
        <x:v>Development &amp; presentation; Recognition &amp; diagnosis; Social &amp; structural; Environmental &amp; lifestyle; Treatment &amp; support</x:v>
      </x:c>
      <x:c r="G750" s="28" t="str">
        <x:v>Not specified</x:v>
      </x:c>
      <x:c r="H750" s="28" t="str">
        <x:v>Later specialized</x:v>
      </x:c>
      <x:c r="I750" s="28" t="str">
        <x:v>Direct or strongly ADHD-related record retained for later screening; typically narrower treatment, biomarker, mechanistic, or single-comorbidity focus.</x:v>
      </x:c>
      <x:c r="J750" s="38" t="e">
        <x:f>HYPERLINK("https://pubmed.ncbi.nlm.nih.gov/"&amp;C750&amp;"/","Open PubMed")</x:f>
        <x:v>HYPERLINK is not implemented. linkLocation=https://pubmed.ncbi.nlm.nih.gov/19770771/, friendlyName=Open PubMed</x:v>
      </x:c>
    </x:row>
    <x:row r="751">
      <x:c r="A751" s="26" t="str">
        <x:v>PUBMED-19767595</x:v>
      </x:c>
      <x:c r="B751" s="26" t="n">
        <x:v>2010</x:v>
      </x:c>
      <x:c r="C751" s="26" t="str">
        <x:v>19767595</x:v>
      </x:c>
      <x:c r="D751" s="28" t="str">
        <x:v>Hyperactive-impulsive symptoms associated with self-reported sleep quality in nonmedicated adults with ADHD.</x:v>
      </x:c>
      <x:c r="E751" s="28" t="str">
        <x:v>Primary/contextual journal article</x:v>
      </x:c>
      <x:c r="F751" s="28" t="str">
        <x:v>Development &amp; presentation; Recognition &amp; diagnosis; Social &amp; structural; Environmental &amp; lifestyle; Treatment &amp; support</x:v>
      </x:c>
      <x:c r="G751" s="28" t="str">
        <x:v>Childhood; Adulthood</x:v>
      </x:c>
      <x:c r="H751" s="28" t="str">
        <x:v>Later specialized</x:v>
      </x:c>
      <x:c r="I751" s="28" t="str">
        <x:v>Direct or strongly ADHD-related record retained for later screening; typically narrower treatment, biomarker, mechanistic, or single-comorbidity focus.</x:v>
      </x:c>
      <x:c r="J751" s="38" t="e">
        <x:f>HYPERLINK("https://pubmed.ncbi.nlm.nih.gov/"&amp;C751&amp;"/","Open PubMed")</x:f>
        <x:v>HYPERLINK is not implemented. linkLocation=https://pubmed.ncbi.nlm.nih.gov/19767595/, friendlyName=Open PubMed</x:v>
      </x:c>
    </x:row>
    <x:row r="752">
      <x:c r="A752" s="26" t="str">
        <x:v>PUBMED-19767594</x:v>
      </x:c>
      <x:c r="B752" s="26" t="n">
        <x:v>2010</x:v>
      </x:c>
      <x:c r="C752" s="26" t="str">
        <x:v>19767594</x:v>
      </x:c>
      <x:c r="D752" s="28" t="str">
        <x:v>Parent perceived impact of Spaniard boys' and girls' inattention, hyperactivity, and oppositional defiant behaviors on family life.</x:v>
      </x:c>
      <x:c r="E752" s="28" t="str">
        <x:v>Primary/contextual journal article</x:v>
      </x:c>
      <x:c r="F752" s="28" t="str">
        <x:v>Development &amp; presentation; Family &amp; education; Social &amp; structural; Environmental &amp; lifestyle; Life outcomes &amp; lived experience</x:v>
      </x:c>
      <x:c r="G752" s="28" t="str">
        <x:v>Childhood</x:v>
      </x:c>
      <x:c r="H752" s="28" t="str">
        <x:v>Later specialized</x:v>
      </x:c>
      <x:c r="I752" s="28" t="str">
        <x:v>Direct or strongly ADHD-related record retained for later screening; typically narrower treatment, biomarker, mechanistic, or single-comorbidity focus.</x:v>
      </x:c>
      <x:c r="J752" s="38" t="e">
        <x:f>HYPERLINK("https://pubmed.ncbi.nlm.nih.gov/"&amp;C752&amp;"/","Open PubMed")</x:f>
        <x:v>HYPERLINK is not implemented. linkLocation=https://pubmed.ncbi.nlm.nih.gov/19767594/, friendlyName=Open PubMed</x:v>
      </x:c>
    </x:row>
    <x:row r="753">
      <x:c r="A753" s="26" t="str">
        <x:v>PUBMED-19763816</x:v>
      </x:c>
      <x:c r="B753" s="26" t="n">
        <x:v>2010</x:v>
      </x:c>
      <x:c r="C753" s="26" t="str">
        <x:v>19763816</x:v>
      </x:c>
      <x:c r="D753" s="28" t="str">
        <x:v>Interrelations between executive function and symptoms of hyperactivity/impulsivity and inattention in preschoolers: a two year longitudinal study.</x:v>
      </x:c>
      <x:c r="E753" s="28" t="str">
        <x:v>Primary/contextual journal article</x:v>
      </x:c>
      <x:c r="F753" s="28" t="str">
        <x:v>Development &amp; presentation; Recognition &amp; diagnosis; Family &amp; education; Social &amp; structural</x:v>
      </x:c>
      <x:c r="G753" s="28" t="str">
        <x:v>Childhood</x:v>
      </x:c>
      <x:c r="H753" s="28" t="str">
        <x:v>Later specialized</x:v>
      </x:c>
      <x:c r="I753" s="28" t="str">
        <x:v>Direct or strongly ADHD-related record retained for later screening; typically narrower treatment, biomarker, mechanistic, or single-comorbidity focus.</x:v>
      </x:c>
      <x:c r="J753" s="38" t="e">
        <x:f>HYPERLINK("https://pubmed.ncbi.nlm.nih.gov/"&amp;C753&amp;"/","Open PubMed")</x:f>
        <x:v>HYPERLINK is not implemented. linkLocation=https://pubmed.ncbi.nlm.nih.gov/19763816/, friendlyName=Open PubMed</x:v>
      </x:c>
    </x:row>
    <x:row r="754">
      <x:c r="A754" s="26" t="str">
        <x:v>PUBMED-19751540</x:v>
      </x:c>
      <x:c r="B754" s="26" t="n">
        <x:v>2010</x:v>
      </x:c>
      <x:c r="C754" s="26" t="str">
        <x:v>19751540</x:v>
      </x:c>
      <x:c r="D754" s="28" t="str">
        <x:v>Separation of genetic influences on attention deficit hyperactivity disorder symptoms and reaction time performance from those on IQ.</x:v>
      </x:c>
      <x:c r="E754" s="28" t="str">
        <x:v>Primary study - cohort</x:v>
      </x:c>
      <x:c r="F754" s="28" t="str">
        <x:v>Development &amp; presentation; Recognition &amp; diagnosis; Family &amp; education</x:v>
      </x:c>
      <x:c r="G754" s="28" t="str">
        <x:v>Childhood</x:v>
      </x:c>
      <x:c r="H754" s="28" t="str">
        <x:v>Later specialized</x:v>
      </x:c>
      <x:c r="I754" s="28" t="str">
        <x:v>Direct or strongly ADHD-related record retained for later screening; typically narrower treatment, biomarker, mechanistic, or single-comorbidity focus.</x:v>
      </x:c>
      <x:c r="J754" s="38" t="e">
        <x:f>HYPERLINK("https://pubmed.ncbi.nlm.nih.gov/"&amp;C754&amp;"/","Open PubMed")</x:f>
        <x:v>HYPERLINK is not implemented. linkLocation=https://pubmed.ncbi.nlm.nih.gov/19751540/, friendlyName=Open PubMed</x:v>
      </x:c>
    </x:row>
    <x:row r="755">
      <x:c r="A755" s="26" t="str">
        <x:v>PUBMED-19709854</x:v>
      </x:c>
      <x:c r="B755" s="26" t="n">
        <x:v>2010</x:v>
      </x:c>
      <x:c r="C755" s="26" t="str">
        <x:v>19709854</x:v>
      </x:c>
      <x:c r="D755" s="28" t="str">
        <x:v>Development and initial validation of the Performance Skills Questionnaire (PSQ).</x:v>
      </x:c>
      <x:c r="E755" s="28" t="str">
        <x:v>Primary study - cross-sectional</x:v>
      </x:c>
      <x:c r="F755" s="28" t="str">
        <x:v>Development &amp; presentation; Recognition &amp; diagnosis; Family &amp; education; Social &amp; structural</x:v>
      </x:c>
      <x:c r="G755" s="28" t="str">
        <x:v>Childhood</x:v>
      </x:c>
      <x:c r="H755" s="28" t="str">
        <x:v>Exclude/incidental</x:v>
      </x:c>
      <x:c r="I755" s="28" t="str">
        <x:v>ADHD appears peripheral or insufficiently aligned with the requested corpus scope based on accessible metadata/abstract.</x:v>
      </x:c>
      <x:c r="J755" s="38" t="e">
        <x:f>HYPERLINK("https://pubmed.ncbi.nlm.nih.gov/"&amp;C755&amp;"/","Open PubMed")</x:f>
        <x:v>HYPERLINK is not implemented. linkLocation=https://pubmed.ncbi.nlm.nih.gov/19709854/, friendlyName=Open PubMed</x:v>
      </x:c>
    </x:row>
    <x:row r="756">
      <x:c r="A756" s="26" t="str">
        <x:v>PUBMED-19706875</x:v>
      </x:c>
      <x:c r="B756" s="26" t="n">
        <x:v>2010</x:v>
      </x:c>
      <x:c r="C756" s="26" t="str">
        <x:v>19706875</x:v>
      </x:c>
      <x:c r="D756" s="28" t="str">
        <x:v>Coaching for ADHD.</x:v>
      </x:c>
      <x:c r="E756" s="28" t="str">
        <x:v>Other/unclear</x:v>
      </x:c>
      <x:c r="F756" s="28" t="str">
        <x:v>Development &amp; presentation; Social &amp; structural; Treatment &amp; support; Life outcomes &amp; lived experience</x:v>
      </x:c>
      <x:c r="G756" s="28" t="str">
        <x:v>Adulthood</x:v>
      </x:c>
      <x:c r="H756" s="28" t="str">
        <x:v>Later specialized</x:v>
      </x:c>
      <x:c r="I756" s="28" t="str">
        <x:v>Direct or strongly ADHD-related record retained for later screening; typically narrower treatment, biomarker, mechanistic, or single-comorbidity focus.</x:v>
      </x:c>
      <x:c r="J756" s="38" t="e">
        <x:f>HYPERLINK("https://pubmed.ncbi.nlm.nih.gov/"&amp;C756&amp;"/","Open PubMed")</x:f>
        <x:v>HYPERLINK is not implemented. linkLocation=https://pubmed.ncbi.nlm.nih.gov/19706875/, friendlyName=Open PubMed</x:v>
      </x:c>
    </x:row>
    <x:row r="757">
      <x:c r="A757" s="26" t="str">
        <x:v>PUBMED-19699060</x:v>
      </x:c>
      <x:c r="B757" s="26" t="n">
        <x:v>2010</x:v>
      </x:c>
      <x:c r="C757" s="26" t="str">
        <x:v>19699060</x:v>
      </x:c>
      <x:c r="D757" s="28" t="str">
        <x:v>Possible association between attention deficit hyperactivity disorder and attempted suicide in adolescents - a pilot study.</x:v>
      </x:c>
      <x:c r="E757" s="28" t="str">
        <x:v>Primary/contextual journal article</x:v>
      </x:c>
      <x:c r="F757" s="28" t="str">
        <x:v>Development &amp; presentation; Recognition &amp; diagnosis; Social &amp; structural; Treatment &amp; support</x:v>
      </x:c>
      <x:c r="G757" s="28" t="str">
        <x:v>Adolescence</x:v>
      </x:c>
      <x:c r="H757" s="28" t="str">
        <x:v>Later specialized</x:v>
      </x:c>
      <x:c r="I757" s="28" t="str">
        <x:v>Direct or strongly ADHD-related record retained for later screening; typically narrower treatment, biomarker, mechanistic, or single-comorbidity focus.</x:v>
      </x:c>
      <x:c r="J757" s="38" t="e">
        <x:f>HYPERLINK("https://pubmed.ncbi.nlm.nih.gov/"&amp;C757&amp;"/","Open PubMed")</x:f>
        <x:v>HYPERLINK is not implemented. linkLocation=https://pubmed.ncbi.nlm.nih.gov/19699060/, friendlyName=Open PubMed</x:v>
      </x:c>
    </x:row>
    <x:row r="758">
      <x:c r="A758" s="26" t="str">
        <x:v>PUBMED-19685476</x:v>
      </x:c>
      <x:c r="B758" s="26" t="n">
        <x:v>2010</x:v>
      </x:c>
      <x:c r="C758" s="26" t="str">
        <x:v>19685476</x:v>
      </x:c>
      <x:c r="D758" s="28" t="str">
        <x:v>Association studies of -3081(A/T) polymorphism of norepinephrine transporter gene with attention deficit/hyperactivity disorder in Korean population.</x:v>
      </x:c>
      <x:c r="E758" s="28" t="str">
        <x:v>Primary study - case-control</x:v>
      </x:c>
      <x:c r="F758" s="28" t="str">
        <x:v>Development &amp; presentation; Social &amp; structural; Treatment &amp; support</x:v>
      </x:c>
      <x:c r="G758" s="28" t="str">
        <x:v>Not specified</x:v>
      </x:c>
      <x:c r="H758" s="28" t="str">
        <x:v>Later specialized</x:v>
      </x:c>
      <x:c r="I758" s="28" t="str">
        <x:v>Direct or strongly ADHD-related record retained for later screening; typically narrower treatment, biomarker, mechanistic, or single-comorbidity focus.</x:v>
      </x:c>
      <x:c r="J758" s="38" t="e">
        <x:f>HYPERLINK("https://pubmed.ncbi.nlm.nih.gov/"&amp;C758&amp;"/","Open PubMed")</x:f>
        <x:v>HYPERLINK is not implemented. linkLocation=https://pubmed.ncbi.nlm.nih.gov/19685476/, friendlyName=Open PubMed</x:v>
      </x:c>
    </x:row>
    <x:row r="759">
      <x:c r="A759" s="26" t="str">
        <x:v>PUBMED-19683348</x:v>
      </x:c>
      <x:c r="B759" s="26" t="n">
        <x:v>2010</x:v>
      </x:c>
      <x:c r="C759" s="26" t="str">
        <x:v>19683348</x:v>
      </x:c>
      <x:c r="D759" s="28" t="str">
        <x:v>Adult ADHD and its comorbidities, with a focus on bipolar disorder.</x:v>
      </x:c>
      <x:c r="E759" s="28" t="str">
        <x:v>Evidence synthesis - review</x:v>
      </x:c>
      <x:c r="F759" s="28" t="str">
        <x:v>Development &amp; presentation; Recognition &amp; diagnosis; Social &amp; structural; Treatment &amp; support</x:v>
      </x:c>
      <x:c r="G759" s="28" t="str">
        <x:v>Childhood; Adulthood</x:v>
      </x:c>
      <x:c r="H759" s="28" t="str">
        <x:v>Later specialized</x:v>
      </x:c>
      <x:c r="I759" s="28" t="str">
        <x:v>Direct or strongly ADHD-related record retained for later screening; typically narrower treatment, biomarker, mechanistic, or single-comorbidity focus.</x:v>
      </x:c>
      <x:c r="J759" s="38" t="e">
        <x:f>HYPERLINK("https://pubmed.ncbi.nlm.nih.gov/"&amp;C759&amp;"/","Open PubMed")</x:f>
        <x:v>HYPERLINK is not implemented. linkLocation=https://pubmed.ncbi.nlm.nih.gov/19683348/, friendlyName=Open PubMed</x:v>
      </x:c>
    </x:row>
    <x:row r="760">
      <x:c r="A760" s="26" t="str">
        <x:v>PUBMED-19676101</x:v>
      </x:c>
      <x:c r="B760" s="26" t="n">
        <x:v>2010</x:v>
      </x:c>
      <x:c r="C760" s="26" t="str">
        <x:v>19676101</x:v>
      </x:c>
      <x:c r="D760" s="28" t="str">
        <x:v>Effect of dopamine transporter gene (SLC6A3) variation on dorsal anterior cingulate function in attention-deficit/hyperactivity disorder.</x:v>
      </x:c>
      <x:c r="E760" s="28" t="str">
        <x:v>Evidence synthesis - meta-analysis</x:v>
      </x:c>
      <x:c r="F760" s="28" t="str">
        <x:v>Development &amp; presentation</x:v>
      </x:c>
      <x:c r="G760" s="28" t="str">
        <x:v>Adolescence; Adulthood</x:v>
      </x:c>
      <x:c r="H760" s="28" t="str">
        <x:v>Later specialized</x:v>
      </x:c>
      <x:c r="I760" s="28" t="str">
        <x:v>Direct or strongly ADHD-related record retained for later screening; typically narrower treatment, biomarker, mechanistic, or single-comorbidity focus.</x:v>
      </x:c>
      <x:c r="J760" s="38" t="e">
        <x:f>HYPERLINK("https://pubmed.ncbi.nlm.nih.gov/"&amp;C760&amp;"/","Open PubMed")</x:f>
        <x:v>HYPERLINK is not implemented. linkLocation=https://pubmed.ncbi.nlm.nih.gov/19676101/, friendlyName=Open PubMed</x:v>
      </x:c>
    </x:row>
    <x:row r="761">
      <x:c r="A761" s="26" t="str">
        <x:v>PUBMED-19674196</x:v>
      </x:c>
      <x:c r="B761" s="26" t="n">
        <x:v>2010</x:v>
      </x:c>
      <x:c r="C761" s="26" t="str">
        <x:v>19674196</x:v>
      </x:c>
      <x:c r="D761" s="28" t="str">
        <x:v>Electrophysiological indices of abnormal error-processing in adolescents with attention deficit hyperactivity disorder (ADHD).</x:v>
      </x:c>
      <x:c r="E761" s="28" t="str">
        <x:v>Primary/contextual journal article</x:v>
      </x:c>
      <x:c r="F761" s="28" t="str">
        <x:v>Development &amp; presentation; Recognition &amp; diagnosis; Social &amp; structural; Life outcomes &amp; lived experience</x:v>
      </x:c>
      <x:c r="G761" s="28" t="str">
        <x:v>Childhood; Adolescence; Adulthood</x:v>
      </x:c>
      <x:c r="H761" s="28" t="str">
        <x:v>Later specialized</x:v>
      </x:c>
      <x:c r="I761" s="28" t="str">
        <x:v>Direct or strongly ADHD-related record retained for later screening; typically narrower treatment, biomarker, mechanistic, or single-comorbidity focus.</x:v>
      </x:c>
      <x:c r="J761" s="38" t="e">
        <x:f>HYPERLINK("https://pubmed.ncbi.nlm.nih.gov/"&amp;C761&amp;"/","Open PubMed")</x:f>
        <x:v>HYPERLINK is not implemented. linkLocation=https://pubmed.ncbi.nlm.nih.gov/19674196/, friendlyName=Open PubMed</x:v>
      </x:c>
    </x:row>
    <x:row r="762">
      <x:c r="A762" s="26" t="str">
        <x:v>PUBMED-19658152</x:v>
      </x:c>
      <x:c r="B762" s="26" t="n">
        <x:v>2010</x:v>
      </x:c>
      <x:c r="C762" s="26" t="str">
        <x:v>19658152</x:v>
      </x:c>
      <x:c r="D762" s="28" t="str">
        <x:v>Flow cytometric detection of Pig-A mutant red blood cells using an erythroid-specific antibody: application of the method for evaluating the in vivo genotoxicity of methylphenidate in adolescent rats.</x:v>
      </x:c>
      <x:c r="E762" s="28" t="str">
        <x:v>Primary/contextual journal article</x:v>
      </x:c>
      <x:c r="F762" s="28" t="str">
        <x:v>Development &amp; presentation; Social &amp; structural; Treatment &amp; support</x:v>
      </x:c>
      <x:c r="G762" s="28" t="str">
        <x:v>Childhood; Adolescence</x:v>
      </x:c>
      <x:c r="H762" s="28" t="str">
        <x:v>Exclude/incidental</x:v>
      </x:c>
      <x:c r="I762" s="28" t="str">
        <x:v>ADHD appears peripheral or insufficiently aligned with the requested corpus scope based on accessible metadata/abstract.</x:v>
      </x:c>
      <x:c r="J762" s="38" t="e">
        <x:f>HYPERLINK("https://pubmed.ncbi.nlm.nih.gov/"&amp;C762&amp;"/","Open PubMed")</x:f>
        <x:v>HYPERLINK is not implemented. linkLocation=https://pubmed.ncbi.nlm.nih.gov/19658152/, friendlyName=Open PubMed</x:v>
      </x:c>
    </x:row>
    <x:row r="763">
      <x:c r="A763" s="26" t="str">
        <x:v>PUBMED-19644786</x:v>
      </x:c>
      <x:c r="B763" s="26" t="n">
        <x:v>2010</x:v>
      </x:c>
      <x:c r="C763" s="26" t="str">
        <x:v>19644786</x:v>
      </x:c>
      <x:c r="D763" s="28" t="str">
        <x:v>[Asperger syndrome].</x:v>
      </x:c>
      <x:c r="E763" s="28" t="str">
        <x:v>Evidence synthesis - review</x:v>
      </x:c>
      <x:c r="F763" s="28" t="str">
        <x:v>Development &amp; presentation; Recognition &amp; diagnosis; Treatment &amp; support; Historical &amp; contemporary context</x:v>
      </x:c>
      <x:c r="G763" s="28" t="str">
        <x:v>Childhood</x:v>
      </x:c>
      <x:c r="H763" s="28" t="str">
        <x:v>Exclude/incidental</x:v>
      </x:c>
      <x:c r="I763" s="28" t="str">
        <x:v>ADHD appears peripheral or insufficiently aligned with the requested corpus scope based on accessible metadata/abstract.</x:v>
      </x:c>
      <x:c r="J763" s="38" t="e">
        <x:f>HYPERLINK("https://pubmed.ncbi.nlm.nih.gov/"&amp;C763&amp;"/","Open PubMed")</x:f>
        <x:v>HYPERLINK is not implemented. linkLocation=https://pubmed.ncbi.nlm.nih.gov/19644786/, friendlyName=Open PubMed</x:v>
      </x:c>
    </x:row>
    <x:row r="764">
      <x:c r="A764" s="26" t="str">
        <x:v>PUBMED-19623608</x:v>
      </x:c>
      <x:c r="B764" s="26" t="n">
        <x:v>2010</x:v>
      </x:c>
      <x:c r="C764" s="26" t="str">
        <x:v>19623608</x:v>
      </x:c>
      <x:c r="D764" s="28" t="str">
        <x:v>Medial temporal lobe functioning and structure in the spontaneously hypertensive rat: comparison with Wistar-Kyoto normotensive and Wistar-Kyoto hypertensive strains.</x:v>
      </x:c>
      <x:c r="E764" s="28" t="str">
        <x:v>Primary/contextual journal article</x:v>
      </x:c>
      <x:c r="F764" s="28" t="str">
        <x:v>Development &amp; presentation; Treatment &amp; support; Life outcomes &amp; lived experience</x:v>
      </x:c>
      <x:c r="G764" s="28" t="str">
        <x:v>Not specified</x:v>
      </x:c>
      <x:c r="H764" s="28" t="str">
        <x:v>Exclude/incidental</x:v>
      </x:c>
      <x:c r="I764" s="28" t="str">
        <x:v>Animal-only record; retained outside the human-focused core corpus.</x:v>
      </x:c>
      <x:c r="J764" s="38" t="e">
        <x:f>HYPERLINK("https://pubmed.ncbi.nlm.nih.gov/"&amp;C764&amp;"/","Open PubMed")</x:f>
        <x:v>HYPERLINK is not implemented. linkLocation=https://pubmed.ncbi.nlm.nih.gov/19623608/, friendlyName=Open PubMed</x:v>
      </x:c>
    </x:row>
    <x:row r="765">
      <x:c r="A765" s="26" t="str">
        <x:v>PUBMED-19604530</x:v>
      </x:c>
      <x:c r="B765" s="26" t="n">
        <x:v>2010</x:v>
      </x:c>
      <x:c r="C765" s="26" t="str">
        <x:v>19604530</x:v>
      </x:c>
      <x:c r="D765" s="28" t="str">
        <x:v>[Locomotion disturbances in Huntington's disease].</x:v>
      </x:c>
      <x:c r="E765" s="28" t="str">
        <x:v>Evidence synthesis - review</x:v>
      </x:c>
      <x:c r="F765" s="28" t="str">
        <x:v>Development &amp; presentation; Social &amp; structural; Environmental &amp; lifestyle; Treatment &amp; support</x:v>
      </x:c>
      <x:c r="G765" s="28" t="str">
        <x:v>Not specified</x:v>
      </x:c>
      <x:c r="H765" s="28" t="str">
        <x:v>Exclude/incidental</x:v>
      </x:c>
      <x:c r="I765" s="28" t="str">
        <x:v>ADHD appears peripheral or insufficiently aligned with the requested corpus scope based on accessible metadata/abstract.</x:v>
      </x:c>
      <x:c r="J765" s="38" t="e">
        <x:f>HYPERLINK("https://pubmed.ncbi.nlm.nih.gov/"&amp;C765&amp;"/","Open PubMed")</x:f>
        <x:v>HYPERLINK is not implemented. linkLocation=https://pubmed.ncbi.nlm.nih.gov/19604530/, friendlyName=Open PubMed</x:v>
      </x:c>
    </x:row>
    <x:row r="766">
      <x:c r="A766" s="26" t="str">
        <x:v>PUBMED-19591125</x:v>
      </x:c>
      <x:c r="B766" s="26" t="n">
        <x:v>2010</x:v>
      </x:c>
      <x:c r="C766" s="26" t="str">
        <x:v>19591125</x:v>
      </x:c>
      <x:c r="D766" s="28" t="str">
        <x:v>Variation in GRIN2B contributes to weak performance in verbal short-term memory in children with dyslexia.</x:v>
      </x:c>
      <x:c r="E766" s="28" t="str">
        <x:v>Primary/contextual journal article</x:v>
      </x:c>
      <x:c r="F766" s="28" t="str">
        <x:v>Development &amp; presentation; Social &amp; structural</x:v>
      </x:c>
      <x:c r="G766" s="28" t="str">
        <x:v>Childhood; Adulthood</x:v>
      </x:c>
      <x:c r="H766" s="28" t="str">
        <x:v>Exclude/incidental</x:v>
      </x:c>
      <x:c r="I766" s="28" t="str">
        <x:v>ADHD appears peripheral or insufficiently aligned with the requested corpus scope based on accessible metadata/abstract.</x:v>
      </x:c>
      <x:c r="J766" s="38" t="e">
        <x:f>HYPERLINK("https://pubmed.ncbi.nlm.nih.gov/"&amp;C766&amp;"/","Open PubMed")</x:f>
        <x:v>HYPERLINK is not implemented. linkLocation=https://pubmed.ncbi.nlm.nih.gov/19591125/, friendlyName=Open PubMed</x:v>
      </x:c>
    </x:row>
    <x:row r="767">
      <x:c r="A767" s="26" t="str">
        <x:v>PUBMED-19568927</x:v>
      </x:c>
      <x:c r="B767" s="26" t="n">
        <x:v>2010</x:v>
      </x:c>
      <x:c r="C767" s="26" t="str">
        <x:v>19568927</x:v>
      </x:c>
      <x:c r="D767" s="28" t="str">
        <x:v>Functional neuroanatomy and the rationale for using EEG biofeedback for clients with Asperger's syndrome.</x:v>
      </x:c>
      <x:c r="E767" s="28" t="str">
        <x:v>Evidence synthesis - review</x:v>
      </x:c>
      <x:c r="F767" s="28" t="str">
        <x:v>Development &amp; presentation; Recognition &amp; diagnosis; Social &amp; structural; Treatment &amp; support; Life outcomes &amp; lived experience</x:v>
      </x:c>
      <x:c r="G767" s="28" t="str">
        <x:v>Not specified</x:v>
      </x:c>
      <x:c r="H767" s="28" t="str">
        <x:v>Exclude/incidental</x:v>
      </x:c>
      <x:c r="I767" s="28" t="str">
        <x:v>ADHD appears peripheral or insufficiently aligned with the requested corpus scope based on accessible metadata/abstract.</x:v>
      </x:c>
      <x:c r="J767" s="38" t="e">
        <x:f>HYPERLINK("https://pubmed.ncbi.nlm.nih.gov/"&amp;C767&amp;"/","Open PubMed")</x:f>
        <x:v>HYPERLINK is not implemented. linkLocation=https://pubmed.ncbi.nlm.nih.gov/19568927/, friendlyName=Open PubMed</x:v>
      </x:c>
    </x:row>
    <x:row r="768">
      <x:c r="A768" s="26" t="str">
        <x:v>PUBMED-19520999</x:v>
      </x:c>
      <x:c r="B768" s="26" t="n">
        <x:v>2010</x:v>
      </x:c>
      <x:c r="C768" s="26" t="str">
        <x:v>19520999</x:v>
      </x:c>
      <x:c r="D768" s="28" t="str">
        <x:v>Impaired behavior regulation under conditions of concurrent variable schedules of reinforcement in children with ADHD.</x:v>
      </x:c>
      <x:c r="E768" s="28" t="str">
        <x:v>Primary/contextual journal article</x:v>
      </x:c>
      <x:c r="F768" s="28" t="str">
        <x:v>Development &amp; presentation; Social &amp; structural; Treatment &amp; support</x:v>
      </x:c>
      <x:c r="G768" s="28" t="str">
        <x:v>Childhood</x:v>
      </x:c>
      <x:c r="H768" s="28" t="str">
        <x:v>Later specialized</x:v>
      </x:c>
      <x:c r="I768" s="28" t="str">
        <x:v>Direct or strongly ADHD-related record retained for later screening; typically narrower treatment, biomarker, mechanistic, or single-comorbidity focus.</x:v>
      </x:c>
      <x:c r="J768" s="38" t="e">
        <x:f>HYPERLINK("https://pubmed.ncbi.nlm.nih.gov/"&amp;C768&amp;"/","Open PubMed")</x:f>
        <x:v>HYPERLINK is not implemented. linkLocation=https://pubmed.ncbi.nlm.nih.gov/19520999/, friendlyName=Open PubMed</x:v>
      </x:c>
    </x:row>
    <x:row r="769">
      <x:c r="A769" s="26" t="str">
        <x:v>PUBMED-19490743</x:v>
      </x:c>
      <x:c r="B769" s="26" t="n">
        <x:v>2010</x:v>
      </x:c>
      <x:c r="C769" s="26" t="str">
        <x:v>19490743</x:v>
      </x:c>
      <x:c r="D769" s="28" t="str">
        <x:v>Change in teachers' ratings of attention problems and subsequent change in academic achievement: a prospective analysis.</x:v>
      </x:c>
      <x:c r="E769" s="28" t="str">
        <x:v>Primary study - cohort</x:v>
      </x:c>
      <x:c r="F769" s="28" t="str">
        <x:v>Development &amp; presentation; Recognition &amp; diagnosis; Family &amp; education; Social &amp; structural</x:v>
      </x:c>
      <x:c r="G769" s="28" t="str">
        <x:v>Childhood; Adolescence</x:v>
      </x:c>
      <x:c r="H769" s="28" t="str">
        <x:v>Later specialized</x:v>
      </x:c>
      <x:c r="I769" s="28" t="str">
        <x:v>Direct or strongly ADHD-related record retained for later screening; typically narrower treatment, biomarker, mechanistic, or single-comorbidity focus.</x:v>
      </x:c>
      <x:c r="J769" s="38" t="e">
        <x:f>HYPERLINK("https://pubmed.ncbi.nlm.nih.gov/"&amp;C769&amp;"/","Open PubMed")</x:f>
        <x:v>HYPERLINK is not implemented. linkLocation=https://pubmed.ncbi.nlm.nih.gov/19490743/, friendlyName=Open PubMed</x:v>
      </x:c>
    </x:row>
    <x:row r="770">
      <x:c r="A770" s="26" t="str">
        <x:v>PUBMED-19474462</x:v>
      </x:c>
      <x:c r="B770" s="26" t="n">
        <x:v>2010</x:v>
      </x:c>
      <x:c r="C770" s="26" t="str">
        <x:v>19474462</x:v>
      </x:c>
      <x:c r="D770" s="28" t="str">
        <x:v>Work performance differences between college students with and without ADHD.</x:v>
      </x:c>
      <x:c r="E770" s="28" t="str">
        <x:v>Primary/contextual journal article</x:v>
      </x:c>
      <x:c r="F770" s="28" t="str">
        <x:v>Development &amp; presentation; Recognition &amp; diagnosis; Social &amp; structural; Life outcomes &amp; lived experience</x:v>
      </x:c>
      <x:c r="G770" s="28" t="str">
        <x:v>Adulthood</x:v>
      </x:c>
      <x:c r="H770" s="28" t="str">
        <x:v>Later specialized</x:v>
      </x:c>
      <x:c r="I770" s="28" t="str">
        <x:v>Direct or strongly ADHD-related record retained for later screening; typically narrower treatment, biomarker, mechanistic, or single-comorbidity focus.</x:v>
      </x:c>
      <x:c r="J770" s="38" t="e">
        <x:f>HYPERLINK("https://pubmed.ncbi.nlm.nih.gov/"&amp;C770&amp;"/","Open PubMed")</x:f>
        <x:v>HYPERLINK is not implemented. linkLocation=https://pubmed.ncbi.nlm.nih.gov/19474462/, friendlyName=Open PubMed</x:v>
      </x:c>
    </x:row>
    <x:row r="771">
      <x:c r="A771" s="26" t="str">
        <x:v>PUBMED-19474461</x:v>
      </x:c>
      <x:c r="B771" s="26" t="n">
        <x:v>2010</x:v>
      </x:c>
      <x:c r="C771" s="26" t="str">
        <x:v>19474461</x:v>
      </x:c>
      <x:c r="D771" s="28" t="str">
        <x:v>Atomoxetine versus stimulants in the community treatment of children with ADHD: an electronic diary study.</x:v>
      </x:c>
      <x:c r="E771" s="28" t="str">
        <x:v>Primary/contextual journal article</x:v>
      </x:c>
      <x:c r="F771" s="28" t="str">
        <x:v>Development &amp; presentation; Family &amp; education; Social &amp; structural; Treatment &amp; support; Life outcomes &amp; lived experience</x:v>
      </x:c>
      <x:c r="G771" s="28" t="str">
        <x:v>Childhood</x:v>
      </x:c>
      <x:c r="H771" s="28" t="str">
        <x:v>Later specialized</x:v>
      </x:c>
      <x:c r="I771" s="28" t="str">
        <x:v>Direct or strongly ADHD-related record retained for later screening; typically narrower treatment, biomarker, mechanistic, or single-comorbidity focus.</x:v>
      </x:c>
      <x:c r="J771" s="38" t="e">
        <x:f>HYPERLINK("https://pubmed.ncbi.nlm.nih.gov/"&amp;C771&amp;"/","Open PubMed")</x:f>
        <x:v>HYPERLINK is not implemented. linkLocation=https://pubmed.ncbi.nlm.nih.gov/19474461/, friendlyName=Open PubMed</x:v>
      </x:c>
    </x:row>
    <x:row r="772">
      <x:c r="A772" s="26" t="str">
        <x:v>PUBMED-19474460</x:v>
      </x:c>
      <x:c r="B772" s="26" t="n">
        <x:v>2010</x:v>
      </x:c>
      <x:c r="C772" s="26" t="str">
        <x:v>19474460</x:v>
      </x:c>
      <x:c r="D772" s="28" t="str">
        <x:v>Increase in teachers' knowledge about ADHD after a week-long training program: a pilot study.</x:v>
      </x:c>
      <x:c r="E772" s="28" t="str">
        <x:v>Primary/contextual journal article</x:v>
      </x:c>
      <x:c r="F772" s="28" t="str">
        <x:v>Development &amp; presentation; Family &amp; education; Social &amp; structural</x:v>
      </x:c>
      <x:c r="G772" s="28" t="str">
        <x:v>Childhood; Adolescence; Adulthood</x:v>
      </x:c>
      <x:c r="H772" s="28" t="str">
        <x:v>Later specialized</x:v>
      </x:c>
      <x:c r="I772" s="28" t="str">
        <x:v>Direct or strongly ADHD-related record retained for later screening; typically narrower treatment, biomarker, mechanistic, or single-comorbidity focus.</x:v>
      </x:c>
      <x:c r="J772" s="38" t="e">
        <x:f>HYPERLINK("https://pubmed.ncbi.nlm.nih.gov/"&amp;C772&amp;"/","Open PubMed")</x:f>
        <x:v>HYPERLINK is not implemented. linkLocation=https://pubmed.ncbi.nlm.nih.gov/19474460/, friendlyName=Open PubMed</x:v>
      </x:c>
    </x:row>
    <x:row r="773">
      <x:c r="A773" s="26" t="str">
        <x:v>PUBMED-19465730</x:v>
      </x:c>
      <x:c r="B773" s="26" t="n">
        <x:v>2010</x:v>
      </x:c>
      <x:c r="C773" s="26" t="str">
        <x:v>19465730</x:v>
      </x:c>
      <x:c r="D773" s="28" t="str">
        <x:v>Predictors of nonmedical ADHD medication use by college students.</x:v>
      </x:c>
      <x:c r="E773" s="28" t="str">
        <x:v>Primary/contextual journal article</x:v>
      </x:c>
      <x:c r="F773" s="28" t="str">
        <x:v>Development &amp; presentation; Family &amp; education; Treatment &amp; support; Life outcomes &amp; lived experience</x:v>
      </x:c>
      <x:c r="G773" s="28" t="str">
        <x:v>Not specified</x:v>
      </x:c>
      <x:c r="H773" s="28" t="str">
        <x:v>Later specialized</x:v>
      </x:c>
      <x:c r="I773" s="28" t="str">
        <x:v>Direct or strongly ADHD-related record retained for later screening; typically narrower treatment, biomarker, mechanistic, or single-comorbidity focus.</x:v>
      </x:c>
      <x:c r="J773" s="38" t="e">
        <x:f>HYPERLINK("https://pubmed.ncbi.nlm.nih.gov/"&amp;C773&amp;"/","Open PubMed")</x:f>
        <x:v>HYPERLINK is not implemented. linkLocation=https://pubmed.ncbi.nlm.nih.gov/19465730/, friendlyName=Open PubMed</x:v>
      </x:c>
    </x:row>
    <x:row r="774">
      <x:c r="A774" s="26" t="str">
        <x:v>PUBMED-19455467</x:v>
      </x:c>
      <x:c r="B774" s="26" t="n">
        <x:v>2010</x:v>
      </x:c>
      <x:c r="C774" s="26" t="str">
        <x:v>19455467</x:v>
      </x:c>
      <x:c r="D774" s="28" t="str">
        <x:v>Neural correlates of performance monitoring in adult patients with attention deficit hyperactivity disorder (ADHD).</x:v>
      </x:c>
      <x:c r="E774" s="28" t="str">
        <x:v>Primary study - case-control</x:v>
      </x:c>
      <x:c r="F774" s="28" t="str">
        <x:v>Development &amp; presentation; Treatment &amp; support</x:v>
      </x:c>
      <x:c r="G774" s="28" t="str">
        <x:v>Childhood; Adulthood</x:v>
      </x:c>
      <x:c r="H774" s="28" t="str">
        <x:v>Later specialized</x:v>
      </x:c>
      <x:c r="I774" s="28" t="str">
        <x:v>Direct or strongly ADHD-related record retained for later screening; typically narrower treatment, biomarker, mechanistic, or single-comorbidity focus.</x:v>
      </x:c>
      <x:c r="J774" s="38" t="e">
        <x:f>HYPERLINK("https://pubmed.ncbi.nlm.nih.gov/"&amp;C774&amp;"/","Open PubMed")</x:f>
        <x:v>HYPERLINK is not implemented. linkLocation=https://pubmed.ncbi.nlm.nih.gov/19455467/, friendlyName=Open PubMed</x:v>
      </x:c>
    </x:row>
    <x:row r="775">
      <x:c r="A775" s="26" t="str">
        <x:v>PUBMED-19448149</x:v>
      </x:c>
      <x:c r="B775" s="26" t="n">
        <x:v>2010</x:v>
      </x:c>
      <x:c r="C775" s="26" t="str">
        <x:v>19448149</x:v>
      </x:c>
      <x:c r="D775" s="28" t="str">
        <x:v>Validity of the factor structure of Conners' CPT.</x:v>
      </x:c>
      <x:c r="E775" s="28" t="str">
        <x:v>Primary/contextual journal article</x:v>
      </x:c>
      <x:c r="F775" s="28" t="str">
        <x:v>Development &amp; presentation; Recognition &amp; diagnosis</x:v>
      </x:c>
      <x:c r="G775" s="28" t="str">
        <x:v>Not specified</x:v>
      </x:c>
      <x:c r="H775" s="28" t="str">
        <x:v>Exclude/incidental</x:v>
      </x:c>
      <x:c r="I775" s="28" t="str">
        <x:v>ADHD appears peripheral or insufficiently aligned with the requested corpus scope based on accessible metadata/abstract.</x:v>
      </x:c>
      <x:c r="J775" s="38" t="e">
        <x:f>HYPERLINK("https://pubmed.ncbi.nlm.nih.gov/"&amp;C775&amp;"/","Open PubMed")</x:f>
        <x:v>HYPERLINK is not implemented. linkLocation=https://pubmed.ncbi.nlm.nih.gov/19448149/, friendlyName=Open PubMed</x:v>
      </x:c>
    </x:row>
    <x:row r="776">
      <x:c r="A776" s="26" t="str">
        <x:v>PUBMED-19441138</x:v>
      </x:c>
      <x:c r="B776" s="26" t="n">
        <x:v>2010</x:v>
      </x:c>
      <x:c r="C776" s="26" t="str">
        <x:v>19441138</x:v>
      </x:c>
      <x:c r="D776" s="28" t="str">
        <x:v>Ginkgo biloba treating patients with attention-deficit disorder.</x:v>
      </x:c>
      <x:c r="E776" s="28" t="str">
        <x:v>Primary/contextual journal article</x:v>
      </x:c>
      <x:c r="F776" s="28" t="str">
        <x:v>Development &amp; presentation; Recognition &amp; diagnosis; Social &amp; structural; Treatment &amp; support</x:v>
      </x:c>
      <x:c r="G776" s="28" t="str">
        <x:v>Adolescence; Adulthood</x:v>
      </x:c>
      <x:c r="H776" s="28" t="str">
        <x:v>Later specialized</x:v>
      </x:c>
      <x:c r="I776" s="28" t="str">
        <x:v>Direct or strongly ADHD-related record retained for later screening; typically narrower treatment, biomarker, mechanistic, or single-comorbidity focus.</x:v>
      </x:c>
      <x:c r="J776" s="38" t="e">
        <x:f>HYPERLINK("https://pubmed.ncbi.nlm.nih.gov/"&amp;C776&amp;"/","Open PubMed")</x:f>
        <x:v>HYPERLINK is not implemented. linkLocation=https://pubmed.ncbi.nlm.nih.gov/19441138/, friendlyName=Open PubMed</x:v>
      </x:c>
    </x:row>
    <x:row r="777">
      <x:c r="A777" s="26" t="str">
        <x:v>PUBMED-19412562</x:v>
      </x:c>
      <x:c r="B777" s="26" t="n">
        <x:v>2010</x:v>
      </x:c>
      <x:c r="C777" s="26" t="str">
        <x:v>19412562</x:v>
      </x:c>
      <x:c r="D777" s="28" t="str">
        <x:v>Family factors and children's disruptive behaviour: an investigation of links between demographic characteristics, negative life events and symptoms of ODD and ADHD.</x:v>
      </x:c>
      <x:c r="E777" s="28" t="str">
        <x:v>Primary/contextual journal article</x:v>
      </x:c>
      <x:c r="F777" s="28" t="str">
        <x:v>Development &amp; presentation; Recognition &amp; diagnosis; Family &amp; education; Social &amp; structural; Environmental &amp; lifestyle</x:v>
      </x:c>
      <x:c r="G777" s="28" t="str">
        <x:v>Childhood; Adulthood</x:v>
      </x:c>
      <x:c r="H777" s="28" t="str">
        <x:v>Later specialized</x:v>
      </x:c>
      <x:c r="I777" s="28" t="str">
        <x:v>Direct or strongly ADHD-related record retained for later screening; typically narrower treatment, biomarker, mechanistic, or single-comorbidity focus.</x:v>
      </x:c>
      <x:c r="J777" s="38" t="e">
        <x:f>HYPERLINK("https://pubmed.ncbi.nlm.nih.gov/"&amp;C777&amp;"/","Open PubMed")</x:f>
        <x:v>HYPERLINK is not implemented. linkLocation=https://pubmed.ncbi.nlm.nih.gov/19412562/, friendlyName=Open PubMed</x:v>
      </x:c>
    </x:row>
    <x:row r="778">
      <x:c r="A778" s="26" t="str">
        <x:v>PUBMED-19395646</x:v>
      </x:c>
      <x:c r="B778" s="26" t="n">
        <x:v>2010</x:v>
      </x:c>
      <x:c r="C778" s="26" t="str">
        <x:v>19395646</x:v>
      </x:c>
      <x:c r="D778" s="28" t="str">
        <x:v>Usefulness of a clinician rating scale in identifying preschool children with ADHD.</x:v>
      </x:c>
      <x:c r="E778" s="28" t="str">
        <x:v>Primary/contextual journal article</x:v>
      </x:c>
      <x:c r="F778" s="28" t="str">
        <x:v>Development &amp; presentation; Recognition &amp; diagnosis; Family &amp; education; Treatment &amp; support</x:v>
      </x:c>
      <x:c r="G778" s="28" t="str">
        <x:v>Childhood</x:v>
      </x:c>
      <x:c r="H778" s="28" t="str">
        <x:v>Later specialized</x:v>
      </x:c>
      <x:c r="I778" s="28" t="str">
        <x:v>Direct or strongly ADHD-related record retained for later screening; typically narrower treatment, biomarker, mechanistic, or single-comorbidity focus.</x:v>
      </x:c>
      <x:c r="J778" s="38" t="e">
        <x:f>HYPERLINK("https://pubmed.ncbi.nlm.nih.gov/"&amp;C778&amp;"/","Open PubMed")</x:f>
        <x:v>HYPERLINK is not implemented. linkLocation=https://pubmed.ncbi.nlm.nih.gov/19395646/, friendlyName=Open PubMed</x:v>
      </x:c>
    </x:row>
    <x:row r="779">
      <x:c r="A779" s="26" t="str">
        <x:v>PUBMED-19381995</x:v>
      </x:c>
      <x:c r="B779" s="26" t="n">
        <x:v>2010</x:v>
      </x:c>
      <x:c r="C779" s="26" t="str">
        <x:v>19381995</x:v>
      </x:c>
      <x:c r="D779" s="28" t="str">
        <x:v>Childhood executive function inventory (CHEXI): a promising measure for identifying young children with ADHD?</x:v>
      </x:c>
      <x:c r="E779" s="28" t="str">
        <x:v>Primary/contextual journal article</x:v>
      </x:c>
      <x:c r="F779" s="28" t="str">
        <x:v>Development &amp; presentation; Recognition &amp; diagnosis; Family &amp; education; Social &amp; structural</x:v>
      </x:c>
      <x:c r="G779" s="28" t="str">
        <x:v>Childhood</x:v>
      </x:c>
      <x:c r="H779" s="28" t="str">
        <x:v>Later specialized</x:v>
      </x:c>
      <x:c r="I779" s="28" t="str">
        <x:v>Direct or strongly ADHD-related record retained for later screening; typically narrower treatment, biomarker, mechanistic, or single-comorbidity focus.</x:v>
      </x:c>
      <x:c r="J779" s="38" t="e">
        <x:f>HYPERLINK("https://pubmed.ncbi.nlm.nih.gov/"&amp;C779&amp;"/","Open PubMed")</x:f>
        <x:v>HYPERLINK is not implemented. linkLocation=https://pubmed.ncbi.nlm.nih.gov/19381995/, friendlyName=Open PubMed</x:v>
      </x:c>
    </x:row>
    <x:row r="780">
      <x:c r="A780" s="26" t="str">
        <x:v>PUBMED-19372499</x:v>
      </x:c>
      <x:c r="B780" s="26" t="n">
        <x:v>2010</x:v>
      </x:c>
      <x:c r="C780" s="26" t="str">
        <x:v>19372499</x:v>
      </x:c>
      <x:c r="D780" s="28" t="str">
        <x:v>The importance of ADHD subtype classification for educational applications of DSM-V.</x:v>
      </x:c>
      <x:c r="E780" s="28" t="str">
        <x:v>Primary/contextual journal article</x:v>
      </x:c>
      <x:c r="F780" s="28" t="str">
        <x:v>Development &amp; presentation; Recognition &amp; diagnosis; Family &amp; education; Social &amp; structural; Treatment &amp; support; Life outcomes &amp; lived experience</x:v>
      </x:c>
      <x:c r="G780" s="28" t="str">
        <x:v>Childhood</x:v>
      </x:c>
      <x:c r="H780" s="28" t="str">
        <x:v>Later specialized</x:v>
      </x:c>
      <x:c r="I780" s="28" t="str">
        <x:v>Direct or strongly ADHD-related record retained for later screening; typically narrower treatment, biomarker, mechanistic, or single-comorbidity focus.</x:v>
      </x:c>
      <x:c r="J780" s="38" t="e">
        <x:f>HYPERLINK("https://pubmed.ncbi.nlm.nih.gov/"&amp;C780&amp;"/","Open PubMed")</x:f>
        <x:v>HYPERLINK is not implemented. linkLocation=https://pubmed.ncbi.nlm.nih.gov/19372499/, friendlyName=Open PubMed</x:v>
      </x:c>
    </x:row>
    <x:row r="781">
      <x:c r="A781" s="26" t="str">
        <x:v>PUBMED-19372495</x:v>
      </x:c>
      <x:c r="B781" s="26" t="n">
        <x:v>2010</x:v>
      </x:c>
      <x:c r="C781" s="26" t="str">
        <x:v>19372495</x:v>
      </x:c>
      <x:c r="D781" s="28" t="str">
        <x:v>Accuracy of the DSM-oriented attention problem scale of the child behavior checklist in diagnosing attention-deficit hyperactivity disorder.</x:v>
      </x:c>
      <x:c r="E781" s="28" t="str">
        <x:v>Primary/contextual journal article</x:v>
      </x:c>
      <x:c r="F781" s="28" t="str">
        <x:v>Development &amp; presentation; Recognition &amp; diagnosis; Social &amp; structural</x:v>
      </x:c>
      <x:c r="G781" s="28" t="str">
        <x:v>Childhood; Adolescence</x:v>
      </x:c>
      <x:c r="H781" s="28" t="str">
        <x:v>Later specialized</x:v>
      </x:c>
      <x:c r="I781" s="28" t="str">
        <x:v>Direct or strongly ADHD-related record retained for later screening; typically narrower treatment, biomarker, mechanistic, or single-comorbidity focus.</x:v>
      </x:c>
      <x:c r="J781" s="38" t="e">
        <x:f>HYPERLINK("https://pubmed.ncbi.nlm.nih.gov/"&amp;C781&amp;"/","Open PubMed")</x:f>
        <x:v>HYPERLINK is not implemented. linkLocation=https://pubmed.ncbi.nlm.nih.gov/19372495/, friendlyName=Open PubMed</x:v>
      </x:c>
    </x:row>
    <x:row r="782">
      <x:c r="A782" s="26" t="str">
        <x:v>PUBMED-19282267</x:v>
      </x:c>
      <x:c r="B782" s="26" t="n">
        <x:v>2010</x:v>
      </x:c>
      <x:c r="C782" s="26" t="str">
        <x:v>19282267</x:v>
      </x:c>
      <x:c r="D782" s="28" t="str">
        <x:v>Negative priming within a stroop task in children and adolescents with attention-deficit hyperactivity disorder, their siblings, and independent controls.</x:v>
      </x:c>
      <x:c r="E782" s="28" t="str">
        <x:v>Primary/contextual journal article</x:v>
      </x:c>
      <x:c r="F782" s="28" t="str">
        <x:v>Development &amp; presentation; Recognition &amp; diagnosis</x:v>
      </x:c>
      <x:c r="G782" s="28" t="str">
        <x:v>Childhood; Adolescence</x:v>
      </x:c>
      <x:c r="H782" s="28" t="str">
        <x:v>Later specialized</x:v>
      </x:c>
      <x:c r="I782" s="28" t="str">
        <x:v>Direct or strongly ADHD-related record retained for later screening; typically narrower treatment, biomarker, mechanistic, or single-comorbidity focus.</x:v>
      </x:c>
      <x:c r="J782" s="38" t="e">
        <x:f>HYPERLINK("https://pubmed.ncbi.nlm.nih.gov/"&amp;C782&amp;"/","Open PubMed")</x:f>
        <x:v>HYPERLINK is not implemented. linkLocation=https://pubmed.ncbi.nlm.nih.gov/19282267/, friendlyName=Open PubMed</x:v>
      </x:c>
    </x:row>
    <x:row r="783">
      <x:c r="A783" s="26" t="str">
        <x:v>PUBMED-19276311</x:v>
      </x:c>
      <x:c r="B783" s="26" t="n">
        <x:v>2010</x:v>
      </x:c>
      <x:c r="C783" s="26" t="str">
        <x:v>19276311</x:v>
      </x:c>
      <x:c r="D783" s="28" t="str">
        <x:v>Efficacy of ADHD coaching for adults with ADHD.</x:v>
      </x:c>
      <x:c r="E783" s="28" t="str">
        <x:v>Primary/contextual journal article</x:v>
      </x:c>
      <x:c r="F783" s="28" t="str">
        <x:v>Development &amp; presentation; Social &amp; structural; Treatment &amp; support; Life outcomes &amp; lived experience</x:v>
      </x:c>
      <x:c r="G783" s="28" t="str">
        <x:v>Adulthood</x:v>
      </x:c>
      <x:c r="H783" s="28" t="str">
        <x:v>Later specialized</x:v>
      </x:c>
      <x:c r="I783" s="28" t="str">
        <x:v>Direct or strongly ADHD-related record retained for later screening; typically narrower treatment, biomarker, mechanistic, or single-comorbidity focus.</x:v>
      </x:c>
      <x:c r="J783" s="38" t="e">
        <x:f>HYPERLINK("https://pubmed.ncbi.nlm.nih.gov/"&amp;C783&amp;"/","Open PubMed")</x:f>
        <x:v>HYPERLINK is not implemented. linkLocation=https://pubmed.ncbi.nlm.nih.gov/19276311/, friendlyName=Open PubMed</x:v>
      </x:c>
    </x:row>
    <x:row r="784">
      <x:c r="A784" s="26" t="str">
        <x:v>PUBMED-19254830</x:v>
      </x:c>
      <x:c r="B784" s="26" t="n">
        <x:v>2010</x:v>
      </x:c>
      <x:c r="C784" s="26" t="str">
        <x:v>19254830</x:v>
      </x:c>
      <x:c r="D784" s="28" t="str">
        <x:v>Association between Tourette syndrome and comorbidities in Japan.</x:v>
      </x:c>
      <x:c r="E784" s="28" t="str">
        <x:v>Primary/contextual journal article</x:v>
      </x:c>
      <x:c r="F784" s="28" t="str">
        <x:v>Development &amp; presentation; Family &amp; education; Social &amp; structural; Treatment &amp; support; Life outcomes &amp; lived experience</x:v>
      </x:c>
      <x:c r="G784" s="28" t="str">
        <x:v>Childhood; Adolescence; Adulthood</x:v>
      </x:c>
      <x:c r="H784" s="28" t="str">
        <x:v>Exclude/incidental</x:v>
      </x:c>
      <x:c r="I784" s="28" t="str">
        <x:v>ADHD appears peripheral or insufficiently aligned with the requested corpus scope based on accessible metadata/abstract.</x:v>
      </x:c>
      <x:c r="J784" s="38" t="e">
        <x:f>HYPERLINK("https://pubmed.ncbi.nlm.nih.gov/"&amp;C784&amp;"/","Open PubMed")</x:f>
        <x:v>HYPERLINK is not implemented. linkLocation=https://pubmed.ncbi.nlm.nih.gov/19254830/, friendlyName=Open PubMed</x:v>
      </x:c>
    </x:row>
    <x:row r="785">
      <x:c r="A785" s="26" t="str">
        <x:v>PUBMED-19150587</x:v>
      </x:c>
      <x:c r="B785" s="26" t="n">
        <x:v>2010</x:v>
      </x:c>
      <x:c r="C785" s="26" t="str">
        <x:v>19150587</x:v>
      </x:c>
      <x:c r="D785" s="28" t="str">
        <x:v>Short-term effect of American summer treatment program for Japanese children with attention deficit hyperactivity disorder.</x:v>
      </x:c>
      <x:c r="E785" s="28" t="str">
        <x:v>Primary/contextual journal article</x:v>
      </x:c>
      <x:c r="F785" s="28" t="str">
        <x:v>Development &amp; presentation; Recognition &amp; diagnosis; Family &amp; education; Social &amp; structural; Treatment &amp; support; Life outcomes &amp; lived experience</x:v>
      </x:c>
      <x:c r="G785" s="28" t="str">
        <x:v>Childhood</x:v>
      </x:c>
      <x:c r="H785" s="28" t="str">
        <x:v>Later specialized</x:v>
      </x:c>
      <x:c r="I785" s="28" t="str">
        <x:v>Direct or strongly ADHD-related record retained for later screening; typically narrower treatment, biomarker, mechanistic, or single-comorbidity focus.</x:v>
      </x:c>
      <x:c r="J785" s="38" t="e">
        <x:f>HYPERLINK("https://pubmed.ncbi.nlm.nih.gov/"&amp;C785&amp;"/","Open PubMed")</x:f>
        <x:v>HYPERLINK is not implemented. linkLocation=https://pubmed.ncbi.nlm.nih.gov/19150587/, friendlyName=Open PubMed</x:v>
      </x:c>
    </x:row>
    <x:row r="786">
      <x:c r="A786" s="26" t="str">
        <x:v>PUBMED-18801881</x:v>
      </x:c>
      <x:c r="B786" s="26" t="n">
        <x:v>2010</x:v>
      </x:c>
      <x:c r="C786" s="26" t="str">
        <x:v>18801881</x:v>
      </x:c>
      <x:c r="D786" s="28" t="str">
        <x:v>Neurocognitive decline in early-onset schizophrenia compared with ADHD and normal controls: evidence from a 13-year follow-up study.</x:v>
      </x:c>
      <x:c r="E786" s="28" t="str">
        <x:v>Primary/contextual journal article</x:v>
      </x:c>
      <x:c r="F786" s="28" t="str">
        <x:v>Development &amp; presentation; Recognition &amp; diagnosis; Social &amp; structural; Treatment &amp; support; Life outcomes &amp; lived experience</x:v>
      </x:c>
      <x:c r="G786" s="28" t="str">
        <x:v>Adolescence; Adulthood</x:v>
      </x:c>
      <x:c r="H786" s="28" t="str">
        <x:v>Later specialized</x:v>
      </x:c>
      <x:c r="I786" s="28" t="str">
        <x:v>Direct or strongly ADHD-related record retained for later screening; typically narrower treatment, biomarker, mechanistic, or single-comorbidity focus.</x:v>
      </x:c>
      <x:c r="J786" s="38" t="e">
        <x:f>HYPERLINK("https://pubmed.ncbi.nlm.nih.gov/"&amp;C786&amp;"/","Open PubMed")</x:f>
        <x:v>HYPERLINK is not implemented. linkLocation=https://pubmed.ncbi.nlm.nih.gov/18801881/, friendlyName=Open PubMed</x:v>
      </x:c>
    </x:row>
    <x:row r="787">
      <x:c r="A787" s="26" t="str">
        <x:v>PUBMED-18728238</x:v>
      </x:c>
      <x:c r="B787" s="26" t="n">
        <x:v>2010</x:v>
      </x:c>
      <x:c r="C787" s="26" t="str">
        <x:v>18728238</x:v>
      </x:c>
      <x:c r="D787" s="28" t="str">
        <x:v>Measuring several aspects of attention in one test: the factor structure of conners's continuous performance test.</x:v>
      </x:c>
      <x:c r="E787" s="28" t="str">
        <x:v>Primary/contextual journal article</x:v>
      </x:c>
      <x:c r="F787" s="28" t="str">
        <x:v>Development &amp; presentation; Recognition &amp; diagnosis; Social &amp; structural</x:v>
      </x:c>
      <x:c r="G787" s="28" t="str">
        <x:v>Adolescence; Adulthood</x:v>
      </x:c>
      <x:c r="H787" s="28" t="str">
        <x:v>Later specialized</x:v>
      </x:c>
      <x:c r="I787" s="28" t="str">
        <x:v>Direct or strongly ADHD-related record retained for later screening; typically narrower treatment, biomarker, mechanistic, or single-comorbidity focus.</x:v>
      </x:c>
      <x:c r="J787" s="38" t="e">
        <x:f>HYPERLINK("https://pubmed.ncbi.nlm.nih.gov/"&amp;C787&amp;"/","Open PubMed")</x:f>
        <x:v>HYPERLINK is not implemented. linkLocation=https://pubmed.ncbi.nlm.nih.gov/18728238/, friendlyName=Open PubMed</x:v>
      </x:c>
    </x:row>
    <x:row r="788">
      <x:c r="A788" s="26" t="str">
        <x:v>PUBMED-20739076</x:v>
      </x:c>
      <x:c r="B788" s="26" t="n">
        <x:v>2010</x:v>
      </x:c>
      <x:c r="C788" s="26" t="str">
        <x:v>20739076</x:v>
      </x:c>
      <x:c r="D788" s="28" t="str">
        <x:v>Measuring inappropriate medical diagnosis and treatment in survey data: The case of ADHD among school-age children.</x:v>
      </x:c>
      <x:c r="E788" s="28" t="str">
        <x:v>Primary/contextual journal article</x:v>
      </x:c>
      <x:c r="F788" s="28" t="str">
        <x:v>Development &amp; presentation; Recognition &amp; diagnosis; Family &amp; education; Social &amp; structural; Environmental &amp; lifestyle; Treatment &amp; support</x:v>
      </x:c>
      <x:c r="G788" s="28" t="str">
        <x:v>Childhood; Adolescence</x:v>
      </x:c>
      <x:c r="H788" s="28" t="str">
        <x:v>Later specialized</x:v>
      </x:c>
      <x:c r="I788" s="28" t="str">
        <x:v>Direct or strongly ADHD-related record retained for later screening; typically narrower treatment, biomarker, mechanistic, or single-comorbidity focus.</x:v>
      </x:c>
      <x:c r="J788" s="38" t="e">
        <x:f>HYPERLINK("https://pubmed.ncbi.nlm.nih.gov/"&amp;C788&amp;"/","Open PubMed")</x:f>
        <x:v>HYPERLINK is not implemented. linkLocation=https://pubmed.ncbi.nlm.nih.gov/20739076/, friendlyName=Open PubMed</x:v>
      </x:c>
    </x:row>
    <x:row r="789">
      <x:c r="A789" s="26" t="str">
        <x:v>PUBMED-20734428</x:v>
      </x:c>
      <x:c r="B789" s="26" t="n">
        <x:v>2010</x:v>
      </x:c>
      <x:c r="C789" s="26" t="str">
        <x:v>20734428</x:v>
      </x:c>
      <x:c r="D789" s="28" t="str">
        <x:v>Valproic acid and ADHD symptoms in fragile X syndrome: more evidence is needed.</x:v>
      </x:c>
      <x:c r="E789" s="28" t="str">
        <x:v>Contextual - editorial/comment</x:v>
      </x:c>
      <x:c r="F789" s="28" t="str">
        <x:v>Development &amp; presentation; Treatment &amp; support</x:v>
      </x:c>
      <x:c r="G789" s="28" t="str">
        <x:v>Not specified</x:v>
      </x:c>
      <x:c r="H789" s="28" t="str">
        <x:v>Later specialized</x:v>
      </x:c>
      <x:c r="I789" s="28" t="str">
        <x:v>Direct or strongly ADHD-related record retained for later screening; typically narrower treatment, biomarker, mechanistic, or single-comorbidity focus.</x:v>
      </x:c>
      <x:c r="J789" s="38" t="e">
        <x:f>HYPERLINK("https://pubmed.ncbi.nlm.nih.gov/"&amp;C789&amp;"/","Open PubMed")</x:f>
        <x:v>HYPERLINK is not implemented. linkLocation=https://pubmed.ncbi.nlm.nih.gov/20734428/, friendlyName=Open PubMed</x:v>
      </x:c>
    </x:row>
    <x:row r="790">
      <x:c r="A790" s="26" t="str">
        <x:v>PUBMED-20730307</x:v>
      </x:c>
      <x:c r="B790" s="26" t="n">
        <x:v>2010</x:v>
      </x:c>
      <x:c r="C790" s="26" t="str">
        <x:v>20730307</x:v>
      </x:c>
      <x:c r="D790" s="28" t="str">
        <x:v>Executive dysfunction screening and intelectual coefficient measurement in children with attention deficit hyperactivity disorder.</x:v>
      </x:c>
      <x:c r="E790" s="28" t="str">
        <x:v>Primary study - case-control</x:v>
      </x:c>
      <x:c r="F790" s="28" t="str">
        <x:v>Development &amp; presentation; Recognition &amp; diagnosis; Family &amp; education; Social &amp; structural</x:v>
      </x:c>
      <x:c r="G790" s="28" t="str">
        <x:v>Childhood</x:v>
      </x:c>
      <x:c r="H790" s="28" t="str">
        <x:v>Batch 1 core</x:v>
      </x:c>
      <x:c r="I790" s="28" t="str">
        <x:v>Direct ADHD primary study on diagnosis, family/education, structural conditions, lived experience/outcomes, or environment/lifestyle.</x:v>
      </x:c>
      <x:c r="J790" s="38" t="e">
        <x:f>HYPERLINK("https://pubmed.ncbi.nlm.nih.gov/"&amp;C790&amp;"/","Open PubMed")</x:f>
        <x:v>HYPERLINK is not implemented. linkLocation=https://pubmed.ncbi.nlm.nih.gov/20730307/, friendlyName=Open PubMed</x:v>
      </x:c>
    </x:row>
    <x:row r="791">
      <x:c r="A791" s="26" t="str">
        <x:v>PUBMED-20728873</x:v>
      </x:c>
      <x:c r="B791" s="26" t="n">
        <x:v>2010</x:v>
      </x:c>
      <x:c r="C791" s="26" t="str">
        <x:v>20728873</x:v>
      </x:c>
      <x:c r="D791" s="28" t="str">
        <x:v>Atypical default network connectivity in youth with attention-deficit/hyperactivity disorder.</x:v>
      </x:c>
      <x:c r="E791" s="28" t="str">
        <x:v>Primary/contextual journal article</x:v>
      </x:c>
      <x:c r="F791" s="28" t="str">
        <x:v>Development &amp; presentation; Social &amp; structural</x:v>
      </x:c>
      <x:c r="G791" s="28" t="str">
        <x:v>Childhood; Adolescence; Adulthood</x:v>
      </x:c>
      <x:c r="H791" s="28" t="str">
        <x:v>Later specialized</x:v>
      </x:c>
      <x:c r="I791" s="28" t="str">
        <x:v>Direct or strongly ADHD-related record retained for later screening; typically narrower treatment, biomarker, mechanistic, or single-comorbidity focus.</x:v>
      </x:c>
      <x:c r="J791" s="38" t="e">
        <x:f>HYPERLINK("https://pubmed.ncbi.nlm.nih.gov/"&amp;C791&amp;"/","Open PubMed")</x:f>
        <x:v>HYPERLINK is not implemented. linkLocation=https://pubmed.ncbi.nlm.nih.gov/20728873/, friendlyName=Open PubMed</x:v>
      </x:c>
    </x:row>
    <x:row r="792">
      <x:c r="A792" s="26" t="str">
        <x:v>PUBMED-20727288</x:v>
      </x:c>
      <x:c r="B792" s="26" t="n">
        <x:v>2010</x:v>
      </x:c>
      <x:c r="C792" s="26" t="str">
        <x:v>20727288</x:v>
      </x:c>
      <x:c r="D792" s="28" t="str">
        <x:v>[Neurofeedback as ADDH therapy].</x:v>
      </x:c>
      <x:c r="E792" s="28" t="str">
        <x:v>Evidence synthesis - review</x:v>
      </x:c>
      <x:c r="F792" s="28" t="str">
        <x:v>Development &amp; presentation; Social &amp; structural; Treatment &amp; support; Life outcomes &amp; lived experience</x:v>
      </x:c>
      <x:c r="G792" s="28" t="str">
        <x:v>Childhood; Adolescence</x:v>
      </x:c>
      <x:c r="H792" s="28" t="str">
        <x:v>Later specialized</x:v>
      </x:c>
      <x:c r="I792" s="28" t="str">
        <x:v>Direct or strongly ADHD-related record retained for later screening; typically narrower treatment, biomarker, mechanistic, or single-comorbidity focus.</x:v>
      </x:c>
      <x:c r="J792" s="38" t="e">
        <x:f>HYPERLINK("https://pubmed.ncbi.nlm.nih.gov/"&amp;C792&amp;"/","Open PubMed")</x:f>
        <x:v>HYPERLINK is not implemented. linkLocation=https://pubmed.ncbi.nlm.nih.gov/20727288/, friendlyName=Open PubMed</x:v>
      </x:c>
    </x:row>
    <x:row r="793">
      <x:c r="A793" s="26" t="str">
        <x:v>PUBMED-20726039</x:v>
      </x:c>
      <x:c r="B793" s="26" t="n">
        <x:v>2010</x:v>
      </x:c>
      <x:c r="C793" s="26" t="str">
        <x:v>20726039</x:v>
      </x:c>
      <x:c r="D793" s="28" t="str">
        <x:v>Single-trial based independent component analysis on mismatch negativity in children.</x:v>
      </x:c>
      <x:c r="E793" s="28" t="str">
        <x:v>Primary/contextual journal article</x:v>
      </x:c>
      <x:c r="F793" s="28" t="str">
        <x:v>Development &amp; presentation; Family &amp; education; Social &amp; structural</x:v>
      </x:c>
      <x:c r="G793" s="28" t="str">
        <x:v>Childhood; Adolescence</x:v>
      </x:c>
      <x:c r="H793" s="28" t="str">
        <x:v>Exclude/incidental</x:v>
      </x:c>
      <x:c r="I793" s="28" t="str">
        <x:v>ADHD appears peripheral or insufficiently aligned with the requested corpus scope based on accessible metadata/abstract.</x:v>
      </x:c>
      <x:c r="J793" s="38" t="e">
        <x:f>HYPERLINK("https://pubmed.ncbi.nlm.nih.gov/"&amp;C793&amp;"/","Open PubMed")</x:f>
        <x:v>HYPERLINK is not implemented. linkLocation=https://pubmed.ncbi.nlm.nih.gov/20726039/, friendlyName=Open PubMed</x:v>
      </x:c>
    </x:row>
    <x:row r="794">
      <x:c r="A794" s="26" t="str">
        <x:v>PUBMED-20706918</x:v>
      </x:c>
      <x:c r="B794" s="26" t="n">
        <x:v>2010</x:v>
      </x:c>
      <x:c r="C794" s="26" t="str">
        <x:v>20706918</x:v>
      </x:c>
      <x:c r="D794" s="28" t="str">
        <x:v>Incremental validity of test session and classroom observations in a multimethod assessment of attention deficit/hyperactivity disorder.</x:v>
      </x:c>
      <x:c r="E794" s="28" t="str">
        <x:v>Primary/contextual journal article</x:v>
      </x:c>
      <x:c r="F794" s="28" t="str">
        <x:v>Development &amp; presentation; Recognition &amp; diagnosis; Family &amp; education; Social &amp; structural; Treatment &amp; support</x:v>
      </x:c>
      <x:c r="G794" s="28" t="str">
        <x:v>Childhood</x:v>
      </x:c>
      <x:c r="H794" s="28" t="str">
        <x:v>Later specialized</x:v>
      </x:c>
      <x:c r="I794" s="28" t="str">
        <x:v>Direct or strongly ADHD-related record retained for later screening; typically narrower treatment, biomarker, mechanistic, or single-comorbidity focus.</x:v>
      </x:c>
      <x:c r="J794" s="38" t="e">
        <x:f>HYPERLINK("https://pubmed.ncbi.nlm.nih.gov/"&amp;C794&amp;"/","Open PubMed")</x:f>
        <x:v>HYPERLINK is not implemented. linkLocation=https://pubmed.ncbi.nlm.nih.gov/20706918/, friendlyName=Open PubMed</x:v>
      </x:c>
    </x:row>
    <x:row r="795">
      <x:c r="A795" s="26" t="str">
        <x:v>PUBMED-20705076</x:v>
      </x:c>
      <x:c r="B795" s="26" t="n">
        <x:v>2010</x:v>
      </x:c>
      <x:c r="C795" s="26" t="str">
        <x:v>20705076</x:v>
      </x:c>
      <x:c r="D795" s="28" t="str">
        <x:v>Atypical EEG beta asymmetry in adults with ADHD.</x:v>
      </x:c>
      <x:c r="E795" s="28" t="str">
        <x:v>Primary/contextual journal article</x:v>
      </x:c>
      <x:c r="F795" s="28" t="str">
        <x:v>Development &amp; presentation; Social &amp; structural</x:v>
      </x:c>
      <x:c r="G795" s="28" t="str">
        <x:v>Adulthood</x:v>
      </x:c>
      <x:c r="H795" s="28" t="str">
        <x:v>Later specialized</x:v>
      </x:c>
      <x:c r="I795" s="28" t="str">
        <x:v>Direct or strongly ADHD-related record retained for later screening; typically narrower treatment, biomarker, mechanistic, or single-comorbidity focus.</x:v>
      </x:c>
      <x:c r="J795" s="38" t="e">
        <x:f>HYPERLINK("https://pubmed.ncbi.nlm.nih.gov/"&amp;C795&amp;"/","Open PubMed")</x:f>
        <x:v>HYPERLINK is not implemented. linkLocation=https://pubmed.ncbi.nlm.nih.gov/20705076/, friendlyName=Open PubMed</x:v>
      </x:c>
    </x:row>
    <x:row r="796">
      <x:c r="A796" s="26" t="str">
        <x:v>PUBMED-20704703</x:v>
      </x:c>
      <x:c r="B796" s="26" t="n">
        <x:v>2010</x:v>
      </x:c>
      <x:c r="C796" s="26" t="str">
        <x:v>20704703</x:v>
      </x:c>
      <x:c r="D796" s="28" t="str">
        <x:v>Association study between a polymorphism at the 3'-untranslated region of CLOCK gene and attention deficit hyperactivity disorder.</x:v>
      </x:c>
      <x:c r="E796" s="28" t="str">
        <x:v>Primary/contextual journal article</x:v>
      </x:c>
      <x:c r="F796" s="28" t="str">
        <x:v>Development &amp; presentation; Family &amp; education; Social &amp; structural; Environmental &amp; lifestyle; Life outcomes &amp; lived experience</x:v>
      </x:c>
      <x:c r="G796" s="28" t="str">
        <x:v>Childhood; Adolescence; Adulthood</x:v>
      </x:c>
      <x:c r="H796" s="28" t="str">
        <x:v>Later specialized</x:v>
      </x:c>
      <x:c r="I796" s="28" t="str">
        <x:v>Direct or strongly ADHD-related record retained for later screening; typically narrower treatment, biomarker, mechanistic, or single-comorbidity focus.</x:v>
      </x:c>
      <x:c r="J796" s="38" t="e">
        <x:f>HYPERLINK("https://pubmed.ncbi.nlm.nih.gov/"&amp;C796&amp;"/","Open PubMed")</x:f>
        <x:v>HYPERLINK is not implemented. linkLocation=https://pubmed.ncbi.nlm.nih.gov/20704703/, friendlyName=Open PubMed</x:v>
      </x:c>
    </x:row>
    <x:row r="797">
      <x:c r="A797" s="26" t="str">
        <x:v>PUBMED-20701426</x:v>
      </x:c>
      <x:c r="B797" s="26" t="n">
        <x:v>2010</x:v>
      </x:c>
      <x:c r="C797" s="26" t="str">
        <x:v>20701426</x:v>
      </x:c>
      <x:c r="D797" s="28" t="str">
        <x:v>Treatments for childhood ADHD part II: non-pharmacological and novel treatments.</x:v>
      </x:c>
      <x:c r="E797" s="28" t="str">
        <x:v>Primary/contextual journal article</x:v>
      </x:c>
      <x:c r="F797" s="28" t="str">
        <x:v>Development &amp; presentation; Recognition &amp; diagnosis; Family &amp; education; Social &amp; structural; Treatment &amp; support; Life outcomes &amp; lived experience</x:v>
      </x:c>
      <x:c r="G797" s="28" t="str">
        <x:v>Childhood</x:v>
      </x:c>
      <x:c r="H797" s="28" t="str">
        <x:v>Later specialized</x:v>
      </x:c>
      <x:c r="I797" s="28" t="str">
        <x:v>Direct or strongly ADHD-related record retained for later screening; typically narrower treatment, biomarker, mechanistic, or single-comorbidity focus.</x:v>
      </x:c>
      <x:c r="J797" s="38" t="e">
        <x:f>HYPERLINK("https://pubmed.ncbi.nlm.nih.gov/"&amp;C797&amp;"/","Open PubMed")</x:f>
        <x:v>HYPERLINK is not implemented. linkLocation=https://pubmed.ncbi.nlm.nih.gov/20701426/, friendlyName=Open PubMed</x:v>
      </x:c>
    </x:row>
    <x:row r="798">
      <x:c r="A798" s="26" t="str">
        <x:v>PUBMED-20694583</x:v>
      </x:c>
      <x:c r="B798" s="26" t="n">
        <x:v>2010</x:v>
      </x:c>
      <x:c r="C798" s="26" t="str">
        <x:v>20694583</x:v>
      </x:c>
      <x:c r="D798" s="28" t="str">
        <x:v>Attention-deficit/Hyperactivity Disorder in the context of Autism spectrum disorders.</x:v>
      </x:c>
      <x:c r="E798" s="28" t="str">
        <x:v>Evidence synthesis - review</x:v>
      </x:c>
      <x:c r="F798" s="28" t="str">
        <x:v>Development &amp; presentation; Recognition &amp; diagnosis; Social &amp; structural; Environmental &amp; lifestyle; Treatment &amp; support; Life outcomes &amp; lived experience</x:v>
      </x:c>
      <x:c r="G798" s="28" t="str">
        <x:v>Childhood</x:v>
      </x:c>
      <x:c r="H798" s="28" t="str">
        <x:v>Later specialized</x:v>
      </x:c>
      <x:c r="I798" s="28" t="str">
        <x:v>Direct or strongly ADHD-related record retained for later screening; typically narrower treatment, biomarker, mechanistic, or single-comorbidity focus.</x:v>
      </x:c>
      <x:c r="J798" s="38" t="e">
        <x:f>HYPERLINK("https://pubmed.ncbi.nlm.nih.gov/"&amp;C798&amp;"/","Open PubMed")</x:f>
        <x:v>HYPERLINK is not implemented. linkLocation=https://pubmed.ncbi.nlm.nih.gov/20694583/, friendlyName=Open PubMed</x:v>
      </x:c>
    </x:row>
    <x:row r="799">
      <x:c r="A799" s="26" t="str">
        <x:v>PUBMED-20690307</x:v>
      </x:c>
      <x:c r="B799" s="26" t="n">
        <x:v>2010</x:v>
      </x:c>
      <x:c r="C799" s="26" t="str">
        <x:v>20690307</x:v>
      </x:c>
      <x:c r="D799" s="28" t="str">
        <x:v>New Zealand general practice should adopt population-based screening for attention deficit hyperactivity disorder (ADHD): yes.</x:v>
      </x:c>
      <x:c r="E799" s="28" t="str">
        <x:v>Primary/contextual journal article</x:v>
      </x:c>
      <x:c r="F799" s="28" t="str">
        <x:v>Development &amp; presentation; Recognition &amp; diagnosis; Family &amp; education; Treatment &amp; support</x:v>
      </x:c>
      <x:c r="G799" s="28" t="str">
        <x:v>Not specified</x:v>
      </x:c>
      <x:c r="H799" s="28" t="str">
        <x:v>Later specialized</x:v>
      </x:c>
      <x:c r="I799" s="28" t="str">
        <x:v>Direct or strongly ADHD-related record retained for later screening; typically narrower treatment, biomarker, mechanistic, or single-comorbidity focus.</x:v>
      </x:c>
      <x:c r="J799" s="38" t="e">
        <x:f>HYPERLINK("https://pubmed.ncbi.nlm.nih.gov/"&amp;C799&amp;"/","Open PubMed")</x:f>
        <x:v>HYPERLINK is not implemented. linkLocation=https://pubmed.ncbi.nlm.nih.gov/20690307/, friendlyName=Open PubMed</x:v>
      </x:c>
    </x:row>
    <x:row r="800">
      <x:c r="A800" s="26" t="str">
        <x:v>PUBMED-20688815</x:v>
      </x:c>
      <x:c r="B800" s="26" t="n">
        <x:v>2010</x:v>
      </x:c>
      <x:c r="C800" s="26" t="str">
        <x:v>20688815</x:v>
      </x:c>
      <x:c r="D800" s="28" t="str">
        <x:v>Visual working memory deficits in patients with Parkinson's disease are due to both reduced storage capacity and impaired ability to filter out irrelevant information.</x:v>
      </x:c>
      <x:c r="E800" s="28" t="str">
        <x:v>Primary study - case-control</x:v>
      </x:c>
      <x:c r="F800" s="28" t="str">
        <x:v>Development &amp; presentation; Recognition &amp; diagnosis; Treatment &amp; support</x:v>
      </x:c>
      <x:c r="G800" s="28" t="str">
        <x:v>Adulthood</x:v>
      </x:c>
      <x:c r="H800" s="28" t="str">
        <x:v>Exclude/incidental</x:v>
      </x:c>
      <x:c r="I800" s="28" t="str">
        <x:v>ADHD appears peripheral or insufficiently aligned with the requested corpus scope based on accessible metadata/abstract.</x:v>
      </x:c>
      <x:c r="J800" s="38" t="e">
        <x:f>HYPERLINK("https://pubmed.ncbi.nlm.nih.gov/"&amp;C800&amp;"/","Open PubMed")</x:f>
        <x:v>HYPERLINK is not implemented. linkLocation=https://pubmed.ncbi.nlm.nih.gov/20688815/, friendlyName=Open PubMed</x:v>
      </x:c>
    </x:row>
    <x:row r="801">
      <x:c r="A801" s="26" t="str">
        <x:v>PUBMED-20683067</x:v>
      </x:c>
      <x:c r="B801" s="26" t="n">
        <x:v>2010</x:v>
      </x:c>
      <x:c r="C801" s="26" t="str">
        <x:v>20683067</x:v>
      </x:c>
      <x:c r="D801" s="28" t="str">
        <x:v>Early adolescent outcome of attention-deficit hyperactivity disorder in a Chinese population: 5-year follow-up study.</x:v>
      </x:c>
      <x:c r="E801" s="28" t="str">
        <x:v>Primary study - cohort</x:v>
      </x:c>
      <x:c r="F801" s="28" t="str">
        <x:v>Development &amp; presentation; Recognition &amp; diagnosis; Family &amp; education; Social &amp; structural; Environmental &amp; lifestyle; Life outcomes &amp; lived experience</x:v>
      </x:c>
      <x:c r="G801" s="28" t="str">
        <x:v>Childhood; Adolescence</x:v>
      </x:c>
      <x:c r="H801" s="28" t="str">
        <x:v>Later specialized</x:v>
      </x:c>
      <x:c r="I801" s="28" t="str">
        <x:v>Direct or strongly ADHD-related record retained for later screening; typically narrower treatment, biomarker, mechanistic, or single-comorbidity focus.</x:v>
      </x:c>
      <x:c r="J801" s="38" t="e">
        <x:f>HYPERLINK("https://pubmed.ncbi.nlm.nih.gov/"&amp;C801&amp;"/","Open PubMed")</x:f>
        <x:v>HYPERLINK is not implemented. linkLocation=https://pubmed.ncbi.nlm.nih.gov/20683067/, friendlyName=Open PubMed</x:v>
      </x:c>
    </x:row>
    <x:row r="802">
      <x:c r="A802" s="26" t="str">
        <x:v>PUBMED-20677854</x:v>
      </x:c>
      <x:c r="B802" s="26" t="n">
        <x:v>2010</x:v>
      </x:c>
      <x:c r="C802" s="26" t="str">
        <x:v>20677854</x:v>
      </x:c>
      <x:c r="D802" s="28" t="str">
        <x:v>A mixture-model approach to linking ADHD to adolescent onset of illicit drug use.</x:v>
      </x:c>
      <x:c r="E802" s="28" t="str">
        <x:v>Primary/contextual journal article</x:v>
      </x:c>
      <x:c r="F802" s="28" t="str">
        <x:v>Development &amp; presentation; Recognition &amp; diagnosis; Family &amp; education; Social &amp; structural</x:v>
      </x:c>
      <x:c r="G802" s="28" t="str">
        <x:v>Childhood; Adolescence</x:v>
      </x:c>
      <x:c r="H802" s="28" t="str">
        <x:v>Later specialized</x:v>
      </x:c>
      <x:c r="I802" s="28" t="str">
        <x:v>Direct or strongly ADHD-related record retained for later screening; typically narrower treatment, biomarker, mechanistic, or single-comorbidity focus.</x:v>
      </x:c>
      <x:c r="J802" s="38" t="e">
        <x:f>HYPERLINK("https://pubmed.ncbi.nlm.nih.gov/"&amp;C802&amp;"/","Open PubMed")</x:f>
        <x:v>HYPERLINK is not implemented. linkLocation=https://pubmed.ncbi.nlm.nih.gov/20677854/, friendlyName=Open PubMed</x:v>
      </x:c>
    </x:row>
    <x:row r="803">
      <x:c r="A803" s="26" t="str">
        <x:v>PUBMED-20675840</x:v>
      </x:c>
      <x:c r="B803" s="26" t="n">
        <x:v>2010</x:v>
      </x:c>
      <x:c r="C803" s="26" t="str">
        <x:v>20675840</x:v>
      </x:c>
      <x:c r="D803" s="28" t="str">
        <x:v>Stigmatizing experiences of parents of children with a new diagnosis of ADHD.</x:v>
      </x:c>
      <x:c r="E803" s="28" t="str">
        <x:v>Primary/contextual journal article</x:v>
      </x:c>
      <x:c r="F803" s="28" t="str">
        <x:v>Development &amp; presentation; Recognition &amp; diagnosis; Family &amp; education; Social &amp; structural; Environmental &amp; lifestyle; Treatment &amp; support; Historical &amp; contemporary context</x:v>
      </x:c>
      <x:c r="G803" s="28" t="str">
        <x:v>Childhood; Adolescence</x:v>
      </x:c>
      <x:c r="H803" s="28" t="str">
        <x:v>Later specialized</x:v>
      </x:c>
      <x:c r="I803" s="28" t="str">
        <x:v>Direct or strongly ADHD-related record retained for later screening; typically narrower treatment, biomarker, mechanistic, or single-comorbidity focus.</x:v>
      </x:c>
      <x:c r="J803" s="38" t="e">
        <x:f>HYPERLINK("https://pubmed.ncbi.nlm.nih.gov/"&amp;C803&amp;"/","Open PubMed")</x:f>
        <x:v>HYPERLINK is not implemented. linkLocation=https://pubmed.ncbi.nlm.nih.gov/20675840/, friendlyName=Open PubMed</x:v>
      </x:c>
    </x:row>
    <x:row r="804">
      <x:c r="A804" s="26" t="str">
        <x:v>PUBMED-20675839</x:v>
      </x:c>
      <x:c r="B804" s="26" t="n">
        <x:v>2010</x:v>
      </x:c>
      <x:c r="C804" s="26" t="str">
        <x:v>20675839</x:v>
      </x:c>
      <x:c r="D804" s="28" t="str">
        <x:v>Trends in recognition of and service use for attention-deficit hyperactivity disorder in Britain, 1999-2004.</x:v>
      </x:c>
      <x:c r="E804" s="28" t="str">
        <x:v>Primary study - cross-sectional</x:v>
      </x:c>
      <x:c r="F804" s="28" t="str">
        <x:v>Development &amp; presentation; Recognition &amp; diagnosis; Family &amp; education; Social &amp; structural; Treatment &amp; support; Life outcomes &amp; lived experience</x:v>
      </x:c>
      <x:c r="G804" s="28" t="str">
        <x:v>Childhood; Adolescence</x:v>
      </x:c>
      <x:c r="H804" s="28" t="str">
        <x:v>Batch 1 core</x:v>
      </x:c>
      <x:c r="I804" s="28" t="str">
        <x:v>Direct ADHD primary study on diagnosis, family/education, structural conditions, lived experience/outcomes, or environment/lifestyle.</x:v>
      </x:c>
      <x:c r="J804" s="38" t="e">
        <x:f>HYPERLINK("https://pubmed.ncbi.nlm.nih.gov/"&amp;C804&amp;"/","Open PubMed")</x:f>
        <x:v>HYPERLINK is not implemented. linkLocation=https://pubmed.ncbi.nlm.nih.gov/20675839/, friendlyName=Open PubMed</x:v>
      </x:c>
    </x:row>
    <x:row r="805">
      <x:c r="A805" s="26" t="str">
        <x:v>PUBMED-20666637</x:v>
      </x:c>
      <x:c r="B805" s="26" t="n">
        <x:v>2010</x:v>
      </x:c>
      <x:c r="C805" s="26" t="str">
        <x:v>20666637</x:v>
      </x:c>
      <x:c r="D805" s="28" t="str">
        <x:v>Adverse life events, area socio-economic disadvantage, and adolescent psychopathology: The role of closeness to grandparents in moderating the effect of contextual stress.</x:v>
      </x:c>
      <x:c r="E805" s="28" t="str">
        <x:v>Primary/contextual journal article</x:v>
      </x:c>
      <x:c r="F805" s="28" t="str">
        <x:v>Development &amp; presentation; Family &amp; education; Social &amp; structural; Environmental &amp; lifestyle; Treatment &amp; support</x:v>
      </x:c>
      <x:c r="G805" s="28" t="str">
        <x:v>Childhood; Adolescence</x:v>
      </x:c>
      <x:c r="H805" s="28" t="str">
        <x:v>Exclude/incidental</x:v>
      </x:c>
      <x:c r="I805" s="28" t="str">
        <x:v>ADHD appears peripheral or insufficiently aligned with the requested corpus scope based on accessible metadata/abstract.</x:v>
      </x:c>
      <x:c r="J805" s="38" t="e">
        <x:f>HYPERLINK("https://pubmed.ncbi.nlm.nih.gov/"&amp;C805&amp;"/","Open PubMed")</x:f>
        <x:v>HYPERLINK is not implemented. linkLocation=https://pubmed.ncbi.nlm.nih.gov/20666637/, friendlyName=Open PubMed</x:v>
      </x:c>
    </x:row>
    <x:row r="806">
      <x:c r="A806" s="26" t="str">
        <x:v>PUBMED-20658815</x:v>
      </x:c>
      <x:c r="B806" s="26" t="n">
        <x:v>2010</x:v>
      </x:c>
      <x:c r="C806" s="26" t="str">
        <x:v>20658815</x:v>
      </x:c>
      <x:c r="D806" s="28" t="str">
        <x:v>Psychiatric disorders and sexual risk among adolescents in mental health treatment.</x:v>
      </x:c>
      <x:c r="E806" s="28" t="str">
        <x:v>Primary study - cross-sectional</x:v>
      </x:c>
      <x:c r="F806" s="28" t="str">
        <x:v>Development &amp; presentation; Recognition &amp; diagnosis; Family &amp; education; Social &amp; structural; Environmental &amp; lifestyle; Treatment &amp; support; Life outcomes &amp; lived experience; Historical &amp; contemporary context</x:v>
      </x:c>
      <x:c r="G806" s="28" t="str">
        <x:v>Childhood; Adolescence</x:v>
      </x:c>
      <x:c r="H806" s="28" t="str">
        <x:v>Exclude/incidental</x:v>
      </x:c>
      <x:c r="I806" s="28" t="str">
        <x:v>ADHD appears peripheral or insufficiently aligned with the requested corpus scope based on accessible metadata/abstract.</x:v>
      </x:c>
      <x:c r="J806" s="38" t="e">
        <x:f>HYPERLINK("https://pubmed.ncbi.nlm.nih.gov/"&amp;C806&amp;"/","Open PubMed")</x:f>
        <x:v>HYPERLINK is not implemented. linkLocation=https://pubmed.ncbi.nlm.nih.gov/20658815/, friendlyName=Open PubMed</x:v>
      </x:c>
    </x:row>
    <x:row r="807">
      <x:c r="A807" s="26" t="str">
        <x:v>PUBMED-20658808</x:v>
      </x:c>
      <x:c r="B807" s="26" t="n">
        <x:v>2010</x:v>
      </x:c>
      <x:c r="C807" s="26" t="str">
        <x:v>20658808</x:v>
      </x:c>
      <x:c r="D807" s="28" t="str">
        <x:v>Trajectories of psychosocial adjustment in adolescents with spina bifida: a 6-year, four-wave longitudinal follow-up.</x:v>
      </x:c>
      <x:c r="E807" s="28" t="str">
        <x:v>Primary study - cross-sectional</x:v>
      </x:c>
      <x:c r="F807" s="28" t="str">
        <x:v>Development &amp; presentation; Recognition &amp; diagnosis; Family &amp; education; Social &amp; structural; Life outcomes &amp; lived experience</x:v>
      </x:c>
      <x:c r="G807" s="28" t="str">
        <x:v>Childhood; Adolescence</x:v>
      </x:c>
      <x:c r="H807" s="28" t="str">
        <x:v>Exclude/incidental</x:v>
      </x:c>
      <x:c r="I807" s="28" t="str">
        <x:v>ADHD appears peripheral or insufficiently aligned with the requested corpus scope based on accessible metadata/abstract.</x:v>
      </x:c>
      <x:c r="J807" s="38" t="e">
        <x:f>HYPERLINK("https://pubmed.ncbi.nlm.nih.gov/"&amp;C807&amp;"/","Open PubMed")</x:f>
        <x:v>HYPERLINK is not implemented. linkLocation=https://pubmed.ncbi.nlm.nih.gov/20658808/, friendlyName=Open PubMed</x:v>
      </x:c>
    </x:row>
    <x:row r="808">
      <x:c r="A808" s="26" t="str">
        <x:v>PUBMED-20658161</x:v>
      </x:c>
      <x:c r="B808" s="26" t="n">
        <x:v>2010</x:v>
      </x:c>
      <x:c r="C808" s="26" t="str">
        <x:v>20658161</x:v>
      </x:c>
      <x:c r="D808" s="28" t="str">
        <x:v>Factor analysis on ADHD and autism spectrum disorder DSM-IV-derived items shows lack of overlap.</x:v>
      </x:c>
      <x:c r="E808" s="28" t="str">
        <x:v>Contextual - editorial/comment</x:v>
      </x:c>
      <x:c r="F808" s="28" t="str">
        <x:v>Development &amp; presentation; Recognition &amp; diagnosis; Social &amp; structural</x:v>
      </x:c>
      <x:c r="G808" s="28" t="str">
        <x:v>Childhood</x:v>
      </x:c>
      <x:c r="H808" s="28" t="str">
        <x:v>Later specialized</x:v>
      </x:c>
      <x:c r="I808" s="28" t="str">
        <x:v>Direct or strongly ADHD-related record retained for later screening; typically narrower treatment, biomarker, mechanistic, or single-comorbidity focus.</x:v>
      </x:c>
      <x:c r="J808" s="38" t="e">
        <x:f>HYPERLINK("https://pubmed.ncbi.nlm.nih.gov/"&amp;C808&amp;"/","Open PubMed")</x:f>
        <x:v>HYPERLINK is not implemented. linkLocation=https://pubmed.ncbi.nlm.nih.gov/20658161/, friendlyName=Open PubMed</x:v>
      </x:c>
    </x:row>
    <x:row r="809">
      <x:c r="A809" s="26" t="str">
        <x:v>PUBMED-20654034</x:v>
      </x:c>
      <x:c r="B809" s="26" t="n">
        <x:v>2010</x:v>
      </x:c>
      <x:c r="C809" s="26" t="str">
        <x:v>20654034</x:v>
      </x:c>
      <x:c r="D809" s="28" t="str">
        <x:v>[Emotional and behavioral comorbidities and the impact on the quality of life in epilepsy children].</x:v>
      </x:c>
      <x:c r="E809" s="28" t="str">
        <x:v>Primary/contextual journal article</x:v>
      </x:c>
      <x:c r="F809" s="28" t="str">
        <x:v>Development &amp; presentation; Recognition &amp; diagnosis; Family &amp; education; Social &amp; structural; Treatment &amp; support; Life outcomes &amp; lived experience</x:v>
      </x:c>
      <x:c r="G809" s="28" t="str">
        <x:v>Childhood</x:v>
      </x:c>
      <x:c r="H809" s="28" t="str">
        <x:v>Later specialized</x:v>
      </x:c>
      <x:c r="I809" s="28" t="str">
        <x:v>Direct or strongly ADHD-related record retained for later screening; typically narrower treatment, biomarker, mechanistic, or single-comorbidity focus.</x:v>
      </x:c>
      <x:c r="J809" s="38" t="e">
        <x:f>HYPERLINK("https://pubmed.ncbi.nlm.nih.gov/"&amp;C809&amp;"/","Open PubMed")</x:f>
        <x:v>HYPERLINK is not implemented. linkLocation=https://pubmed.ncbi.nlm.nih.gov/20654034/, friendlyName=Open PubMed</x:v>
      </x:c>
    </x:row>
    <x:row r="810">
      <x:c r="A810" s="26" t="str">
        <x:v>PUBMED-20653639</x:v>
      </x:c>
      <x:c r="B810" s="26" t="n">
        <x:v>2010</x:v>
      </x:c>
      <x:c r="C810" s="26" t="str">
        <x:v>20653639</x:v>
      </x:c>
      <x:c r="D810" s="28" t="str">
        <x:v>Attention-deficit/hyperactivity disorder confounds nicotine withdrawal self-report in adolescent smokers.</x:v>
      </x:c>
      <x:c r="E810" s="28" t="str">
        <x:v>Primary/contextual journal article</x:v>
      </x:c>
      <x:c r="F810" s="28" t="str">
        <x:v>Development &amp; presentation; Recognition &amp; diagnosis; Social &amp; structural; Environmental &amp; lifestyle; Treatment &amp; support; Historical &amp; contemporary context</x:v>
      </x:c>
      <x:c r="G810" s="28" t="str">
        <x:v>Childhood; Adolescence; Adulthood</x:v>
      </x:c>
      <x:c r="H810" s="28" t="str">
        <x:v>Later specialized</x:v>
      </x:c>
      <x:c r="I810" s="28" t="str">
        <x:v>Direct or strongly ADHD-related record retained for later screening; typically narrower treatment, biomarker, mechanistic, or single-comorbidity focus.</x:v>
      </x:c>
      <x:c r="J810" s="38" t="e">
        <x:f>HYPERLINK("https://pubmed.ncbi.nlm.nih.gov/"&amp;C810&amp;"/","Open PubMed")</x:f>
        <x:v>HYPERLINK is not implemented. linkLocation=https://pubmed.ncbi.nlm.nih.gov/20653639/, friendlyName=Open PubMed</x:v>
      </x:c>
    </x:row>
    <x:row r="811">
      <x:c r="A811" s="26" t="str">
        <x:v>PUBMED-20653294</x:v>
      </x:c>
      <x:c r="B811" s="26" t="n">
        <x:v>2010</x:v>
      </x:c>
      <x:c r="C811" s="26" t="str">
        <x:v>20653294</x:v>
      </x:c>
      <x:c r="D811" s="28" t="str">
        <x:v>Coherence training in children with attention-deficit hyperactivity disorder: cognitive functions and behavioral changes.</x:v>
      </x:c>
      <x:c r="E811" s="28" t="str">
        <x:v>Primary study - randomized controlled trial</x:v>
      </x:c>
      <x:c r="F811" s="28" t="str">
        <x:v>Development &amp; presentation; Recognition &amp; diagnosis; Family &amp; education; Social &amp; structural; Environmental &amp; lifestyle; Treatment &amp; support; Life outcomes &amp; lived experience</x:v>
      </x:c>
      <x:c r="G811" s="28" t="str">
        <x:v>Childhood</x:v>
      </x:c>
      <x:c r="H811" s="28" t="str">
        <x:v>Later specialized</x:v>
      </x:c>
      <x:c r="I811" s="28" t="str">
        <x:v>Direct or strongly ADHD-related record retained for later screening; typically narrower treatment, biomarker, mechanistic, or single-comorbidity focus.</x:v>
      </x:c>
      <x:c r="J811" s="38" t="e">
        <x:f>HYPERLINK("https://pubmed.ncbi.nlm.nih.gov/"&amp;C811&amp;"/","Open PubMed")</x:f>
        <x:v>HYPERLINK is not implemented. linkLocation=https://pubmed.ncbi.nlm.nih.gov/20653294/, friendlyName=Open PubMed</x:v>
      </x:c>
    </x:row>
    <x:row r="812">
      <x:c r="A812" s="26" t="str">
        <x:v>PUBMED-20645588</x:v>
      </x:c>
      <x:c r="B812" s="26" t="n">
        <x:v>2010</x:v>
      </x:c>
      <x:c r="C812" s="26" t="str">
        <x:v>20645588</x:v>
      </x:c>
      <x:c r="D812" s="28" t="str">
        <x:v>School-based referrals for attention deficit hyperactivity disorder: school nurses bridge the gap.</x:v>
      </x:c>
      <x:c r="E812" s="28" t="str">
        <x:v>Primary/contextual journal article</x:v>
      </x:c>
      <x:c r="F812" s="28" t="str">
        <x:v>Development &amp; presentation; Recognition &amp; diagnosis; Family &amp; education; Social &amp; structural</x:v>
      </x:c>
      <x:c r="G812" s="28" t="str">
        <x:v>Childhood</x:v>
      </x:c>
      <x:c r="H812" s="28" t="str">
        <x:v>Later specialized</x:v>
      </x:c>
      <x:c r="I812" s="28" t="str">
        <x:v>Direct or strongly ADHD-related record retained for later screening; typically narrower treatment, biomarker, mechanistic, or single-comorbidity focus.</x:v>
      </x:c>
      <x:c r="J812" s="38" t="e">
        <x:f>HYPERLINK("https://pubmed.ncbi.nlm.nih.gov/"&amp;C812&amp;"/","Open PubMed")</x:f>
        <x:v>HYPERLINK is not implemented. linkLocation=https://pubmed.ncbi.nlm.nih.gov/20645588/, friendlyName=Open PubMed</x:v>
      </x:c>
    </x:row>
    <x:row r="813">
      <x:c r="A813" s="26" t="str">
        <x:v>PUBMED-20645078</x:v>
      </x:c>
      <x:c r="B813" s="26" t="n">
        <x:v>2010</x:v>
      </x:c>
      <x:c r="C813" s="26" t="str">
        <x:v>20645078</x:v>
      </x:c>
      <x:c r="D813" s="28" t="str">
        <x:v>Methylphenidate significantly improves declarative memory functioning of adults with ADHD.</x:v>
      </x:c>
      <x:c r="E813" s="28" t="str">
        <x:v>Primary study - randomized controlled trial</x:v>
      </x:c>
      <x:c r="F813" s="28" t="str">
        <x:v>Development &amp; presentation; Recognition &amp; diagnosis; Social &amp; structural; Treatment &amp; support; Life outcomes &amp; lived experience</x:v>
      </x:c>
      <x:c r="G813" s="28" t="str">
        <x:v>Adulthood</x:v>
      </x:c>
      <x:c r="H813" s="28" t="str">
        <x:v>Later specialized</x:v>
      </x:c>
      <x:c r="I813" s="28" t="str">
        <x:v>Direct or strongly ADHD-related record retained for later screening; typically narrower treatment, biomarker, mechanistic, or single-comorbidity focus.</x:v>
      </x:c>
      <x:c r="J813" s="38" t="e">
        <x:f>HYPERLINK("https://pubmed.ncbi.nlm.nih.gov/"&amp;C813&amp;"/","Open PubMed")</x:f>
        <x:v>HYPERLINK is not implemented. linkLocation=https://pubmed.ncbi.nlm.nih.gov/20645078/, friendlyName=Open PubMed</x:v>
      </x:c>
    </x:row>
    <x:row r="814">
      <x:c r="A814" s="26" t="str">
        <x:v>PUBMED-20643792</x:v>
      </x:c>
      <x:c r="B814" s="26" t="n">
        <x:v>2010</x:v>
      </x:c>
      <x:c r="C814" s="26" t="str">
        <x:v>20643792</x:v>
      </x:c>
      <x:c r="D814" s="28" t="str">
        <x:v>Attentional regulation in young twins with probable stuttering, high nonfluency, and typical fluency.</x:v>
      </x:c>
      <x:c r="E814" s="28" t="str">
        <x:v>Primary study - cohort</x:v>
      </x:c>
      <x:c r="F814" s="28" t="str">
        <x:v>Development &amp; presentation; Family &amp; education; Social &amp; structural; Environmental &amp; lifestyle; Life outcomes &amp; lived experience</x:v>
      </x:c>
      <x:c r="G814" s="28" t="str">
        <x:v>Childhood</x:v>
      </x:c>
      <x:c r="H814" s="28" t="str">
        <x:v>Exclude/incidental</x:v>
      </x:c>
      <x:c r="I814" s="28" t="str">
        <x:v>ADHD appears peripheral or insufficiently aligned with the requested corpus scope based on accessible metadata/abstract.</x:v>
      </x:c>
      <x:c r="J814" s="38" t="e">
        <x:f>HYPERLINK("https://pubmed.ncbi.nlm.nih.gov/"&amp;C814&amp;"/","Open PubMed")</x:f>
        <x:v>HYPERLINK is not implemented. linkLocation=https://pubmed.ncbi.nlm.nih.gov/20643792/, friendlyName=Open PubMed</x:v>
      </x:c>
    </x:row>
    <x:row r="815">
      <x:c r="A815" s="26" t="str">
        <x:v>PUBMED-20643719</x:v>
      </x:c>
      <x:c r="B815" s="26" t="n">
        <x:v>2010</x:v>
      </x:c>
      <x:c r="C815" s="26" t="str">
        <x:v>20643719</x:v>
      </x:c>
      <x:c r="D815" s="28" t="str">
        <x:v>Electronic health record decision support and quality of care for children with ADHD.</x:v>
      </x:c>
      <x:c r="E815" s="28" t="str">
        <x:v>Primary study - randomized controlled trial</x:v>
      </x:c>
      <x:c r="F815" s="28" t="str">
        <x:v>Development &amp; presentation; Recognition &amp; diagnosis; Family &amp; education; Social &amp; structural; Treatment &amp; support; Life outcomes &amp; lived experience</x:v>
      </x:c>
      <x:c r="G815" s="28" t="str">
        <x:v>Childhood; Adolescence</x:v>
      </x:c>
      <x:c r="H815" s="28" t="str">
        <x:v>Later specialized</x:v>
      </x:c>
      <x:c r="I815" s="28" t="str">
        <x:v>Direct or strongly ADHD-related record retained for later screening; typically narrower treatment, biomarker, mechanistic, or single-comorbidity focus.</x:v>
      </x:c>
      <x:c r="J815" s="38" t="e">
        <x:f>HYPERLINK("https://pubmed.ncbi.nlm.nih.gov/"&amp;C815&amp;"/","Open PubMed")</x:f>
        <x:v>HYPERLINK is not implemented. linkLocation=https://pubmed.ncbi.nlm.nih.gov/20643719/, friendlyName=Open PubMed</x:v>
      </x:c>
    </x:row>
    <x:row r="816">
      <x:c r="A816" s="26" t="str">
        <x:v>PUBMED-20639299</x:v>
      </x:c>
      <x:c r="B816" s="26" t="n">
        <x:v>2010</x:v>
      </x:c>
      <x:c r="C816" s="26" t="str">
        <x:v>20639299</x:v>
      </x:c>
      <x:c r="D816" s="28" t="str">
        <x:v>Neuropsychological profile of executive function in girls with attention-deficit/hyperactivity disorder.</x:v>
      </x:c>
      <x:c r="E816" s="28" t="str">
        <x:v>Primary/contextual journal article</x:v>
      </x:c>
      <x:c r="F816" s="28" t="str">
        <x:v>Development &amp; presentation; Social &amp; structural; Treatment &amp; support; Life outcomes &amp; lived experience</x:v>
      </x:c>
      <x:c r="G816" s="28" t="str">
        <x:v>Childhood; Adolescence</x:v>
      </x:c>
      <x:c r="H816" s="28" t="str">
        <x:v>Later specialized</x:v>
      </x:c>
      <x:c r="I816" s="28" t="str">
        <x:v>Direct or strongly ADHD-related record retained for later screening; typically narrower treatment, biomarker, mechanistic, or single-comorbidity focus.</x:v>
      </x:c>
      <x:c r="J816" s="38" t="e">
        <x:f>HYPERLINK("https://pubmed.ncbi.nlm.nih.gov/"&amp;C816&amp;"/","Open PubMed")</x:f>
        <x:v>HYPERLINK is not implemented. linkLocation=https://pubmed.ncbi.nlm.nih.gov/20639299/, friendlyName=Open PubMed</x:v>
      </x:c>
    </x:row>
    <x:row r="817">
      <x:c r="A817" s="26" t="str">
        <x:v>PUBMED-20638822</x:v>
      </x:c>
      <x:c r="B817" s="26" t="n">
        <x:v>2010</x:v>
      </x:c>
      <x:c r="C817" s="26" t="str">
        <x:v>20638822</x:v>
      </x:c>
      <x:c r="D817" s="28" t="str">
        <x:v>Japanese version of home form of the ADHD-RS: an evaluation of its reliability and validity.</x:v>
      </x:c>
      <x:c r="E817" s="28" t="str">
        <x:v>Primary/contextual journal article</x:v>
      </x:c>
      <x:c r="F817" s="28" t="str">
        <x:v>Development &amp; presentation; Recognition &amp; diagnosis; Family &amp; education; Social &amp; structural</x:v>
      </x:c>
      <x:c r="G817" s="28" t="str">
        <x:v>Childhood</x:v>
      </x:c>
      <x:c r="H817" s="28" t="str">
        <x:v>Later specialized</x:v>
      </x:c>
      <x:c r="I817" s="28" t="str">
        <x:v>Direct or strongly ADHD-related record retained for later screening; typically narrower treatment, biomarker, mechanistic, or single-comorbidity focus.</x:v>
      </x:c>
      <x:c r="J817" s="38" t="e">
        <x:f>HYPERLINK("https://pubmed.ncbi.nlm.nih.gov/"&amp;C817&amp;"/","Open PubMed")</x:f>
        <x:v>HYPERLINK is not implemented. linkLocation=https://pubmed.ncbi.nlm.nih.gov/20638822/, friendlyName=Open PubMed</x:v>
      </x:c>
    </x:row>
    <x:row r="818">
      <x:c r="A818" s="26" t="str">
        <x:v>PUBMED-20634636</x:v>
      </x:c>
      <x:c r="B818" s="26" t="n">
        <x:v>2010</x:v>
      </x:c>
      <x:c r="C818" s="26" t="str">
        <x:v>20634636</x:v>
      </x:c>
      <x:c r="D818" s="28" t="str">
        <x:v>[Analysis of relationships between parenting stress, maternal depression, and behavioral problems in children at risk for Attention Deficit Hyperactive Disorder].</x:v>
      </x:c>
      <x:c r="E818" s="28" t="str">
        <x:v>Primary/contextual journal article</x:v>
      </x:c>
      <x:c r="F818" s="28" t="str">
        <x:v>Development &amp; presentation; Recognition &amp; diagnosis; Family &amp; education; Social &amp; structural; Environmental &amp; lifestyle; Treatment &amp; support; Life outcomes &amp; lived experience</x:v>
      </x:c>
      <x:c r="G818" s="28" t="str">
        <x:v>Childhood; Adulthood</x:v>
      </x:c>
      <x:c r="H818" s="28" t="str">
        <x:v>Later specialized</x:v>
      </x:c>
      <x:c r="I818" s="28" t="str">
        <x:v>Direct or strongly ADHD-related record retained for later screening; typically narrower treatment, biomarker, mechanistic, or single-comorbidity focus.</x:v>
      </x:c>
      <x:c r="J818" s="38" t="e">
        <x:f>HYPERLINK("https://pubmed.ncbi.nlm.nih.gov/"&amp;C818&amp;"/","Open PubMed")</x:f>
        <x:v>HYPERLINK is not implemented. linkLocation=https://pubmed.ncbi.nlm.nih.gov/20634636/, friendlyName=Open PubMed</x:v>
      </x:c>
    </x:row>
    <x:row r="819">
      <x:c r="A819" s="26" t="str">
        <x:v>PUBMED-20632524</x:v>
      </x:c>
      <x:c r="B819" s="26" t="n">
        <x:v>2010</x:v>
      </x:c>
      <x:c r="C819" s="26" t="str">
        <x:v>20632524</x:v>
      </x:c>
      <x:c r="D819" s="28" t="str">
        <x:v>Evaluating the Hyperactivity/Inattention Subscale of the National Longitudinal Survey of Children and Youth.</x:v>
      </x:c>
      <x:c r="E819" s="28" t="str">
        <x:v>Primary/contextual journal article</x:v>
      </x:c>
      <x:c r="F819" s="28" t="str">
        <x:v>Development &amp; presentation; Recognition &amp; diagnosis; Family &amp; education; Social &amp; structural; Treatment &amp; support</x:v>
      </x:c>
      <x:c r="G819" s="28" t="str">
        <x:v>Childhood</x:v>
      </x:c>
      <x:c r="H819" s="28" t="str">
        <x:v>Later specialized</x:v>
      </x:c>
      <x:c r="I819" s="28" t="str">
        <x:v>Direct or strongly ADHD-related record retained for later screening; typically narrower treatment, biomarker, mechanistic, or single-comorbidity focus.</x:v>
      </x:c>
      <x:c r="J819" s="38" t="e">
        <x:f>HYPERLINK("https://pubmed.ncbi.nlm.nih.gov/"&amp;C819&amp;"/","Open PubMed")</x:f>
        <x:v>HYPERLINK is not implemented. linkLocation=https://pubmed.ncbi.nlm.nih.gov/20632524/, friendlyName=Open PubMed</x:v>
      </x:c>
    </x:row>
    <x:row r="820">
      <x:c r="A820" s="26" t="str">
        <x:v>PUBMED-20629940</x:v>
      </x:c>
      <x:c r="B820" s="26" t="n">
        <x:v>2010</x:v>
      </x:c>
      <x:c r="C820" s="26" t="str">
        <x:v>20629940</x:v>
      </x:c>
      <x:c r="D820" s="28" t="str">
        <x:v>Circadian motor activity affected by stimulant medication in children with attention-deficit/hyperactivity disorder.</x:v>
      </x:c>
      <x:c r="E820" s="28" t="str">
        <x:v>Primary/contextual journal article</x:v>
      </x:c>
      <x:c r="F820" s="28" t="str">
        <x:v>Development &amp; presentation; Family &amp; education; Environmental &amp; lifestyle; Treatment &amp; support</x:v>
      </x:c>
      <x:c r="G820" s="28" t="str">
        <x:v>Childhood</x:v>
      </x:c>
      <x:c r="H820" s="28" t="str">
        <x:v>Later specialized</x:v>
      </x:c>
      <x:c r="I820" s="28" t="str">
        <x:v>Direct or strongly ADHD-related record retained for later screening; typically narrower treatment, biomarker, mechanistic, or single-comorbidity focus.</x:v>
      </x:c>
      <x:c r="J820" s="38" t="e">
        <x:f>HYPERLINK("https://pubmed.ncbi.nlm.nih.gov/"&amp;C820&amp;"/","Open PubMed")</x:f>
        <x:v>HYPERLINK is not implemented. linkLocation=https://pubmed.ncbi.nlm.nih.gov/20629940/, friendlyName=Open PubMed</x:v>
      </x:c>
    </x:row>
    <x:row r="821">
      <x:c r="A821" s="26" t="str">
        <x:v>PUBMED-20628890</x:v>
      </x:c>
      <x:c r="B821" s="26" t="n">
        <x:v>2010</x:v>
      </x:c>
      <x:c r="C821" s="26" t="str">
        <x:v>20628890</x:v>
      </x:c>
      <x:c r="D821" s="28" t="str">
        <x:v>Abstracts of Eunethydis 1st International ADHD Conference: from data to best clinical practice. May 26-28, 2010. Amsterdam, The Netherlands.</x:v>
      </x:c>
      <x:c r="E821" s="28" t="str">
        <x:v>Other/unclear</x:v>
      </x:c>
      <x:c r="F821" s="28" t="str">
        <x:v>Development &amp; presentation</x:v>
      </x:c>
      <x:c r="G821" s="28" t="str">
        <x:v>Not specified</x:v>
      </x:c>
      <x:c r="H821" s="28" t="str">
        <x:v>Later specialized</x:v>
      </x:c>
      <x:c r="I821" s="28" t="str">
        <x:v>Direct or strongly ADHD-related record retained for later screening; typically narrower treatment, biomarker, mechanistic, or single-comorbidity focus.</x:v>
      </x:c>
      <x:c r="J821" s="38" t="e">
        <x:f>HYPERLINK("https://pubmed.ncbi.nlm.nih.gov/"&amp;C821&amp;"/","Open PubMed")</x:f>
        <x:v>HYPERLINK is not implemented. linkLocation=https://pubmed.ncbi.nlm.nih.gov/20628890/, friendlyName=Open PubMed</x:v>
      </x:c>
    </x:row>
    <x:row r="822">
      <x:c r="A822" s="26" t="str">
        <x:v>PUBMED-20619827</x:v>
      </x:c>
      <x:c r="B822" s="26" t="n">
        <x:v>2010</x:v>
      </x:c>
      <x:c r="C822" s="26" t="str">
        <x:v>20619827</x:v>
      </x:c>
      <x:c r="D822" s="28" t="str">
        <x:v>Neural substrates of impaired sensorimotor timing in adult attention-deficit/hyperactivity disorder.</x:v>
      </x:c>
      <x:c r="E822" s="28" t="str">
        <x:v>Primary study - case-control</x:v>
      </x:c>
      <x:c r="F822" s="28" t="str">
        <x:v>Development &amp; presentation; Social &amp; structural; Treatment &amp; support</x:v>
      </x:c>
      <x:c r="G822" s="28" t="str">
        <x:v>Adulthood</x:v>
      </x:c>
      <x:c r="H822" s="28" t="str">
        <x:v>Later specialized</x:v>
      </x:c>
      <x:c r="I822" s="28" t="str">
        <x:v>Direct or strongly ADHD-related record retained for later screening; typically narrower treatment, biomarker, mechanistic, or single-comorbidity focus.</x:v>
      </x:c>
      <x:c r="J822" s="38" t="e">
        <x:f>HYPERLINK("https://pubmed.ncbi.nlm.nih.gov/"&amp;C822&amp;"/","Open PubMed")</x:f>
        <x:v>HYPERLINK is not implemented. linkLocation=https://pubmed.ncbi.nlm.nih.gov/20619827/, friendlyName=Open PubMed</x:v>
      </x:c>
    </x:row>
    <x:row r="823">
      <x:c r="A823" s="26" t="str">
        <x:v>PUBMED-20617054</x:v>
      </x:c>
      <x:c r="B823" s="26" t="n">
        <x:v>2010</x:v>
      </x:c>
      <x:c r="C823" s="26" t="str">
        <x:v>20617054</x:v>
      </x:c>
      <x:c r="D823" s="28" t="str">
        <x:v>Are adolescents with ADHD interested in genetic testing for nicotine addiction susceptibility?</x:v>
      </x:c>
      <x:c r="E823" s="28" t="str">
        <x:v>Primary/contextual journal article</x:v>
      </x:c>
      <x:c r="F823" s="28" t="str">
        <x:v>Development &amp; presentation; Recognition &amp; diagnosis; Environmental &amp; lifestyle</x:v>
      </x:c>
      <x:c r="G823" s="28" t="str">
        <x:v>Adolescence; Adulthood</x:v>
      </x:c>
      <x:c r="H823" s="28" t="str">
        <x:v>Later specialized</x:v>
      </x:c>
      <x:c r="I823" s="28" t="str">
        <x:v>Direct or strongly ADHD-related record retained for later screening; typically narrower treatment, biomarker, mechanistic, or single-comorbidity focus.</x:v>
      </x:c>
      <x:c r="J823" s="38" t="e">
        <x:f>HYPERLINK("https://pubmed.ncbi.nlm.nih.gov/"&amp;C823&amp;"/","Open PubMed")</x:f>
        <x:v>HYPERLINK is not implemented. linkLocation=https://pubmed.ncbi.nlm.nih.gov/20617054/, friendlyName=Open PubMed</x:v>
      </x:c>
    </x:row>
    <x:row r="824">
      <x:c r="A824" s="26" t="str">
        <x:v>PUBMED-20615495</x:v>
      </x:c>
      <x:c r="B824" s="26" t="n">
        <x:v>2010</x:v>
      </x:c>
      <x:c r="C824" s="26" t="str">
        <x:v>20615495</x:v>
      </x:c>
      <x:c r="D824" s="28" t="str">
        <x:v>What we can and cannot conclude about the relationship between steep temporal reward discounting and hyperactivity-impulsivity symptoms in attention-deficit/hyperactivity disorder.</x:v>
      </x:c>
      <x:c r="E824" s="28" t="str">
        <x:v>Primary study - case-control</x:v>
      </x:c>
      <x:c r="F824" s="28" t="str">
        <x:v>Development &amp; presentation; Life outcomes &amp; lived experience</x:v>
      </x:c>
      <x:c r="G824" s="28" t="str">
        <x:v>Not specified</x:v>
      </x:c>
      <x:c r="H824" s="28" t="str">
        <x:v>Batch 1 core</x:v>
      </x:c>
      <x:c r="I824" s="28" t="str">
        <x:v>Direct ADHD primary study on diagnosis, family/education, structural conditions, lived experience/outcomes, or environment/lifestyle.</x:v>
      </x:c>
      <x:c r="J824" s="38" t="e">
        <x:f>HYPERLINK("https://pubmed.ncbi.nlm.nih.gov/"&amp;C824&amp;"/","Open PubMed")</x:f>
        <x:v>HYPERLINK is not implemented. linkLocation=https://pubmed.ncbi.nlm.nih.gov/20615495/, friendlyName=Open PubMed</x:v>
      </x:c>
    </x:row>
    <x:row r="825">
      <x:c r="A825" s="26" t="str">
        <x:v>PUBMED-20613624</x:v>
      </x:c>
      <x:c r="B825" s="26" t="n">
        <x:v>2010</x:v>
      </x:c>
      <x:c r="C825" s="26" t="str">
        <x:v>20613624</x:v>
      </x:c>
      <x:c r="D825" s="28" t="str">
        <x:v>Use of antidepressants during pregnancy and risk of attention-deficit/hyperactivity disorder in the offspring.</x:v>
      </x:c>
      <x:c r="E825" s="28" t="str">
        <x:v>Primary/contextual journal article</x:v>
      </x:c>
      <x:c r="F825" s="28" t="str">
        <x:v>Development &amp; presentation; Recognition &amp; diagnosis; Family &amp; education; Social &amp; structural; Environmental &amp; lifestyle; Treatment &amp; support</x:v>
      </x:c>
      <x:c r="G825" s="28" t="str">
        <x:v>Childhood; Adulthood</x:v>
      </x:c>
      <x:c r="H825" s="28" t="str">
        <x:v>Later specialized</x:v>
      </x:c>
      <x:c r="I825" s="28" t="str">
        <x:v>Direct or strongly ADHD-related record retained for later screening; typically narrower treatment, biomarker, mechanistic, or single-comorbidity focus.</x:v>
      </x:c>
      <x:c r="J825" s="38" t="e">
        <x:f>HYPERLINK("https://pubmed.ncbi.nlm.nih.gov/"&amp;C825&amp;"/","Open PubMed")</x:f>
        <x:v>HYPERLINK is not implemented. linkLocation=https://pubmed.ncbi.nlm.nih.gov/20613624/, friendlyName=Open PubMed</x:v>
      </x:c>
    </x:row>
    <x:row r="826">
      <x:c r="A826" s="26" t="str">
        <x:v>PUBMED-20604616</x:v>
      </x:c>
      <x:c r="B826" s="26" t="n">
        <x:v>2010</x:v>
      </x:c>
      <x:c r="C826" s="26" t="str">
        <x:v>20604616</x:v>
      </x:c>
      <x:c r="D826" s="28" t="str">
        <x:v>Differential brain activation patterns in adult attention-deficit hyperactivity disorder (ADHD) associated with task switching.</x:v>
      </x:c>
      <x:c r="E826" s="28" t="str">
        <x:v>Primary study - case-control</x:v>
      </x:c>
      <x:c r="F826" s="28" t="str">
        <x:v>Development &amp; presentation; Social &amp; structural; Treatment &amp; support</x:v>
      </x:c>
      <x:c r="G826" s="28" t="str">
        <x:v>Adulthood</x:v>
      </x:c>
      <x:c r="H826" s="28" t="str">
        <x:v>Later specialized</x:v>
      </x:c>
      <x:c r="I826" s="28" t="str">
        <x:v>Direct or strongly ADHD-related record retained for later screening; typically narrower treatment, biomarker, mechanistic, or single-comorbidity focus.</x:v>
      </x:c>
      <x:c r="J826" s="38" t="e">
        <x:f>HYPERLINK("https://pubmed.ncbi.nlm.nih.gov/"&amp;C826&amp;"/","Open PubMed")</x:f>
        <x:v>HYPERLINK is not implemented. linkLocation=https://pubmed.ncbi.nlm.nih.gov/20604616/, friendlyName=Open PubMed</x:v>
      </x:c>
    </x:row>
    <x:row r="827">
      <x:c r="A827" s="26" t="str">
        <x:v>PUBMED-20598646</x:v>
      </x:c>
      <x:c r="B827" s="26" t="n">
        <x:v>2010</x:v>
      </x:c>
      <x:c r="C827" s="26" t="str">
        <x:v>20598646</x:v>
      </x:c>
      <x:c r="D827" s="28" t="str">
        <x:v>Attention-deficit hyperactivity disorder and nocturnal epileptiform activity in children with epilepsy admitted to a national epilepsy center.</x:v>
      </x:c>
      <x:c r="E827" s="28" t="str">
        <x:v>Primary study - cohort</x:v>
      </x:c>
      <x:c r="F827" s="28" t="str">
        <x:v>Development &amp; presentation; Recognition &amp; diagnosis; Social &amp; structural; Environmental &amp; lifestyle; Treatment &amp; support; Life outcomes &amp; lived experience</x:v>
      </x:c>
      <x:c r="G827" s="28" t="str">
        <x:v>Childhood; Adolescence</x:v>
      </x:c>
      <x:c r="H827" s="28" t="str">
        <x:v>Later specialized</x:v>
      </x:c>
      <x:c r="I827" s="28" t="str">
        <x:v>Direct or strongly ADHD-related record retained for later screening; typically narrower treatment, biomarker, mechanistic, or single-comorbidity focus.</x:v>
      </x:c>
      <x:c r="J827" s="38" t="e">
        <x:f>HYPERLINK("https://pubmed.ncbi.nlm.nih.gov/"&amp;C827&amp;"/","Open PubMed")</x:f>
        <x:v>HYPERLINK is not implemented. linkLocation=https://pubmed.ncbi.nlm.nih.gov/20598646/, friendlyName=Open PubMed</x:v>
      </x:c>
    </x:row>
    <x:row r="828">
      <x:c r="A828" s="26" t="str">
        <x:v>PUBMED-20598289</x:v>
      </x:c>
      <x:c r="B828" s="26" t="n">
        <x:v>2010</x:v>
      </x:c>
      <x:c r="C828" s="26" t="str">
        <x:v>20598289</x:v>
      </x:c>
      <x:c r="D828" s="28" t="str">
        <x:v>Are steeper discounting rates in attention-deficit/hyperactivity disorder specifically associated with hyperactivity-impulsivity symptoms or is this a statistical artifact?</x:v>
      </x:c>
      <x:c r="E828" s="28" t="str">
        <x:v>Primary study - case-control</x:v>
      </x:c>
      <x:c r="F828" s="28" t="str">
        <x:v>Development &amp; presentation</x:v>
      </x:c>
      <x:c r="G828" s="28" t="str">
        <x:v>Not specified</x:v>
      </x:c>
      <x:c r="H828" s="28" t="str">
        <x:v>Later specialized</x:v>
      </x:c>
      <x:c r="I828" s="28" t="str">
        <x:v>Direct or strongly ADHD-related record retained for later screening; typically narrower treatment, biomarker, mechanistic, or single-comorbidity focus.</x:v>
      </x:c>
      <x:c r="J828" s="38" t="e">
        <x:f>HYPERLINK("https://pubmed.ncbi.nlm.nih.gov/"&amp;C828&amp;"/","Open PubMed")</x:f>
        <x:v>HYPERLINK is not implemented. linkLocation=https://pubmed.ncbi.nlm.nih.gov/20598289/, friendlyName=Open PubMed</x:v>
      </x:c>
    </x:row>
    <x:row r="829">
      <x:c r="A829" s="26" t="str">
        <x:v>PUBMED-20582628</x:v>
      </x:c>
      <x:c r="B829" s="26" t="n">
        <x:v>2010</x:v>
      </x:c>
      <x:c r="C829" s="26" t="str">
        <x:v>20582628</x:v>
      </x:c>
      <x:c r="D829" s="28" t="str">
        <x:v>Why does ADHD confer risk for cigarette smoking? A review of psychosocial mechanisms.</x:v>
      </x:c>
      <x:c r="E829" s="28" t="str">
        <x:v>Evidence synthesis - review</x:v>
      </x:c>
      <x:c r="F829" s="28" t="str">
        <x:v>Development &amp; presentation; Social &amp; structural; Environmental &amp; lifestyle; Treatment &amp; support; Historical &amp; contemporary context</x:v>
      </x:c>
      <x:c r="G829" s="28" t="str">
        <x:v>Childhood; Adolescence; Adulthood</x:v>
      </x:c>
      <x:c r="H829" s="28" t="str">
        <x:v>Batch 1 core</x:v>
      </x:c>
      <x:c r="I829" s="28" t="str">
        <x:v>Direct ADHD evidence synthesis/guideline with broad multi-topic relevance.</x:v>
      </x:c>
      <x:c r="J829" s="38" t="e">
        <x:f>HYPERLINK("https://pubmed.ncbi.nlm.nih.gov/"&amp;C829&amp;"/","Open PubMed")</x:f>
        <x:v>HYPERLINK is not implemented. linkLocation=https://pubmed.ncbi.nlm.nih.gov/20582628/, friendlyName=Open PubMed</x:v>
      </x:c>
    </x:row>
    <x:row r="830">
      <x:c r="A830" s="26" t="str">
        <x:v>PUBMED-20579516</x:v>
      </x:c>
      <x:c r="B830" s="26" t="n">
        <x:v>2010</x:v>
      </x:c>
      <x:c r="C830" s="26" t="str">
        <x:v>20579516</x:v>
      </x:c>
      <x:c r="D830" s="28" t="str">
        <x:v>Does oppositional defiant disorder have temperament and psychopathological profiles independent of attention deficit/hyperactivity disorder?</x:v>
      </x:c>
      <x:c r="E830" s="28" t="str">
        <x:v>Primary/contextual journal article</x:v>
      </x:c>
      <x:c r="F830" s="28" t="str">
        <x:v>Development &amp; presentation; Recognition &amp; diagnosis; Family &amp; education; Social &amp; structural; Treatment &amp; support; Life outcomes &amp; lived experience</x:v>
      </x:c>
      <x:c r="G830" s="28" t="str">
        <x:v>Childhood; Adolescence</x:v>
      </x:c>
      <x:c r="H830" s="28" t="str">
        <x:v>Later specialized</x:v>
      </x:c>
      <x:c r="I830" s="28" t="str">
        <x:v>Direct or strongly ADHD-related record retained for later screening; typically narrower treatment, biomarker, mechanistic, or single-comorbidity focus.</x:v>
      </x:c>
      <x:c r="J830" s="38" t="e">
        <x:f>HYPERLINK("https://pubmed.ncbi.nlm.nih.gov/"&amp;C830&amp;"/","Open PubMed")</x:f>
        <x:v>HYPERLINK is not implemented. linkLocation=https://pubmed.ncbi.nlm.nih.gov/20579516/, friendlyName=Open PubMed</x:v>
      </x:c>
    </x:row>
    <x:row r="831">
      <x:c r="A831" s="26" t="str">
        <x:v>PUBMED-20575109</x:v>
      </x:c>
      <x:c r="B831" s="26" t="n">
        <x:v>2010</x:v>
      </x:c>
      <x:c r="C831" s="26" t="str">
        <x:v>20575109</x:v>
      </x:c>
      <x:c r="D831" s="28" t="str">
        <x:v>Externalizing and internalizing behaviors in ASD.</x:v>
      </x:c>
      <x:c r="E831" s="28" t="str">
        <x:v>Primary study - cross-sectional</x:v>
      </x:c>
      <x:c r="F831" s="28" t="str">
        <x:v>Development &amp; presentation; Recognition &amp; diagnosis; Family &amp; education; Social &amp; structural; Environmental &amp; lifestyle; Life outcomes &amp; lived experience</x:v>
      </x:c>
      <x:c r="G831" s="28" t="str">
        <x:v>Childhood</x:v>
      </x:c>
      <x:c r="H831" s="28" t="str">
        <x:v>Exclude/incidental</x:v>
      </x:c>
      <x:c r="I831" s="28" t="str">
        <x:v>ADHD appears peripheral or insufficiently aligned with the requested corpus scope based on accessible metadata/abstract.</x:v>
      </x:c>
      <x:c r="J831" s="38" t="e">
        <x:f>HYPERLINK("https://pubmed.ncbi.nlm.nih.gov/"&amp;C831&amp;"/","Open PubMed")</x:f>
        <x:v>HYPERLINK is not implemented. linkLocation=https://pubmed.ncbi.nlm.nih.gov/20575109/, friendlyName=Open PubMed</x:v>
      </x:c>
    </x:row>
    <x:row r="832">
      <x:c r="A832" s="26" t="str">
        <x:v>PUBMED-20574866</x:v>
      </x:c>
      <x:c r="B832" s="26" t="n">
        <x:v>2010</x:v>
      </x:c>
      <x:c r="C832" s="26" t="str">
        <x:v>20574866</x:v>
      </x:c>
      <x:c r="D832" s="28" t="str">
        <x:v>DSM-IV-defined inattention and sluggish cognitive tempo: independent and interactive relations to neuropsychological factors and comorbidity.</x:v>
      </x:c>
      <x:c r="E832" s="28" t="str">
        <x:v>Primary/contextual journal article</x:v>
      </x:c>
      <x:c r="F832" s="28" t="str">
        <x:v>Development &amp; presentation; Recognition &amp; diagnosis; Family &amp; education; Social &amp; structural; Treatment &amp; support</x:v>
      </x:c>
      <x:c r="G832" s="28" t="str">
        <x:v>Childhood</x:v>
      </x:c>
      <x:c r="H832" s="28" t="str">
        <x:v>Later specialized</x:v>
      </x:c>
      <x:c r="I832" s="28" t="str">
        <x:v>Direct or strongly ADHD-related record retained for later screening; typically narrower treatment, biomarker, mechanistic, or single-comorbidity focus.</x:v>
      </x:c>
      <x:c r="J832" s="38" t="e">
        <x:f>HYPERLINK("https://pubmed.ncbi.nlm.nih.gov/"&amp;C832&amp;"/","Open PubMed")</x:f>
        <x:v>HYPERLINK is not implemented. linkLocation=https://pubmed.ncbi.nlm.nih.gov/20574866/, friendlyName=Open PubMed</x:v>
      </x:c>
    </x:row>
    <x:row r="833">
      <x:c r="A833" s="26" t="str">
        <x:v>PUBMED-20569650</x:v>
      </x:c>
      <x:c r="B833" s="26" t="n">
        <x:v>2010</x:v>
      </x:c>
      <x:c r="C833" s="26" t="str">
        <x:v>20569650</x:v>
      </x:c>
      <x:c r="D833" s="28" t="str">
        <x:v>Clinical correlations of grey matter reductions in the caudate nucleus of adults with attention deficit hyperactivity disorder.</x:v>
      </x:c>
      <x:c r="E833" s="28" t="str">
        <x:v>Primary study - cross-sectional</x:v>
      </x:c>
      <x:c r="F833" s="28" t="str">
        <x:v>Development &amp; presentation; Recognition &amp; diagnosis; Social &amp; structural</x:v>
      </x:c>
      <x:c r="G833" s="28" t="str">
        <x:v>Childhood; Adulthood</x:v>
      </x:c>
      <x:c r="H833" s="28" t="str">
        <x:v>Later specialized</x:v>
      </x:c>
      <x:c r="I833" s="28" t="str">
        <x:v>Direct or strongly ADHD-related record retained for later screening; typically narrower treatment, biomarker, mechanistic, or single-comorbidity focus.</x:v>
      </x:c>
      <x:c r="J833" s="38" t="e">
        <x:f>HYPERLINK("https://pubmed.ncbi.nlm.nih.gov/"&amp;C833&amp;"/","Open PubMed")</x:f>
        <x:v>HYPERLINK is not implemented. linkLocation=https://pubmed.ncbi.nlm.nih.gov/20569650/, friendlyName=Open PubMed</x:v>
      </x:c>
    </x:row>
    <x:row r="834">
      <x:c r="A834" s="26" t="str">
        <x:v>PUBMED-20560244</x:v>
      </x:c>
      <x:c r="B834" s="26" t="n">
        <x:v>2010</x:v>
      </x:c>
      <x:c r="C834" s="26" t="str">
        <x:v>20560244</x:v>
      </x:c>
      <x:c r="D834" s="28" t="str">
        <x:v>Giving personality disorders their due.</x:v>
      </x:c>
      <x:c r="E834" s="28" t="str">
        <x:v>Contextual - editorial/comment</x:v>
      </x:c>
      <x:c r="F834" s="28" t="str">
        <x:v>Development &amp; presentation</x:v>
      </x:c>
      <x:c r="G834" s="28" t="str">
        <x:v>Not specified</x:v>
      </x:c>
      <x:c r="H834" s="28" t="str">
        <x:v>Exclude/incidental</x:v>
      </x:c>
      <x:c r="I834" s="28" t="str">
        <x:v>ADHD appears peripheral or insufficiently aligned with the requested corpus scope based on accessible metadata/abstract.</x:v>
      </x:c>
      <x:c r="J834" s="38" t="e">
        <x:f>HYPERLINK("https://pubmed.ncbi.nlm.nih.gov/"&amp;C834&amp;"/","Open PubMed")</x:f>
        <x:v>HYPERLINK is not implemented. linkLocation=https://pubmed.ncbi.nlm.nih.gov/20560244/, friendlyName=Open PubMed</x:v>
      </x:c>
    </x:row>
    <x:row r="835">
      <x:c r="A835" s="26" t="str">
        <x:v>PUBMED-20554159</x:v>
      </x:c>
      <x:c r="B835" s="26" t="n">
        <x:v>2010</x:v>
      </x:c>
      <x:c r="C835" s="26" t="str">
        <x:v>20554159</x:v>
      </x:c>
      <x:c r="D835" s="28" t="str">
        <x:v>Modality-specific attention and multisensory integration of emotions in schizophrenia: reduced regulatory effects.</x:v>
      </x:c>
      <x:c r="E835" s="28" t="str">
        <x:v>Primary/contextual journal article</x:v>
      </x:c>
      <x:c r="F835" s="28" t="str">
        <x:v>Development &amp; presentation; Recognition &amp; diagnosis; Social &amp; structural</x:v>
      </x:c>
      <x:c r="G835" s="28" t="str">
        <x:v>Adulthood</x:v>
      </x:c>
      <x:c r="H835" s="28" t="str">
        <x:v>Later specialized</x:v>
      </x:c>
      <x:c r="I835" s="28" t="str">
        <x:v>Direct or strongly ADHD-related record retained for later screening; typically narrower treatment, biomarker, mechanistic, or single-comorbidity focus.</x:v>
      </x:c>
      <x:c r="J835" s="38" t="e">
        <x:f>HYPERLINK("https://pubmed.ncbi.nlm.nih.gov/"&amp;C835&amp;"/","Open PubMed")</x:f>
        <x:v>HYPERLINK is not implemented. linkLocation=https://pubmed.ncbi.nlm.nih.gov/20554159/, friendlyName=Open PubMed</x:v>
      </x:c>
    </x:row>
    <x:row r="836">
      <x:c r="A836" s="26" t="str">
        <x:v>PUBMED-20537859</x:v>
      </x:c>
      <x:c r="B836" s="26" t="n">
        <x:v>2010</x:v>
      </x:c>
      <x:c r="C836" s="26" t="str">
        <x:v>20537859</x:v>
      </x:c>
      <x:c r="D836" s="28" t="str">
        <x:v>Adults with autism spectrum disorders and ADHD neuropsychological aspects.</x:v>
      </x:c>
      <x:c r="E836" s="28" t="str">
        <x:v>Primary/contextual journal article</x:v>
      </x:c>
      <x:c r="F836" s="28" t="str">
        <x:v>Development &amp; presentation; Recognition &amp; diagnosis; Social &amp; structural</x:v>
      </x:c>
      <x:c r="G836" s="28" t="str">
        <x:v>Adolescence; Adulthood</x:v>
      </x:c>
      <x:c r="H836" s="28" t="str">
        <x:v>Later specialized</x:v>
      </x:c>
      <x:c r="I836" s="28" t="str">
        <x:v>Direct or strongly ADHD-related record retained for later screening; typically narrower treatment, biomarker, mechanistic, or single-comorbidity focus.</x:v>
      </x:c>
      <x:c r="J836" s="38" t="e">
        <x:f>HYPERLINK("https://pubmed.ncbi.nlm.nih.gov/"&amp;C836&amp;"/","Open PubMed")</x:f>
        <x:v>HYPERLINK is not implemented. linkLocation=https://pubmed.ncbi.nlm.nih.gov/20537859/, friendlyName=Open PubMed</x:v>
      </x:c>
    </x:row>
    <x:row r="837">
      <x:c r="A837" s="26" t="str">
        <x:v>PUBMED-20536866</x:v>
      </x:c>
      <x:c r="B837" s="26" t="n">
        <x:v>2010</x:v>
      </x:c>
      <x:c r="C837" s="26" t="str">
        <x:v>20536866</x:v>
      </x:c>
      <x:c r="D837" s="28" t="str">
        <x:v>Convergences and divergences in treatments of so-called ADHD children.</x:v>
      </x:c>
      <x:c r="E837" s="28" t="str">
        <x:v>Other/unclear</x:v>
      </x:c>
      <x:c r="F837" s="28" t="str">
        <x:v>Development &amp; presentation; Family &amp; education; Social &amp; structural; Treatment &amp; support</x:v>
      </x:c>
      <x:c r="G837" s="28" t="str">
        <x:v>Childhood</x:v>
      </x:c>
      <x:c r="H837" s="28" t="str">
        <x:v>Later specialized</x:v>
      </x:c>
      <x:c r="I837" s="28" t="str">
        <x:v>Direct or strongly ADHD-related record retained for later screening; typically narrower treatment, biomarker, mechanistic, or single-comorbidity focus.</x:v>
      </x:c>
      <x:c r="J837" s="38" t="e">
        <x:f>HYPERLINK("https://pubmed.ncbi.nlm.nih.gov/"&amp;C837&amp;"/","Open PubMed")</x:f>
        <x:v>HYPERLINK is not implemented. linkLocation=https://pubmed.ncbi.nlm.nih.gov/20536866/, friendlyName=Open PubMed</x:v>
      </x:c>
    </x:row>
    <x:row r="838">
      <x:c r="A838" s="26" t="str">
        <x:v>PUBMED-20532931</x:v>
      </x:c>
      <x:c r="B838" s="26" t="n">
        <x:v>2010</x:v>
      </x:c>
      <x:c r="C838" s="26" t="str">
        <x:v>20532931</x:v>
      </x:c>
      <x:c r="D838" s="28" t="str">
        <x:v>Severe psychosocial stress and heavy cigarette smoking during pregnancy: an examination of the pre- and perinatal risk factors associated with ADHD and Tourette syndrome.</x:v>
      </x:c>
      <x:c r="E838" s="28" t="str">
        <x:v>Primary/contextual journal article</x:v>
      </x:c>
      <x:c r="F838" s="28" t="str">
        <x:v>Development &amp; presentation; Recognition &amp; diagnosis; Social &amp; structural; Environmental &amp; lifestyle; Treatment &amp; support</x:v>
      </x:c>
      <x:c r="G838" s="28" t="str">
        <x:v>Childhood; Adolescence; Adulthood</x:v>
      </x:c>
      <x:c r="H838" s="28" t="str">
        <x:v>Later specialized</x:v>
      </x:c>
      <x:c r="I838" s="28" t="str">
        <x:v>Direct or strongly ADHD-related record retained for later screening; typically narrower treatment, biomarker, mechanistic, or single-comorbidity focus.</x:v>
      </x:c>
      <x:c r="J838" s="38" t="e">
        <x:f>HYPERLINK("https://pubmed.ncbi.nlm.nih.gov/"&amp;C838&amp;"/","Open PubMed")</x:f>
        <x:v>HYPERLINK is not implemented. linkLocation=https://pubmed.ncbi.nlm.nih.gov/20532931/, friendlyName=Open PubMed</x:v>
      </x:c>
    </x:row>
    <x:row r="839">
      <x:c r="A839" s="26" t="str">
        <x:v>PUBMED-20530525</x:v>
      </x:c>
      <x:c r="B839" s="26" t="n">
        <x:v>2010</x:v>
      </x:c>
      <x:c r="C839" s="26" t="str">
        <x:v>20530525</x:v>
      </x:c>
      <x:c r="D839" s="28" t="str">
        <x:v>Young adults with ADHD: an analysis of their service needs on transfer to adult services.</x:v>
      </x:c>
      <x:c r="E839" s="28" t="str">
        <x:v>Primary/contextual journal article</x:v>
      </x:c>
      <x:c r="F839" s="28" t="str">
        <x:v>Development &amp; presentation; Recognition &amp; diagnosis; Family &amp; education; Social &amp; structural; Treatment &amp; support; Life outcomes &amp; lived experience</x:v>
      </x:c>
      <x:c r="G839" s="28" t="str">
        <x:v>Childhood; Adolescence; Adulthood</x:v>
      </x:c>
      <x:c r="H839" s="28" t="str">
        <x:v>Later specialized</x:v>
      </x:c>
      <x:c r="I839" s="28" t="str">
        <x:v>Direct or strongly ADHD-related record retained for later screening; typically narrower treatment, biomarker, mechanistic, or single-comorbidity focus.</x:v>
      </x:c>
      <x:c r="J839" s="38" t="e">
        <x:f>HYPERLINK("https://pubmed.ncbi.nlm.nih.gov/"&amp;C839&amp;"/","Open PubMed")</x:f>
        <x:v>HYPERLINK is not implemented. linkLocation=https://pubmed.ncbi.nlm.nih.gov/20530525/, friendlyName=Open PubMed</x:v>
      </x:c>
    </x:row>
    <x:row r="840">
      <x:c r="A840" s="26" t="str">
        <x:v>PUBMED-20528058</x:v>
      </x:c>
      <x:c r="B840" s="26" t="n">
        <x:v>2010</x:v>
      </x:c>
      <x:c r="C840" s="26" t="str">
        <x:v>20528058</x:v>
      </x:c>
      <x:c r="D840" s="28" t="str">
        <x:v>The measurement of executive function at age 3 years: psychometric properties and criterion validity of a new battery of tasks.</x:v>
      </x:c>
      <x:c r="E840" s="28" t="str">
        <x:v>Primary/contextual journal article</x:v>
      </x:c>
      <x:c r="F840" s="28" t="str">
        <x:v>Development &amp; presentation; Recognition &amp; diagnosis; Family &amp; education; Social &amp; structural; Life outcomes &amp; lived experience</x:v>
      </x:c>
      <x:c r="G840" s="28" t="str">
        <x:v>Childhood</x:v>
      </x:c>
      <x:c r="H840" s="28" t="str">
        <x:v>Later specialized</x:v>
      </x:c>
      <x:c r="I840" s="28" t="str">
        <x:v>Direct or strongly ADHD-related record retained for later screening; typically narrower treatment, biomarker, mechanistic, or single-comorbidity focus.</x:v>
      </x:c>
      <x:c r="J840" s="38" t="e">
        <x:f>HYPERLINK("https://pubmed.ncbi.nlm.nih.gov/"&amp;C840&amp;"/","Open PubMed")</x:f>
        <x:v>HYPERLINK is not implemented. linkLocation=https://pubmed.ncbi.nlm.nih.gov/20528058/, friendlyName=Open PubMed</x:v>
      </x:c>
    </x:row>
    <x:row r="841">
      <x:c r="A841" s="26" t="str">
        <x:v>PUBMED-20524553</x:v>
      </x:c>
      <x:c r="B841" s="26" t="n">
        <x:v>2010</x:v>
      </x:c>
      <x:c r="C841" s="26" t="str">
        <x:v>20524553</x:v>
      </x:c>
      <x:c r="D841" s="28" t="str">
        <x:v>Relationship of the Kaufman Brief Intelligence Test-Second Edition and the Wechsler Abbreviated Scale of Intelligence in children referred for ADHD.</x:v>
      </x:c>
      <x:c r="E841" s="28" t="str">
        <x:v>Primary/contextual journal article</x:v>
      </x:c>
      <x:c r="F841" s="28" t="str">
        <x:v>Development &amp; presentation; Life outcomes &amp; lived experience</x:v>
      </x:c>
      <x:c r="G841" s="28" t="str">
        <x:v>Childhood</x:v>
      </x:c>
      <x:c r="H841" s="28" t="str">
        <x:v>Later specialized</x:v>
      </x:c>
      <x:c r="I841" s="28" t="str">
        <x:v>Direct or strongly ADHD-related record retained for later screening; typically narrower treatment, biomarker, mechanistic, or single-comorbidity focus.</x:v>
      </x:c>
      <x:c r="J841" s="38" t="e">
        <x:f>HYPERLINK("https://pubmed.ncbi.nlm.nih.gov/"&amp;C841&amp;"/","Open PubMed")</x:f>
        <x:v>HYPERLINK is not implemented. linkLocation=https://pubmed.ncbi.nlm.nih.gov/20524553/, friendlyName=Open PubMed</x:v>
      </x:c>
    </x:row>
    <x:row r="842">
      <x:c r="A842" s="26" t="str">
        <x:v>PUBMED-20522617</x:v>
      </x:c>
      <x:c r="B842" s="26" t="n">
        <x:v>2010</x:v>
      </x:c>
      <x:c r="C842" s="26" t="str">
        <x:v>20522617</x:v>
      </x:c>
      <x:c r="D842" s="28" t="str">
        <x:v>Post hoc analysis: early changes in ADHD-RS items predict longer term response to atomoxetine in pediatric patients.</x:v>
      </x:c>
      <x:c r="E842" s="28" t="str">
        <x:v>Primary study - randomized controlled trial</x:v>
      </x:c>
      <x:c r="F842" s="28" t="str">
        <x:v>Development &amp; presentation; Recognition &amp; diagnosis; Social &amp; structural; Treatment &amp; support; Life outcomes &amp; lived experience</x:v>
      </x:c>
      <x:c r="G842" s="28" t="str">
        <x:v>Childhood; Adolescence</x:v>
      </x:c>
      <x:c r="H842" s="28" t="str">
        <x:v>Later specialized</x:v>
      </x:c>
      <x:c r="I842" s="28" t="str">
        <x:v>Direct or strongly ADHD-related record retained for later screening; typically narrower treatment, biomarker, mechanistic, or single-comorbidity focus.</x:v>
      </x:c>
      <x:c r="J842" s="38" t="e">
        <x:f>HYPERLINK("https://pubmed.ncbi.nlm.nih.gov/"&amp;C842&amp;"/","Open PubMed")</x:f>
        <x:v>HYPERLINK is not implemented. linkLocation=https://pubmed.ncbi.nlm.nih.gov/20522617/, friendlyName=Open PubMed</x:v>
      </x:c>
    </x:row>
    <x:row r="843">
      <x:c r="A843" s="26" t="str">
        <x:v>PUBMED-20521875</x:v>
      </x:c>
      <x:c r="B843" s="26" t="n">
        <x:v>2010</x:v>
      </x:c>
      <x:c r="C843" s="26" t="str">
        <x:v>20521875</x:v>
      </x:c>
      <x:c r="D843" s="28" t="str">
        <x:v>Positive effects of repetitive transcranial magnetic stimulation on attention in ADHD Subjects: a randomized controlled pilot study.</x:v>
      </x:c>
      <x:c r="E843" s="28" t="str">
        <x:v>Primary study - randomized controlled trial</x:v>
      </x:c>
      <x:c r="F843" s="28" t="str">
        <x:v>Development &amp; presentation; Recognition &amp; diagnosis; Treatment &amp; support</x:v>
      </x:c>
      <x:c r="G843" s="28" t="str">
        <x:v>Adulthood</x:v>
      </x:c>
      <x:c r="H843" s="28" t="str">
        <x:v>Later specialized</x:v>
      </x:c>
      <x:c r="I843" s="28" t="str">
        <x:v>Direct or strongly ADHD-related record retained for later screening; typically narrower treatment, biomarker, mechanistic, or single-comorbidity focus.</x:v>
      </x:c>
      <x:c r="J843" s="38" t="e">
        <x:f>HYPERLINK("https://pubmed.ncbi.nlm.nih.gov/"&amp;C843&amp;"/","Open PubMed")</x:f>
        <x:v>HYPERLINK is not implemented. linkLocation=https://pubmed.ncbi.nlm.nih.gov/20521875/, friendlyName=Open PubMed</x:v>
      </x:c>
    </x:row>
    <x:row r="844">
      <x:c r="A844" s="26" t="str">
        <x:v>PUBMED-20520549</x:v>
      </x:c>
      <x:c r="B844" s="26" t="n">
        <x:v>2010</x:v>
      </x:c>
      <x:c r="C844" s="26" t="str">
        <x:v>20520549</x:v>
      </x:c>
      <x:c r="D844" s="28" t="str">
        <x:v>Motor coordination and emotional-behavioral problems in children.</x:v>
      </x:c>
      <x:c r="E844" s="28" t="str">
        <x:v>Evidence synthesis - review</x:v>
      </x:c>
      <x:c r="F844" s="28" t="str">
        <x:v>Development &amp; presentation; Recognition &amp; diagnosis; Social &amp; structural; Treatment &amp; support</x:v>
      </x:c>
      <x:c r="G844" s="28" t="str">
        <x:v>Childhood</x:v>
      </x:c>
      <x:c r="H844" s="28" t="str">
        <x:v>Later specialized</x:v>
      </x:c>
      <x:c r="I844" s="28" t="str">
        <x:v>Direct or strongly ADHD-related record retained for later screening; typically narrower treatment, biomarker, mechanistic, or single-comorbidity focus.</x:v>
      </x:c>
      <x:c r="J844" s="38" t="e">
        <x:f>HYPERLINK("https://pubmed.ncbi.nlm.nih.gov/"&amp;C844&amp;"/","Open PubMed")</x:f>
        <x:v>HYPERLINK is not implemented. linkLocation=https://pubmed.ncbi.nlm.nih.gov/20520549/, friendlyName=Open PubMed</x:v>
      </x:c>
    </x:row>
    <x:row r="845">
      <x:c r="A845" s="26" t="str">
        <x:v>PUBMED-20520287</x:v>
      </x:c>
      <x:c r="B845" s="26" t="n">
        <x:v>2010</x:v>
      </x:c>
      <x:c r="C845" s="26" t="str">
        <x:v>20520287</x:v>
      </x:c>
      <x:c r="D845" s="28" t="str">
        <x:v>Quality of life and attention-deficit/hyperactivity disorder core symptoms: a pooled analysis of 5 non-US atomoxetine clinical trials.</x:v>
      </x:c>
      <x:c r="E845" s="28" t="str">
        <x:v>Primary/contextual journal article</x:v>
      </x:c>
      <x:c r="F845" s="28" t="str">
        <x:v>Development &amp; presentation; Recognition &amp; diagnosis; Family &amp; education; Social &amp; structural; Treatment &amp; support; Life outcomes &amp; lived experience</x:v>
      </x:c>
      <x:c r="G845" s="28" t="str">
        <x:v>Childhood; Adolescence</x:v>
      </x:c>
      <x:c r="H845" s="28" t="str">
        <x:v>Later specialized</x:v>
      </x:c>
      <x:c r="I845" s="28" t="str">
        <x:v>Direct or strongly ADHD-related record retained for later screening; typically narrower treatment, biomarker, mechanistic, or single-comorbidity focus.</x:v>
      </x:c>
      <x:c r="J845" s="38" t="e">
        <x:f>HYPERLINK("https://pubmed.ncbi.nlm.nih.gov/"&amp;C845&amp;"/","Open PubMed")</x:f>
        <x:v>HYPERLINK is not implemented. linkLocation=https://pubmed.ncbi.nlm.nih.gov/20520287/, friendlyName=Open PubMed</x:v>
      </x:c>
    </x:row>
    <x:row r="846">
      <x:c r="A846" s="26" t="str">
        <x:v>PUBMED-20517641</x:v>
      </x:c>
      <x:c r="B846" s="26" t="n">
        <x:v>2010</x:v>
      </x:c>
      <x:c r="C846" s="26" t="str">
        <x:v>20517641</x:v>
      </x:c>
      <x:c r="D846" s="28" t="str">
        <x:v>Buspirone versus methylphenidate in the treatment of attention deficit hyperactivity disorder: a double-blind and randomized trial.</x:v>
      </x:c>
      <x:c r="E846" s="28" t="str">
        <x:v>Primary study - randomized controlled trial</x:v>
      </x:c>
      <x:c r="F846" s="28" t="str">
        <x:v>Development &amp; presentation; Recognition &amp; diagnosis; Family &amp; education; Social &amp; structural; Treatment &amp; support; Life outcomes &amp; lived experience</x:v>
      </x:c>
      <x:c r="G846" s="28" t="str">
        <x:v>Childhood</x:v>
      </x:c>
      <x:c r="H846" s="28" t="str">
        <x:v>Later specialized</x:v>
      </x:c>
      <x:c r="I846" s="28" t="str">
        <x:v>Direct or strongly ADHD-related record retained for later screening; typically narrower treatment, biomarker, mechanistic, or single-comorbidity focus.</x:v>
      </x:c>
      <x:c r="J846" s="38" t="e">
        <x:f>HYPERLINK("https://pubmed.ncbi.nlm.nih.gov/"&amp;C846&amp;"/","Open PubMed")</x:f>
        <x:v>HYPERLINK is not implemented. linkLocation=https://pubmed.ncbi.nlm.nih.gov/20517641/, friendlyName=Open PubMed</x:v>
      </x:c>
    </x:row>
    <x:row r="847">
      <x:c r="A847" s="26" t="str">
        <x:v>PUBMED-20516164</x:v>
      </x:c>
      <x:c r="B847" s="26" t="n">
        <x:v>2010</x:v>
      </x:c>
      <x:c r="C847" s="26" t="str">
        <x:v>20516164</x:v>
      </x:c>
      <x:c r="D847" s="28" t="str">
        <x:v>Resolving the discrepancy in childhood bipolar high-risk study findings.</x:v>
      </x:c>
      <x:c r="E847" s="28" t="str">
        <x:v>Contextual - editorial/comment</x:v>
      </x:c>
      <x:c r="F847" s="28" t="str">
        <x:v>Development &amp; presentation; Recognition &amp; diagnosis; Family &amp; education</x:v>
      </x:c>
      <x:c r="G847" s="28" t="str">
        <x:v>Childhood</x:v>
      </x:c>
      <x:c r="H847" s="28" t="str">
        <x:v>Exclude/incidental</x:v>
      </x:c>
      <x:c r="I847" s="28" t="str">
        <x:v>ADHD appears peripheral or insufficiently aligned with the requested corpus scope based on accessible metadata/abstract.</x:v>
      </x:c>
      <x:c r="J847" s="38" t="e">
        <x:f>HYPERLINK("https://pubmed.ncbi.nlm.nih.gov/"&amp;C847&amp;"/","Open PubMed")</x:f>
        <x:v>HYPERLINK is not implemented. linkLocation=https://pubmed.ncbi.nlm.nih.gov/20516164/, friendlyName=Open PubMed</x:v>
      </x:c>
    </x:row>
    <x:row r="848">
      <x:c r="A848" s="26" t="str">
        <x:v>PUBMED-20515667</x:v>
      </x:c>
      <x:c r="B848" s="26" t="n">
        <x:v>2010</x:v>
      </x:c>
      <x:c r="C848" s="26" t="str">
        <x:v>20515667</x:v>
      </x:c>
      <x:c r="D848" s="28" t="str">
        <x:v>Developmental disabilities across the lifespan.</x:v>
      </x:c>
      <x:c r="E848" s="28" t="str">
        <x:v>Evidence synthesis - review</x:v>
      </x:c>
      <x:c r="F848" s="28" t="str">
        <x:v>Development &amp; presentation; Recognition &amp; diagnosis; Family &amp; education; Social &amp; structural; Treatment &amp; support</x:v>
      </x:c>
      <x:c r="G848" s="28" t="str">
        <x:v>Childhood</x:v>
      </x:c>
      <x:c r="H848" s="28" t="str">
        <x:v>Exclude/incidental</x:v>
      </x:c>
      <x:c r="I848" s="28" t="str">
        <x:v>ADHD appears peripheral or insufficiently aligned with the requested corpus scope based on accessible metadata/abstract.</x:v>
      </x:c>
      <x:c r="J848" s="38" t="e">
        <x:f>HYPERLINK("https://pubmed.ncbi.nlm.nih.gov/"&amp;C848&amp;"/","Open PubMed")</x:f>
        <x:v>HYPERLINK is not implemented. linkLocation=https://pubmed.ncbi.nlm.nih.gov/20515667/, friendlyName=Open PubMed</x:v>
      </x:c>
    </x:row>
    <x:row r="849">
      <x:c r="A849" s="26" t="str">
        <x:v>PUBMED-20513230</x:v>
      </x:c>
      <x:c r="B849" s="26" t="n">
        <x:v>2010</x:v>
      </x:c>
      <x:c r="C849" s="26" t="str">
        <x:v>20513230</x:v>
      </x:c>
      <x:c r="D849" s="28" t="str">
        <x:v>The pharmaceutical economics of child psychiatric drug treatment.</x:v>
      </x:c>
      <x:c r="E849" s="28" t="str">
        <x:v>Evidence synthesis - review</x:v>
      </x:c>
      <x:c r="F849" s="28" t="str">
        <x:v>Development &amp; presentation; Recognition &amp; diagnosis; Social &amp; structural; Treatment &amp; support; Life outcomes &amp; lived experience</x:v>
      </x:c>
      <x:c r="G849" s="28" t="str">
        <x:v>Childhood; Adolescence</x:v>
      </x:c>
      <x:c r="H849" s="28" t="str">
        <x:v>Later specialized</x:v>
      </x:c>
      <x:c r="I849" s="28" t="str">
        <x:v>Direct or strongly ADHD-related record retained for later screening; typically narrower treatment, biomarker, mechanistic, or single-comorbidity focus.</x:v>
      </x:c>
      <x:c r="J849" s="38" t="e">
        <x:f>HYPERLINK("https://pubmed.ncbi.nlm.nih.gov/"&amp;C849&amp;"/","Open PubMed")</x:f>
        <x:v>HYPERLINK is not implemented. linkLocation=https://pubmed.ncbi.nlm.nih.gov/20513230/, friendlyName=Open PubMed</x:v>
      </x:c>
    </x:row>
    <x:row r="850">
      <x:c r="A850" s="26" t="str">
        <x:v>PUBMED-20513229</x:v>
      </x:c>
      <x:c r="B850" s="26" t="n">
        <x:v>2010</x:v>
      </x:c>
      <x:c r="C850" s="26" t="str">
        <x:v>20513229</x:v>
      </x:c>
      <x:c r="D850" s="28" t="str">
        <x:v>Pharmacogenetic approach for a better drug treatment in children.</x:v>
      </x:c>
      <x:c r="E850" s="28" t="str">
        <x:v>Evidence synthesis - systematic review</x:v>
      </x:c>
      <x:c r="F850" s="28" t="str">
        <x:v>Development &amp; presentation; Social &amp; structural; Treatment &amp; support; Life outcomes &amp; lived experience</x:v>
      </x:c>
      <x:c r="G850" s="28" t="str">
        <x:v>Childhood; Adolescence</x:v>
      </x:c>
      <x:c r="H850" s="28" t="str">
        <x:v>Later specialized</x:v>
      </x:c>
      <x:c r="I850" s="28" t="str">
        <x:v>Direct or strongly ADHD-related record retained for later screening; typically narrower treatment, biomarker, mechanistic, or single-comorbidity focus.</x:v>
      </x:c>
      <x:c r="J850" s="38" t="e">
        <x:f>HYPERLINK("https://pubmed.ncbi.nlm.nih.gov/"&amp;C850&amp;"/","Open PubMed")</x:f>
        <x:v>HYPERLINK is not implemented. linkLocation=https://pubmed.ncbi.nlm.nih.gov/20513229/, friendlyName=Open PubMed</x:v>
      </x:c>
    </x:row>
    <x:row r="851">
      <x:c r="A851" s="26" t="str">
        <x:v>PUBMED-20509936</x:v>
      </x:c>
      <x:c r="B851" s="26" t="n">
        <x:v>2010</x:v>
      </x:c>
      <x:c r="C851" s="26" t="str">
        <x:v>20509936</x:v>
      </x:c>
      <x:c r="D851" s="28" t="str">
        <x:v>Attention-deficit hyperactivity disorder (ADHD) and glial integrity: S100B, cytokines and kynurenine metabolism--effects of medication.</x:v>
      </x:c>
      <x:c r="E851" s="28" t="str">
        <x:v>Primary/contextual journal article</x:v>
      </x:c>
      <x:c r="F851" s="28" t="str">
        <x:v>Development &amp; presentation; Treatment &amp; support; Life outcomes &amp; lived experience</x:v>
      </x:c>
      <x:c r="G851" s="28" t="str">
        <x:v>Childhood; Adolescence</x:v>
      </x:c>
      <x:c r="H851" s="28" t="str">
        <x:v>Later specialized</x:v>
      </x:c>
      <x:c r="I851" s="28" t="str">
        <x:v>Direct or strongly ADHD-related record retained for later screening; typically narrower treatment, biomarker, mechanistic, or single-comorbidity focus.</x:v>
      </x:c>
      <x:c r="J851" s="38" t="e">
        <x:f>HYPERLINK("https://pubmed.ncbi.nlm.nih.gov/"&amp;C851&amp;"/","Open PubMed")</x:f>
        <x:v>HYPERLINK is not implemented. linkLocation=https://pubmed.ncbi.nlm.nih.gov/20509936/, friendlyName=Open PubMed</x:v>
      </x:c>
    </x:row>
    <x:row r="852">
      <x:c r="A852" s="26" t="str">
        <x:v>PUBMED-20496973</x:v>
      </x:c>
      <x:c r="B852" s="26" t="n">
        <x:v>2010</x:v>
      </x:c>
      <x:c r="C852" s="26" t="str">
        <x:v>20496973</x:v>
      </x:c>
      <x:c r="D852" s="28" t="str">
        <x:v>Inspection time and attention-deficit/hyperactivity disorder symptoms in children with cerebral palsy.</x:v>
      </x:c>
      <x:c r="E852" s="28" t="str">
        <x:v>Primary/contextual journal article</x:v>
      </x:c>
      <x:c r="F852" s="28" t="str">
        <x:v>Development &amp; presentation; Recognition &amp; diagnosis; Family &amp; education; Social &amp; structural</x:v>
      </x:c>
      <x:c r="G852" s="28" t="str">
        <x:v>Childhood</x:v>
      </x:c>
      <x:c r="H852" s="28" t="str">
        <x:v>Later specialized</x:v>
      </x:c>
      <x:c r="I852" s="28" t="str">
        <x:v>Direct or strongly ADHD-related record retained for later screening; typically narrower treatment, biomarker, mechanistic, or single-comorbidity focus.</x:v>
      </x:c>
      <x:c r="J852" s="38" t="e">
        <x:f>HYPERLINK("https://pubmed.ncbi.nlm.nih.gov/"&amp;C852&amp;"/","Open PubMed")</x:f>
        <x:v>HYPERLINK is not implemented. linkLocation=https://pubmed.ncbi.nlm.nih.gov/20496973/, friendlyName=Open PubMed</x:v>
      </x:c>
    </x:row>
    <x:row r="853">
      <x:c r="A853" s="26" t="str">
        <x:v>PUBMED-20495989</x:v>
      </x:c>
      <x:c r="B853" s="26" t="n">
        <x:v>2010</x:v>
      </x:c>
      <x:c r="C853" s="26" t="str">
        <x:v>20495989</x:v>
      </x:c>
      <x:c r="D853" s="28" t="str">
        <x:v>Attention-deficit/hyperactivity disorder in the offspring following prenatal maternal bereavement: a nationwide follow-up study in Denmark.</x:v>
      </x:c>
      <x:c r="E853" s="28" t="str">
        <x:v>Primary study - cohort</x:v>
      </x:c>
      <x:c r="F853" s="28" t="str">
        <x:v>Development &amp; presentation; Social &amp; structural; Environmental &amp; lifestyle; Treatment &amp; support</x:v>
      </x:c>
      <x:c r="G853" s="28" t="str">
        <x:v>Childhood</x:v>
      </x:c>
      <x:c r="H853" s="28" t="str">
        <x:v>Later specialized</x:v>
      </x:c>
      <x:c r="I853" s="28" t="str">
        <x:v>Direct or strongly ADHD-related record retained for later screening; typically narrower treatment, biomarker, mechanistic, or single-comorbidity focus.</x:v>
      </x:c>
      <x:c r="J853" s="38" t="e">
        <x:f>HYPERLINK("https://pubmed.ncbi.nlm.nih.gov/"&amp;C853&amp;"/","Open PubMed")</x:f>
        <x:v>HYPERLINK is not implemented. linkLocation=https://pubmed.ncbi.nlm.nih.gov/20495989/, friendlyName=Open PubMed</x:v>
      </x:c>
    </x:row>
    <x:row r="854">
      <x:c r="A854" s="26" t="str">
        <x:v>PUBMED-20493669</x:v>
      </x:c>
      <x:c r="B854" s="26" t="n">
        <x:v>2010</x:v>
      </x:c>
      <x:c r="C854" s="26" t="str">
        <x:v>20493669</x:v>
      </x:c>
      <x:c r="D854" s="28" t="str">
        <x:v>Behavioral performance predicts grey matter reductions in the right inferior frontal gyrus in young adults with combined type ADHD.</x:v>
      </x:c>
      <x:c r="E854" s="28" t="str">
        <x:v>Primary/contextual journal article</x:v>
      </x:c>
      <x:c r="F854" s="28" t="str">
        <x:v>Development &amp; presentation; Treatment &amp; support</x:v>
      </x:c>
      <x:c r="G854" s="28" t="str">
        <x:v>Adolescence; Adulthood</x:v>
      </x:c>
      <x:c r="H854" s="28" t="str">
        <x:v>Later specialized</x:v>
      </x:c>
      <x:c r="I854" s="28" t="str">
        <x:v>Direct or strongly ADHD-related record retained for later screening; typically narrower treatment, biomarker, mechanistic, or single-comorbidity focus.</x:v>
      </x:c>
      <x:c r="J854" s="38" t="e">
        <x:f>HYPERLINK("https://pubmed.ncbi.nlm.nih.gov/"&amp;C854&amp;"/","Open PubMed")</x:f>
        <x:v>HYPERLINK is not implemented. linkLocation=https://pubmed.ncbi.nlm.nih.gov/20493669/, friendlyName=Open PubMed</x:v>
      </x:c>
    </x:row>
    <x:row r="855">
      <x:c r="A855" s="26" t="str">
        <x:v>PUBMED-20493538</x:v>
      </x:c>
      <x:c r="B855" s="26" t="n">
        <x:v>2010</x:v>
      </x:c>
      <x:c r="C855" s="26" t="str">
        <x:v>20493538</x:v>
      </x:c>
      <x:c r="D855" s="28" t="str">
        <x:v>Striatal volume changes in a rat model of childhood attention-deficit/hyperactivity disorder.</x:v>
      </x:c>
      <x:c r="E855" s="28" t="str">
        <x:v>Primary/contextual journal article</x:v>
      </x:c>
      <x:c r="F855" s="28" t="str">
        <x:v>Development &amp; presentation; Social &amp; structural</x:v>
      </x:c>
      <x:c r="G855" s="28" t="str">
        <x:v>Childhood</x:v>
      </x:c>
      <x:c r="H855" s="28" t="str">
        <x:v>Exclude/incidental</x:v>
      </x:c>
      <x:c r="I855" s="28" t="str">
        <x:v>Animal-only record; retained outside the human-focused core corpus.</x:v>
      </x:c>
      <x:c r="J855" s="38" t="e">
        <x:f>HYPERLINK("https://pubmed.ncbi.nlm.nih.gov/"&amp;C855&amp;"/","Open PubMed")</x:f>
        <x:v>HYPERLINK is not implemented. linkLocation=https://pubmed.ncbi.nlm.nih.gov/20493538/, friendlyName=Open PubMed</x:v>
      </x:c>
    </x:row>
    <x:row r="856">
      <x:c r="A856" s="26" t="str">
        <x:v>PUBMED-20493333</x:v>
      </x:c>
      <x:c r="B856" s="26" t="n">
        <x:v>2010</x:v>
      </x:c>
      <x:c r="C856" s="26" t="str">
        <x:v>20493333</x:v>
      </x:c>
      <x:c r="D856" s="28" t="str">
        <x:v>Complementary and alternative medicine usage for behavioral health indications.</x:v>
      </x:c>
      <x:c r="E856" s="28" t="str">
        <x:v>Evidence synthesis - review</x:v>
      </x:c>
      <x:c r="F856" s="28" t="str">
        <x:v>Development &amp; presentation; Social &amp; structural; Environmental &amp; lifestyle; Treatment &amp; support</x:v>
      </x:c>
      <x:c r="G856" s="28" t="str">
        <x:v>Not specified</x:v>
      </x:c>
      <x:c r="H856" s="28" t="str">
        <x:v>Later specialized</x:v>
      </x:c>
      <x:c r="I856" s="28" t="str">
        <x:v>Direct or strongly ADHD-related record retained for later screening; typically narrower treatment, biomarker, mechanistic, or single-comorbidity focus.</x:v>
      </x:c>
      <x:c r="J856" s="38" t="e">
        <x:f>HYPERLINK("https://pubmed.ncbi.nlm.nih.gov/"&amp;C856&amp;"/","Open PubMed")</x:f>
        <x:v>HYPERLINK is not implemented. linkLocation=https://pubmed.ncbi.nlm.nih.gov/20493333/, friendlyName=Open PubMed</x:v>
      </x:c>
    </x:row>
    <x:row r="857">
      <x:c r="A857" s="26" t="str">
        <x:v>PUBMED-20479474</x:v>
      </x:c>
      <x:c r="B857" s="26" t="n">
        <x:v>2010</x:v>
      </x:c>
      <x:c r="C857" s="26" t="str">
        <x:v>20479474</x:v>
      </x:c>
      <x:c r="D857" s="28" t="str">
        <x:v>An exploratory study of substance use and misuse among college students with and without ADHD and other disabilities.</x:v>
      </x:c>
      <x:c r="E857" s="28" t="str">
        <x:v>Primary/contextual journal article</x:v>
      </x:c>
      <x:c r="F857" s="28" t="str">
        <x:v>Development &amp; presentation; Recognition &amp; diagnosis; Social &amp; structural; Environmental &amp; lifestyle; Treatment &amp; support; Life outcomes &amp; lived experience</x:v>
      </x:c>
      <x:c r="G857" s="28" t="str">
        <x:v>Not specified</x:v>
      </x:c>
      <x:c r="H857" s="28" t="str">
        <x:v>Later specialized</x:v>
      </x:c>
      <x:c r="I857" s="28" t="str">
        <x:v>Direct or strongly ADHD-related record retained for later screening; typically narrower treatment, biomarker, mechanistic, or single-comorbidity focus.</x:v>
      </x:c>
      <x:c r="J857" s="38" t="e">
        <x:f>HYPERLINK("https://pubmed.ncbi.nlm.nih.gov/"&amp;C857&amp;"/","Open PubMed")</x:f>
        <x:v>HYPERLINK is not implemented. linkLocation=https://pubmed.ncbi.nlm.nih.gov/20479474/, friendlyName=Open PubMed</x:v>
      </x:c>
    </x:row>
    <x:row r="858">
      <x:c r="A858" s="26" t="str">
        <x:v>PUBMED-20477821</x:v>
      </x:c>
      <x:c r="B858" s="26" t="n">
        <x:v>2010</x:v>
      </x:c>
      <x:c r="C858" s="26" t="str">
        <x:v>20477821</x:v>
      </x:c>
      <x:c r="D858" s="28" t="str">
        <x:v>Antihypertensive treatment during pregnancy and functional development at primary school age in a historical cohort study.</x:v>
      </x:c>
      <x:c r="E858" s="28" t="str">
        <x:v>Primary study - cohort</x:v>
      </x:c>
      <x:c r="F858" s="28" t="str">
        <x:v>Development &amp; presentation; Family &amp; education; Social &amp; structural; Environmental &amp; lifestyle; Treatment &amp; support; Life outcomes &amp; lived experience; Historical &amp; contemporary context</x:v>
      </x:c>
      <x:c r="G858" s="28" t="str">
        <x:v>Childhood</x:v>
      </x:c>
      <x:c r="H858" s="28" t="str">
        <x:v>Later specialized</x:v>
      </x:c>
      <x:c r="I858" s="28" t="str">
        <x:v>Direct or strongly ADHD-related record retained for later screening; typically narrower treatment, biomarker, mechanistic, or single-comorbidity focus.</x:v>
      </x:c>
      <x:c r="J858" s="38" t="e">
        <x:f>HYPERLINK("https://pubmed.ncbi.nlm.nih.gov/"&amp;C858&amp;"/","Open PubMed")</x:f>
        <x:v>HYPERLINK is not implemented. linkLocation=https://pubmed.ncbi.nlm.nih.gov/20477821/, friendlyName=Open PubMed</x:v>
      </x:c>
    </x:row>
    <x:row r="859">
      <x:c r="A859" s="26" t="str">
        <x:v>PUBMED-20473204</x:v>
      </x:c>
      <x:c r="B859" s="26" t="n">
        <x:v>2010</x:v>
      </x:c>
      <x:c r="C859" s="26" t="str">
        <x:v>20473204</x:v>
      </x:c>
      <x:c r="D859" s="28" t="str">
        <x:v>Distributed health data networks: a practical and preferred approach to multi-institutional evaluations of comparative effectiveness, safety, and quality of care.</x:v>
      </x:c>
      <x:c r="E859" s="28" t="str">
        <x:v>Primary/contextual journal article</x:v>
      </x:c>
      <x:c r="F859" s="28" t="str">
        <x:v>Development &amp; presentation; Recognition &amp; diagnosis; Family &amp; education; Social &amp; structural; Treatment &amp; support; Life outcomes &amp; lived experience</x:v>
      </x:c>
      <x:c r="G859" s="28" t="str">
        <x:v>Childhood; Adolescence; Adulthood</x:v>
      </x:c>
      <x:c r="H859" s="28" t="str">
        <x:v>Exclude/incidental</x:v>
      </x:c>
      <x:c r="I859" s="28" t="str">
        <x:v>ADHD appears peripheral or insufficiently aligned with the requested corpus scope based on accessible metadata/abstract.</x:v>
      </x:c>
      <x:c r="J859" s="38" t="e">
        <x:f>HYPERLINK("https://pubmed.ncbi.nlm.nih.gov/"&amp;C859&amp;"/","Open PubMed")</x:f>
        <x:v>HYPERLINK is not implemented. linkLocation=https://pubmed.ncbi.nlm.nih.gov/20473204/, friendlyName=Open PubMed</x:v>
      </x:c>
    </x:row>
    <x:row r="860">
      <x:c r="A860" s="26" t="str">
        <x:v>PUBMED-20470849</x:v>
      </x:c>
      <x:c r="B860" s="26" t="n">
        <x:v>2010</x:v>
      </x:c>
      <x:c r="C860" s="26" t="str">
        <x:v>20470849</x:v>
      </x:c>
      <x:c r="D860" s="28" t="str">
        <x:v>A case-control association study of serotonin 1A receptor gene and tryptophan hydroxylase 2 gene in attention deficit hyperactivity disorder.</x:v>
      </x:c>
      <x:c r="E860" s="28" t="str">
        <x:v>Primary study - case-control</x:v>
      </x:c>
      <x:c r="F860" s="28" t="str">
        <x:v>Development &amp; presentation; Recognition &amp; diagnosis; Family &amp; education</x:v>
      </x:c>
      <x:c r="G860" s="28" t="str">
        <x:v>Childhood; Adolescence</x:v>
      </x:c>
      <x:c r="H860" s="28" t="str">
        <x:v>Later specialized</x:v>
      </x:c>
      <x:c r="I860" s="28" t="str">
        <x:v>Direct or strongly ADHD-related record retained for later screening; typically narrower treatment, biomarker, mechanistic, or single-comorbidity focus.</x:v>
      </x:c>
      <x:c r="J860" s="38" t="e">
        <x:f>HYPERLINK("https://pubmed.ncbi.nlm.nih.gov/"&amp;C860&amp;"/","Open PubMed")</x:f>
        <x:v>HYPERLINK is not implemented. linkLocation=https://pubmed.ncbi.nlm.nih.gov/20470849/, friendlyName=Open PubMed</x:v>
      </x:c>
    </x:row>
    <x:row r="861">
      <x:c r="A861" s="26" t="str">
        <x:v>PUBMED-20467954</x:v>
      </x:c>
      <x:c r="B861" s="26" t="n">
        <x:v>2010</x:v>
      </x:c>
      <x:c r="C861" s="26" t="str">
        <x:v>20467954</x:v>
      </x:c>
      <x:c r="D861" s="28" t="str">
        <x:v>Frequency of attention deficit in first-episode schizophrenia compared to ADHD.</x:v>
      </x:c>
      <x:c r="E861" s="28" t="str">
        <x:v>Primary/contextual journal article</x:v>
      </x:c>
      <x:c r="F861" s="28" t="str">
        <x:v>Development &amp; presentation; Recognition &amp; diagnosis; Social &amp; structural; Life outcomes &amp; lived experience</x:v>
      </x:c>
      <x:c r="G861" s="28" t="str">
        <x:v>Adulthood</x:v>
      </x:c>
      <x:c r="H861" s="28" t="str">
        <x:v>Later specialized</x:v>
      </x:c>
      <x:c r="I861" s="28" t="str">
        <x:v>Direct or strongly ADHD-related record retained for later screening; typically narrower treatment, biomarker, mechanistic, or single-comorbidity focus.</x:v>
      </x:c>
      <x:c r="J861" s="38" t="e">
        <x:f>HYPERLINK("https://pubmed.ncbi.nlm.nih.gov/"&amp;C861&amp;"/","Open PubMed")</x:f>
        <x:v>HYPERLINK is not implemented. linkLocation=https://pubmed.ncbi.nlm.nih.gov/20467954/, friendlyName=Open PubMed</x:v>
      </x:c>
    </x:row>
    <x:row r="862">
      <x:c r="A862" s="26" t="str">
        <x:v>PUBMED-20467805</x:v>
      </x:c>
      <x:c r="B862" s="26" t="n">
        <x:v>2010</x:v>
      </x:c>
      <x:c r="C862" s="26" t="str">
        <x:v>20467805</x:v>
      </x:c>
      <x:c r="D862" s="28" t="str">
        <x:v>Neurocognitive performance in children with ADHD and OCD.</x:v>
      </x:c>
      <x:c r="E862" s="28" t="str">
        <x:v>Primary/contextual journal article</x:v>
      </x:c>
      <x:c r="F862" s="28" t="str">
        <x:v>Development &amp; presentation; Recognition &amp; diagnosis; Family &amp; education; Social &amp; structural</x:v>
      </x:c>
      <x:c r="G862" s="28" t="str">
        <x:v>Childhood; Adolescence</x:v>
      </x:c>
      <x:c r="H862" s="28" t="str">
        <x:v>Later specialized</x:v>
      </x:c>
      <x:c r="I862" s="28" t="str">
        <x:v>Direct or strongly ADHD-related record retained for later screening; typically narrower treatment, biomarker, mechanistic, or single-comorbidity focus.</x:v>
      </x:c>
      <x:c r="J862" s="38" t="e">
        <x:f>HYPERLINK("https://pubmed.ncbi.nlm.nih.gov/"&amp;C862&amp;"/","Open PubMed")</x:f>
        <x:v>HYPERLINK is not implemented. linkLocation=https://pubmed.ncbi.nlm.nih.gov/20467805/, friendlyName=Open PubMed</x:v>
      </x:c>
    </x:row>
    <x:row r="863">
      <x:c r="A863" s="26" t="str">
        <x:v>PUBMED-20459369</x:v>
      </x:c>
      <x:c r="B863" s="26" t="n">
        <x:v>2010</x:v>
      </x:c>
      <x:c r="C863" s="26" t="str">
        <x:v>20459369</x:v>
      </x:c>
      <x:c r="D863" s="28" t="str">
        <x:v>WFSBP treatment guidelines for the biological treatment of paraphilias.</x:v>
      </x:c>
      <x:c r="E863" s="28" t="str">
        <x:v>Contextual - editorial/comment</x:v>
      </x:c>
      <x:c r="F863" s="28" t="str">
        <x:v>Development &amp; presentation; Recognition &amp; diagnosis; Social &amp; structural; Treatment &amp; support</x:v>
      </x:c>
      <x:c r="G863" s="28" t="str">
        <x:v>Childhood</x:v>
      </x:c>
      <x:c r="H863" s="28" t="str">
        <x:v>Exclude/incidental</x:v>
      </x:c>
      <x:c r="I863" s="28" t="str">
        <x:v>ADHD appears peripheral or insufficiently aligned with the requested corpus scope based on accessible metadata/abstract.</x:v>
      </x:c>
      <x:c r="J863" s="38" t="e">
        <x:f>HYPERLINK("https://pubmed.ncbi.nlm.nih.gov/"&amp;C863&amp;"/","Open PubMed")</x:f>
        <x:v>HYPERLINK is not implemented. linkLocation=https://pubmed.ncbi.nlm.nih.gov/20459369/, friendlyName=Open PubMed</x:v>
      </x:c>
    </x:row>
    <x:row r="864">
      <x:c r="A864" s="26" t="str">
        <x:v>PUBMED-20452366</x:v>
      </x:c>
      <x:c r="B864" s="26" t="n">
        <x:v>2010</x:v>
      </x:c>
      <x:c r="C864" s="26" t="str">
        <x:v>20452366</x:v>
      </x:c>
      <x:c r="D864" s="28" t="str">
        <x:v>Failures of sustained attention in life, lab, and brain: ecological validity of the SART.</x:v>
      </x:c>
      <x:c r="E864" s="28" t="str">
        <x:v>Evidence synthesis - meta-analysis</x:v>
      </x:c>
      <x:c r="F864" s="28" t="str">
        <x:v>Development &amp; presentation</x:v>
      </x:c>
      <x:c r="G864" s="28" t="str">
        <x:v>Adulthood</x:v>
      </x:c>
      <x:c r="H864" s="28" t="str">
        <x:v>Later specialized</x:v>
      </x:c>
      <x:c r="I864" s="28" t="str">
        <x:v>Direct or strongly ADHD-related record retained for later screening; typically narrower treatment, biomarker, mechanistic, or single-comorbidity focus.</x:v>
      </x:c>
      <x:c r="J864" s="38" t="e">
        <x:f>HYPERLINK("https://pubmed.ncbi.nlm.nih.gov/"&amp;C864&amp;"/","Open PubMed")</x:f>
        <x:v>HYPERLINK is not implemented. linkLocation=https://pubmed.ncbi.nlm.nih.gov/20452366/, friendlyName=Open PubMed</x:v>
      </x:c>
    </x:row>
    <x:row r="865">
      <x:c r="A865" s="26" t="str">
        <x:v>PUBMED-20451036</x:v>
      </x:c>
      <x:c r="B865" s="26" t="n">
        <x:v>2010</x:v>
      </x:c>
      <x:c r="C865" s="26" t="str">
        <x:v>20451036</x:v>
      </x:c>
      <x:c r="D865" s="28" t="str">
        <x:v>Attention-deficit/hyperactivity disorder and sleep disorders in children.</x:v>
      </x:c>
      <x:c r="E865" s="28" t="str">
        <x:v>Evidence synthesis - review</x:v>
      </x:c>
      <x:c r="F865" s="28" t="str">
        <x:v>Development &amp; presentation; Recognition &amp; diagnosis; Family &amp; education; Social &amp; structural; Environmental &amp; lifestyle; Treatment &amp; support; Life outcomes &amp; lived experience</x:v>
      </x:c>
      <x:c r="G865" s="28" t="str">
        <x:v>Childhood; Adolescence; Adulthood</x:v>
      </x:c>
      <x:c r="H865" s="28" t="str">
        <x:v>Later specialized</x:v>
      </x:c>
      <x:c r="I865" s="28" t="str">
        <x:v>Direct or strongly ADHD-related record retained for later screening; typically narrower treatment, biomarker, mechanistic, or single-comorbidity focus.</x:v>
      </x:c>
      <x:c r="J865" s="38" t="e">
        <x:f>HYPERLINK("https://pubmed.ncbi.nlm.nih.gov/"&amp;C865&amp;"/","Open PubMed")</x:f>
        <x:v>HYPERLINK is not implemented. linkLocation=https://pubmed.ncbi.nlm.nih.gov/20451036/, friendlyName=Open PubMed</x:v>
      </x:c>
    </x:row>
    <x:row r="866">
      <x:c r="A866" s="26" t="str">
        <x:v>PUBMED-20451024</x:v>
      </x:c>
      <x:c r="B866" s="26" t="n">
        <x:v>2010</x:v>
      </x:c>
      <x:c r="C866" s="26" t="str">
        <x:v>20451024</x:v>
      </x:c>
      <x:c r="D866" s="28" t="str">
        <x:v>Preface sleep medicine--a challenging field with many new findings.</x:v>
      </x:c>
      <x:c r="E866" s="28" t="str">
        <x:v>Primary/contextual journal article</x:v>
      </x:c>
      <x:c r="F866" s="28" t="str">
        <x:v>Development &amp; presentation; Environmental &amp; lifestyle; Treatment &amp; support</x:v>
      </x:c>
      <x:c r="G866" s="28" t="str">
        <x:v>Not specified</x:v>
      </x:c>
      <x:c r="H866" s="28" t="str">
        <x:v>Exclude/incidental</x:v>
      </x:c>
      <x:c r="I866" s="28" t="str">
        <x:v>ADHD appears peripheral or insufficiently aligned with the requested corpus scope based on accessible metadata/abstract.</x:v>
      </x:c>
      <x:c r="J866" s="38" t="e">
        <x:f>HYPERLINK("https://pubmed.ncbi.nlm.nih.gov/"&amp;C866&amp;"/","Open PubMed")</x:f>
        <x:v>HYPERLINK is not implemented. linkLocation=https://pubmed.ncbi.nlm.nih.gov/20451024/, friendlyName=Open PubMed</x:v>
      </x:c>
    </x:row>
    <x:row r="867">
      <x:c r="A867" s="26" t="str">
        <x:v>PUBMED-20450954</x:v>
      </x:c>
      <x:c r="B867" s="26" t="n">
        <x:v>2010</x:v>
      </x:c>
      <x:c r="C867" s="26" t="str">
        <x:v>20450954</x:v>
      </x:c>
      <x:c r="D867" s="28" t="str">
        <x:v>Variants of the SLC6A3 (DAT1) polymorphism affect performance monitoring-related cortical evoked potentials that are associated with ADHD.</x:v>
      </x:c>
      <x:c r="E867" s="28" t="str">
        <x:v>Primary/contextual journal article</x:v>
      </x:c>
      <x:c r="F867" s="28" t="str">
        <x:v>Development &amp; presentation; Recognition &amp; diagnosis; Family &amp; education; Life outcomes &amp; lived experience</x:v>
      </x:c>
      <x:c r="G867" s="28" t="str">
        <x:v>Childhood; Adolescence</x:v>
      </x:c>
      <x:c r="H867" s="28" t="str">
        <x:v>Later specialized</x:v>
      </x:c>
      <x:c r="I867" s="28" t="str">
        <x:v>Direct or strongly ADHD-related record retained for later screening; typically narrower treatment, biomarker, mechanistic, or single-comorbidity focus.</x:v>
      </x:c>
      <x:c r="J867" s="38" t="e">
        <x:f>HYPERLINK("https://pubmed.ncbi.nlm.nih.gov/"&amp;C867&amp;"/","Open PubMed")</x:f>
        <x:v>HYPERLINK is not implemented. linkLocation=https://pubmed.ncbi.nlm.nih.gov/20450954/, friendlyName=Open PubMed</x:v>
      </x:c>
    </x:row>
    <x:row r="868">
      <x:c r="A868" s="26" t="str">
        <x:v>PUBMED-20445837</x:v>
      </x:c>
      <x:c r="B868" s="26" t="n">
        <x:v>2010</x:v>
      </x:c>
      <x:c r="C868" s="26" t="str">
        <x:v>20445837</x:v>
      </x:c>
      <x:c r="D868" s="28" t="str">
        <x:v>Personality disorders in ADHD Part 3: Personality disorder, social adjustment, and their relation to dimensions of adult ADHD.</x:v>
      </x:c>
      <x:c r="E868" s="28" t="str">
        <x:v>Primary/contextual journal article</x:v>
      </x:c>
      <x:c r="F868" s="28" t="str">
        <x:v>Development &amp; presentation; Recognition &amp; diagnosis; Family &amp; education; Social &amp; structural; Treatment &amp; support; Life outcomes &amp; lived experience</x:v>
      </x:c>
      <x:c r="G868" s="28" t="str">
        <x:v>Childhood; Adulthood</x:v>
      </x:c>
      <x:c r="H868" s="28" t="str">
        <x:v>Later specialized</x:v>
      </x:c>
      <x:c r="I868" s="28" t="str">
        <x:v>Direct or strongly ADHD-related record retained for later screening; typically narrower treatment, biomarker, mechanistic, or single-comorbidity focus.</x:v>
      </x:c>
      <x:c r="J868" s="38" t="e">
        <x:f>HYPERLINK("https://pubmed.ncbi.nlm.nih.gov/"&amp;C868&amp;"/","Open PubMed")</x:f>
        <x:v>HYPERLINK is not implemented. linkLocation=https://pubmed.ncbi.nlm.nih.gov/20445837/, friendlyName=Open PubMed</x:v>
      </x:c>
    </x:row>
    <x:row r="869">
      <x:c r="A869" s="26" t="str">
        <x:v>PUBMED-20445835</x:v>
      </x:c>
      <x:c r="B869" s="26" t="n">
        <x:v>2010</x:v>
      </x:c>
      <x:c r="C869" s="26" t="str">
        <x:v>20445835</x:v>
      </x:c>
      <x:c r="D869" s="28" t="str">
        <x:v>Personality disorder in ADHD Part 1: Assessment of personality disorder in adult ADHD using data from a clinical trial of OROS methylphenidate.</x:v>
      </x:c>
      <x:c r="E869" s="28" t="str">
        <x:v>Primary/contextual journal article</x:v>
      </x:c>
      <x:c r="F869" s="28" t="str">
        <x:v>Development &amp; presentation; Recognition &amp; diagnosis; Family &amp; education; Social &amp; structural; Treatment &amp; support</x:v>
      </x:c>
      <x:c r="G869" s="28" t="str">
        <x:v>Adulthood</x:v>
      </x:c>
      <x:c r="H869" s="28" t="str">
        <x:v>Later specialized</x:v>
      </x:c>
      <x:c r="I869" s="28" t="str">
        <x:v>Direct or strongly ADHD-related record retained for later screening; typically narrower treatment, biomarker, mechanistic, or single-comorbidity focus.</x:v>
      </x:c>
      <x:c r="J869" s="38" t="e">
        <x:f>HYPERLINK("https://pubmed.ncbi.nlm.nih.gov/"&amp;C869&amp;"/","Open PubMed")</x:f>
        <x:v>HYPERLINK is not implemented. linkLocation=https://pubmed.ncbi.nlm.nih.gov/20445835/, friendlyName=Open PubMed</x:v>
      </x:c>
    </x:row>
    <x:row r="870">
      <x:c r="A870" s="26" t="str">
        <x:v>PUBMED-20443244</x:v>
      </x:c>
      <x:c r="B870" s="26" t="n">
        <x:v>2010</x:v>
      </x:c>
      <x:c r="C870" s="26" t="str">
        <x:v>20443244</x:v>
      </x:c>
      <x:c r="D870" s="28" t="str">
        <x:v>[Attention deficit hyperactivity disorder: problems in a family and family therapy].</x:v>
      </x:c>
      <x:c r="E870" s="28" t="str">
        <x:v>Evidence synthesis - review</x:v>
      </x:c>
      <x:c r="F870" s="28" t="str">
        <x:v>Development &amp; presentation; Family &amp; education; Social &amp; structural; Treatment &amp; support</x:v>
      </x:c>
      <x:c r="G870" s="28" t="str">
        <x:v>Childhood</x:v>
      </x:c>
      <x:c r="H870" s="28" t="str">
        <x:v>Later specialized</x:v>
      </x:c>
      <x:c r="I870" s="28" t="str">
        <x:v>Direct or strongly ADHD-related record retained for later screening; typically narrower treatment, biomarker, mechanistic, or single-comorbidity focus.</x:v>
      </x:c>
      <x:c r="J870" s="38" t="e">
        <x:f>HYPERLINK("https://pubmed.ncbi.nlm.nih.gov/"&amp;C870&amp;"/","Open PubMed")</x:f>
        <x:v>HYPERLINK is not implemented. linkLocation=https://pubmed.ncbi.nlm.nih.gov/20443244/, friendlyName=Open PubMed</x:v>
      </x:c>
    </x:row>
    <x:row r="871">
      <x:c r="A871" s="26" t="str">
        <x:v>PUBMED-20441004</x:v>
      </x:c>
      <x:c r="B871" s="26" t="n">
        <x:v>2010</x:v>
      </x:c>
      <x:c r="C871" s="26" t="str">
        <x:v>20441004</x:v>
      </x:c>
      <x:c r="D871" s="28" t="str">
        <x:v>Can we prevent smoking in children with ADHD: a review of the literature.</x:v>
      </x:c>
      <x:c r="E871" s="28" t="str">
        <x:v>Evidence synthesis - review</x:v>
      </x:c>
      <x:c r="F871" s="28" t="str">
        <x:v>Development &amp; presentation; Social &amp; structural; Environmental &amp; lifestyle; Treatment &amp; support; Life outcomes &amp; lived experience</x:v>
      </x:c>
      <x:c r="G871" s="28" t="str">
        <x:v>Childhood; Adolescence; Adulthood</x:v>
      </x:c>
      <x:c r="H871" s="28" t="str">
        <x:v>Batch 1 core</x:v>
      </x:c>
      <x:c r="I871" s="28" t="str">
        <x:v>Direct ADHD evidence synthesis/guideline with broad multi-topic relevance.</x:v>
      </x:c>
      <x:c r="J871" s="38" t="e">
        <x:f>HYPERLINK("https://pubmed.ncbi.nlm.nih.gov/"&amp;C871&amp;"/","Open PubMed")</x:f>
        <x:v>HYPERLINK is not implemented. linkLocation=https://pubmed.ncbi.nlm.nih.gov/20441004/, friendlyName=Open PubMed</x:v>
      </x:c>
    </x:row>
    <x:row r="872">
      <x:c r="A872" s="26" t="str">
        <x:v>PUBMED-20438138</x:v>
      </x:c>
      <x:c r="B872" s="26" t="n">
        <x:v>2010</x:v>
      </x:c>
      <x:c r="C872" s="26" t="str">
        <x:v>20438138</x:v>
      </x:c>
      <x:c r="D872" s="28" t="str">
        <x:v>Are there shared environmental influences on attention-deficit/hyperactivity disorder? Reply to Wood, Buitelaar, Rijsdijk, Asherson, and Kuntsi [corrected] (2010).</x:v>
      </x:c>
      <x:c r="E872" s="28" t="str">
        <x:v>Evidence synthesis - meta-analysis</x:v>
      </x:c>
      <x:c r="F872" s="28" t="str">
        <x:v>Development &amp; presentation; Recognition &amp; diagnosis; Family &amp; education; Social &amp; structural; Environmental &amp; lifestyle; Historical &amp; contemporary context</x:v>
      </x:c>
      <x:c r="G872" s="28" t="str">
        <x:v>Childhood; Adolescence</x:v>
      </x:c>
      <x:c r="H872" s="28" t="str">
        <x:v>Later specialized</x:v>
      </x:c>
      <x:c r="I872" s="28" t="str">
        <x:v>Direct or strongly ADHD-related record retained for later screening; typically narrower treatment, biomarker, mechanistic, or single-comorbidity focus.</x:v>
      </x:c>
      <x:c r="J872" s="38" t="e">
        <x:f>HYPERLINK("https://pubmed.ncbi.nlm.nih.gov/"&amp;C872&amp;"/","Open PubMed")</x:f>
        <x:v>HYPERLINK is not implemented. linkLocation=https://pubmed.ncbi.nlm.nih.gov/20438138/, friendlyName=Open PubMed</x:v>
      </x:c>
    </x:row>
    <x:row r="873">
      <x:c r="A873" s="26" t="str">
        <x:v>PUBMED-23858580</x:v>
      </x:c>
      <x:c r="B873" s="26" t="n">
        <x:v>2010</x:v>
      </x:c>
      <x:c r="C873" s="26" t="str">
        <x:v>23858580</x:v>
      </x:c>
      <x:c r="D873" s="28" t="str">
        <x:v>[The practice and problem of therapeutic agents for AD/HD].</x:v>
      </x:c>
      <x:c r="E873" s="28" t="str">
        <x:v>Evidence synthesis - review</x:v>
      </x:c>
      <x:c r="F873" s="28" t="str">
        <x:v>Development &amp; presentation; Recognition &amp; diagnosis; Social &amp; structural; Treatment &amp; support; Life outcomes &amp; lived experience</x:v>
      </x:c>
      <x:c r="G873" s="28" t="str">
        <x:v>Childhood</x:v>
      </x:c>
      <x:c r="H873" s="28" t="str">
        <x:v>Exclude/incidental</x:v>
      </x:c>
      <x:c r="I873" s="28" t="str">
        <x:v>ADHD appears peripheral or insufficiently aligned with the requested corpus scope based on accessible metadata/abstract.</x:v>
      </x:c>
      <x:c r="J873" s="38" t="e">
        <x:f>HYPERLINK("https://pubmed.ncbi.nlm.nih.gov/"&amp;C873&amp;"/","Open PubMed")</x:f>
        <x:v>HYPERLINK is not implemented. linkLocation=https://pubmed.ncbi.nlm.nih.gov/23858580/, friendlyName=Open PubMed</x:v>
      </x:c>
    </x:row>
    <x:row r="874">
      <x:c r="A874" s="26" t="str">
        <x:v>PUBMED-20423340</x:v>
      </x:c>
      <x:c r="B874" s="26" t="n">
        <x:v>2010</x:v>
      </x:c>
      <x:c r="C874" s="26" t="str">
        <x:v>20423340</x:v>
      </x:c>
      <x:c r="D874" s="28" t="str">
        <x:v>Atomoxetine acts as an NMDA receptor blocker in clinically relevant concentrations.</x:v>
      </x:c>
      <x:c r="E874" s="28" t="str">
        <x:v>Primary/contextual journal article</x:v>
      </x:c>
      <x:c r="F874" s="28" t="str">
        <x:v>Development &amp; presentation; Social &amp; structural; Treatment &amp; support</x:v>
      </x:c>
      <x:c r="G874" s="28" t="str">
        <x:v>Not specified</x:v>
      </x:c>
      <x:c r="H874" s="28" t="str">
        <x:v>Later specialized</x:v>
      </x:c>
      <x:c r="I874" s="28" t="str">
        <x:v>Direct or strongly ADHD-related record retained for later screening; typically narrower treatment, biomarker, mechanistic, or single-comorbidity focus.</x:v>
      </x:c>
      <x:c r="J874" s="38" t="e">
        <x:f>HYPERLINK("https://pubmed.ncbi.nlm.nih.gov/"&amp;C874&amp;"/","Open PubMed")</x:f>
        <x:v>HYPERLINK is not implemented. linkLocation=https://pubmed.ncbi.nlm.nih.gov/20423340/, friendlyName=Open PubMed</x:v>
      </x:c>
    </x:row>
    <x:row r="875">
      <x:c r="A875" s="26" t="str">
        <x:v>PUBMED-20421953</x:v>
      </x:c>
      <x:c r="B875" s="26" t="n">
        <x:v>2010</x:v>
      </x:c>
      <x:c r="C875" s="26" t="str">
        <x:v>20421953</x:v>
      </x:c>
      <x:c r="D875" s="28" t="str">
        <x:v>Neuronal correlates of ADHD in adults with evidence for compensation strategies--a functional MRI study with a Go/No-Go paradigm.</x:v>
      </x:c>
      <x:c r="E875" s="28" t="str">
        <x:v>Primary/contextual journal article</x:v>
      </x:c>
      <x:c r="F875" s="28" t="str">
        <x:v>Development &amp; presentation; Social &amp; structural; Treatment &amp; support</x:v>
      </x:c>
      <x:c r="G875" s="28" t="str">
        <x:v>Childhood; Adolescence; Adulthood</x:v>
      </x:c>
      <x:c r="H875" s="28" t="str">
        <x:v>Later specialized</x:v>
      </x:c>
      <x:c r="I875" s="28" t="str">
        <x:v>Direct or strongly ADHD-related record retained for later screening; typically narrower treatment, biomarker, mechanistic, or single-comorbidity focus.</x:v>
      </x:c>
      <x:c r="J875" s="38" t="e">
        <x:f>HYPERLINK("https://pubmed.ncbi.nlm.nih.gov/"&amp;C875&amp;"/","Open PubMed")</x:f>
        <x:v>HYPERLINK is not implemented. linkLocation=https://pubmed.ncbi.nlm.nih.gov/20421953/, friendlyName=Open PubMed</x:v>
      </x:c>
    </x:row>
    <x:row r="876">
      <x:c r="A876" s="26" t="str">
        <x:v>PUBMED-20419577</x:v>
      </x:c>
      <x:c r="B876" s="26" t="n">
        <x:v>2010</x:v>
      </x:c>
      <x:c r="C876" s="26" t="str">
        <x:v>20419577</x:v>
      </x:c>
      <x:c r="D876" s="28" t="str">
        <x:v>ADHD across cultures: is there evidence for a bidimensional organization of symptoms?</x:v>
      </x:c>
      <x:c r="E876" s="28" t="str">
        <x:v>Evidence synthesis - systematic review</x:v>
      </x:c>
      <x:c r="F876" s="28" t="str">
        <x:v>Development &amp; presentation; Recognition &amp; diagnosis; Family &amp; education; Social &amp; structural</x:v>
      </x:c>
      <x:c r="G876" s="28" t="str">
        <x:v>Childhood</x:v>
      </x:c>
      <x:c r="H876" s="28" t="str">
        <x:v>Later specialized</x:v>
      </x:c>
      <x:c r="I876" s="28" t="str">
        <x:v>Direct or strongly ADHD-related record retained for later screening; typically narrower treatment, biomarker, mechanistic, or single-comorbidity focus.</x:v>
      </x:c>
      <x:c r="J876" s="38" t="e">
        <x:f>HYPERLINK("https://pubmed.ncbi.nlm.nih.gov/"&amp;C876&amp;"/","Open PubMed")</x:f>
        <x:v>HYPERLINK is not implemented. linkLocation=https://pubmed.ncbi.nlm.nih.gov/20419577/, friendlyName=Open PubMed</x:v>
      </x:c>
    </x:row>
    <x:row r="877">
      <x:c r="A877" s="26" t="str">
        <x:v>PUBMED-20414504</x:v>
      </x:c>
      <x:c r="B877" s="26" t="n">
        <x:v>2010</x:v>
      </x:c>
      <x:c r="C877" s="26" t="str">
        <x:v>20414504</x:v>
      </x:c>
      <x:c r="D877" s="28" t="str">
        <x:v>[Psychometric properties of three rating scales for attention deficit hyperactivity disorder in Chilean students].</x:v>
      </x:c>
      <x:c r="E877" s="28" t="str">
        <x:v>Primary/contextual journal article</x:v>
      </x:c>
      <x:c r="F877" s="28" t="str">
        <x:v>Development &amp; presentation; Recognition &amp; diagnosis; Family &amp; education; Social &amp; structural</x:v>
      </x:c>
      <x:c r="G877" s="28" t="str">
        <x:v>Childhood</x:v>
      </x:c>
      <x:c r="H877" s="28" t="str">
        <x:v>Later specialized</x:v>
      </x:c>
      <x:c r="I877" s="28" t="str">
        <x:v>Direct or strongly ADHD-related record retained for later screening; typically narrower treatment, biomarker, mechanistic, or single-comorbidity focus.</x:v>
      </x:c>
      <x:c r="J877" s="38" t="e">
        <x:f>HYPERLINK("https://pubmed.ncbi.nlm.nih.gov/"&amp;C877&amp;"/","Open PubMed")</x:f>
        <x:v>HYPERLINK is not implemented. linkLocation=https://pubmed.ncbi.nlm.nih.gov/20414504/, friendlyName=Open PubMed</x:v>
      </x:c>
    </x:row>
    <x:row r="878">
      <x:c r="A878" s="26" t="str">
        <x:v>PUBMED-20414172</x:v>
      </x:c>
      <x:c r="B878" s="26" t="n">
        <x:v>2010</x:v>
      </x:c>
      <x:c r="C878" s="26" t="str">
        <x:v>20414172</x:v>
      </x:c>
      <x:c r="D878" s="28" t="str">
        <x:v>Cerebrotendinous xanthomatosis presenting with severe externalized disorder: improvement after one year of treatment with chenodeoxycholic Acid.</x:v>
      </x:c>
      <x:c r="E878" s="28" t="str">
        <x:v>Primary/contextual journal article</x:v>
      </x:c>
      <x:c r="F878" s="28" t="str">
        <x:v>Development &amp; presentation; Recognition &amp; diagnosis; Social &amp; structural; Treatment &amp; support</x:v>
      </x:c>
      <x:c r="G878" s="28" t="str">
        <x:v>Childhood; Adolescence</x:v>
      </x:c>
      <x:c r="H878" s="28" t="str">
        <x:v>Exclude/incidental</x:v>
      </x:c>
      <x:c r="I878" s="28" t="str">
        <x:v>ADHD appears peripheral or insufficiently aligned with the requested corpus scope based on accessible metadata/abstract.</x:v>
      </x:c>
      <x:c r="J878" s="38" t="e">
        <x:f>HYPERLINK("https://pubmed.ncbi.nlm.nih.gov/"&amp;C878&amp;"/","Open PubMed")</x:f>
        <x:v>HYPERLINK is not implemented. linkLocation=https://pubmed.ncbi.nlm.nih.gov/20414172/, friendlyName=Open PubMed</x:v>
      </x:c>
    </x:row>
    <x:row r="879">
      <x:c r="A879" s="26" t="str">
        <x:v>PUBMED-20413131</x:v>
      </x:c>
      <x:c r="B879" s="26" t="n">
        <x:v>2010</x:v>
      </x:c>
      <x:c r="C879" s="26" t="str">
        <x:v>20413131</x:v>
      </x:c>
      <x:c r="D879" s="28" t="str">
        <x:v>Revisiting the association between maternal smoking during pregnancy and ADHD.</x:v>
      </x:c>
      <x:c r="E879" s="28" t="str">
        <x:v>Primary/contextual journal article</x:v>
      </x:c>
      <x:c r="F879" s="28" t="str">
        <x:v>Development &amp; presentation; Recognition &amp; diagnosis; Social &amp; structural; Environmental &amp; lifestyle; Treatment &amp; support; Life outcomes &amp; lived experience; Historical &amp; contemporary context</x:v>
      </x:c>
      <x:c r="G879" s="28" t="str">
        <x:v>Adulthood</x:v>
      </x:c>
      <x:c r="H879" s="28" t="str">
        <x:v>Later specialized</x:v>
      </x:c>
      <x:c r="I879" s="28" t="str">
        <x:v>Direct or strongly ADHD-related record retained for later screening; typically narrower treatment, biomarker, mechanistic, or single-comorbidity focus.</x:v>
      </x:c>
      <x:c r="J879" s="38" t="e">
        <x:f>HYPERLINK("https://pubmed.ncbi.nlm.nih.gov/"&amp;C879&amp;"/","Open PubMed")</x:f>
        <x:v>HYPERLINK is not implemented. linkLocation=https://pubmed.ncbi.nlm.nih.gov/20413131/, friendlyName=Open PubMed</x:v>
      </x:c>
    </x:row>
    <x:row r="880">
      <x:c r="A880" s="26" t="str">
        <x:v>PUBMED-20412369</x:v>
      </x:c>
      <x:c r="B880" s="26" t="n">
        <x:v>2010</x:v>
      </x:c>
      <x:c r="C880" s="26" t="str">
        <x:v>20412369</x:v>
      </x:c>
      <x:c r="D880" s="28" t="str">
        <x:v>ADHD symptom presentation and trajectory in adults with borderline and mild intellectual disability.</x:v>
      </x:c>
      <x:c r="E880" s="28" t="str">
        <x:v>Primary/contextual journal article</x:v>
      </x:c>
      <x:c r="F880" s="28" t="str">
        <x:v>Development &amp; presentation; Recognition &amp; diagnosis; Social &amp; structural</x:v>
      </x:c>
      <x:c r="G880" s="28" t="str">
        <x:v>Childhood; Adulthood</x:v>
      </x:c>
      <x:c r="H880" s="28" t="str">
        <x:v>Later specialized</x:v>
      </x:c>
      <x:c r="I880" s="28" t="str">
        <x:v>Direct or strongly ADHD-related record retained for later screening; typically narrower treatment, biomarker, mechanistic, or single-comorbidity focus.</x:v>
      </x:c>
      <x:c r="J880" s="38" t="e">
        <x:f>HYPERLINK("https://pubmed.ncbi.nlm.nih.gov/"&amp;C880&amp;"/","Open PubMed")</x:f>
        <x:v>HYPERLINK is not implemented. linkLocation=https://pubmed.ncbi.nlm.nih.gov/20412369/, friendlyName=Open PubMed</x:v>
      </x:c>
    </x:row>
    <x:row r="881">
      <x:c r="A881" s="26" t="str">
        <x:v>PUBMED-20410730</x:v>
      </x:c>
      <x:c r="B881" s="26" t="n">
        <x:v>2010</x:v>
      </x:c>
      <x:c r="C881" s="26" t="str">
        <x:v>20410730</x:v>
      </x:c>
      <x:c r="D881" s="28" t="str">
        <x:v>Suggestive linkage of the child behavior checklist juvenile bipolar disorder phenotype to 1p21, 6p21, and 8q21.</x:v>
      </x:c>
      <x:c r="E881" s="28" t="str">
        <x:v>Primary/contextual journal article</x:v>
      </x:c>
      <x:c r="F881" s="28" t="str">
        <x:v>Development &amp; presentation; Recognition &amp; diagnosis; Social &amp; structural; Treatment &amp; support; Life outcomes &amp; lived experience</x:v>
      </x:c>
      <x:c r="G881" s="28" t="str">
        <x:v>Childhood; Adolescence; Adulthood</x:v>
      </x:c>
      <x:c r="H881" s="28" t="str">
        <x:v>Later specialized</x:v>
      </x:c>
      <x:c r="I881" s="28" t="str">
        <x:v>Direct or strongly ADHD-related record retained for later screening; typically narrower treatment, biomarker, mechanistic, or single-comorbidity focus.</x:v>
      </x:c>
      <x:c r="J881" s="38" t="e">
        <x:f>HYPERLINK("https://pubmed.ncbi.nlm.nih.gov/"&amp;C881&amp;"/","Open PubMed")</x:f>
        <x:v>HYPERLINK is not implemented. linkLocation=https://pubmed.ncbi.nlm.nih.gov/20410730/, friendlyName=Open PubMed</x:v>
      </x:c>
    </x:row>
    <x:row r="882">
      <x:c r="A882" s="26" t="str">
        <x:v>PUBMED-20410728</x:v>
      </x:c>
      <x:c r="B882" s="26" t="n">
        <x:v>2010</x:v>
      </x:c>
      <x:c r="C882" s="26" t="str">
        <x:v>20410728</x:v>
      </x:c>
      <x:c r="D882" s="28" t="str">
        <x:v>Neural mechanisms of interference control and time discrimination in attention-deficit/hyperactivity disorder.</x:v>
      </x:c>
      <x:c r="E882" s="28" t="str">
        <x:v>Primary/contextual journal article</x:v>
      </x:c>
      <x:c r="F882" s="28" t="str">
        <x:v>Development &amp; presentation; Social &amp; structural; Treatment &amp; support</x:v>
      </x:c>
      <x:c r="G882" s="28" t="str">
        <x:v>Childhood; Adolescence</x:v>
      </x:c>
      <x:c r="H882" s="28" t="str">
        <x:v>Later specialized</x:v>
      </x:c>
      <x:c r="I882" s="28" t="str">
        <x:v>Direct or strongly ADHD-related record retained for later screening; typically narrower treatment, biomarker, mechanistic, or single-comorbidity focus.</x:v>
      </x:c>
      <x:c r="J882" s="38" t="e">
        <x:f>HYPERLINK("https://pubmed.ncbi.nlm.nih.gov/"&amp;C882&amp;"/","Open PubMed")</x:f>
        <x:v>HYPERLINK is not implemented. linkLocation=https://pubmed.ncbi.nlm.nih.gov/20410728/, friendlyName=Open PubMed</x:v>
      </x:c>
    </x:row>
    <x:row r="883">
      <x:c r="A883" s="26" t="str">
        <x:v>PUBMED-20410708</x:v>
      </x:c>
      <x:c r="B883" s="26" t="n">
        <x:v>2010</x:v>
      </x:c>
      <x:c r="C883" s="26" t="str">
        <x:v>20410708</x:v>
      </x:c>
      <x:c r="D883" s="28" t="str">
        <x:v>Against the status quo: revising the diagnostic criteria for ADHD.</x:v>
      </x:c>
      <x:c r="E883" s="28" t="str">
        <x:v>Contextual - editorial/comment</x:v>
      </x:c>
      <x:c r="F883" s="28" t="str">
        <x:v>Development &amp; presentation; Recognition &amp; diagnosis; Social &amp; structural</x:v>
      </x:c>
      <x:c r="G883" s="28" t="str">
        <x:v>Childhood; Adolescence; Adulthood</x:v>
      </x:c>
      <x:c r="H883" s="28" t="str">
        <x:v>Later specialized</x:v>
      </x:c>
      <x:c r="I883" s="28" t="str">
        <x:v>Direct or strongly ADHD-related record retained for later screening; typically narrower treatment, biomarker, mechanistic, or single-comorbidity focus.</x:v>
      </x:c>
      <x:c r="J883" s="38" t="e">
        <x:f>HYPERLINK("https://pubmed.ncbi.nlm.nih.gov/"&amp;C883&amp;"/","Open PubMed")</x:f>
        <x:v>HYPERLINK is not implemented. linkLocation=https://pubmed.ncbi.nlm.nih.gov/20410708/, friendlyName=Open PubMed</x:v>
      </x:c>
    </x:row>
    <x:row r="884">
      <x:c r="A884" s="26" t="str">
        <x:v>PUBMED-20410595</x:v>
      </x:c>
      <x:c r="B884" s="26" t="n">
        <x:v>2010</x:v>
      </x:c>
      <x:c r="C884" s="26" t="str">
        <x:v>20410595</x:v>
      </x:c>
      <x:c r="D884" s="28" t="str">
        <x:v>Effects of atomoxetine on levels of monoamines and related substances in discrete brain regions in mice intermittently deprived of rapid eye movement sleep.</x:v>
      </x:c>
      <x:c r="E884" s="28" t="str">
        <x:v>Primary/contextual journal article</x:v>
      </x:c>
      <x:c r="F884" s="28" t="str">
        <x:v>Development &amp; presentation; Social &amp; structural; Environmental &amp; lifestyle; Treatment &amp; support</x:v>
      </x:c>
      <x:c r="G884" s="28" t="str">
        <x:v>Not specified</x:v>
      </x:c>
      <x:c r="H884" s="28" t="str">
        <x:v>Exclude/incidental</x:v>
      </x:c>
      <x:c r="I884" s="28" t="str">
        <x:v>Animal-only record; retained outside the human-focused core corpus.</x:v>
      </x:c>
      <x:c r="J884" s="38" t="e">
        <x:f>HYPERLINK("https://pubmed.ncbi.nlm.nih.gov/"&amp;C884&amp;"/","Open PubMed")</x:f>
        <x:v>HYPERLINK is not implemented. linkLocation=https://pubmed.ncbi.nlm.nih.gov/20410595/, friendlyName=Open PubMed</x:v>
      </x:c>
    </x:row>
    <x:row r="885">
      <x:c r="A885" s="26" t="str">
        <x:v>PUBMED-20408926</x:v>
      </x:c>
      <x:c r="B885" s="26" t="n">
        <x:v>2010</x:v>
      </x:c>
      <x:c r="C885" s="26" t="str">
        <x:v>20408926</x:v>
      </x:c>
      <x:c r="D885" s="28" t="str">
        <x:v>Association between symptoms and subtypes of attention-deficit hyperactivity disorder and sleep problems/disorders.</x:v>
      </x:c>
      <x:c r="E885" s="28" t="str">
        <x:v>Primary/contextual journal article</x:v>
      </x:c>
      <x:c r="F885" s="28" t="str">
        <x:v>Development &amp; presentation; Recognition &amp; diagnosis; Family &amp; education; Social &amp; structural; Environmental &amp; lifestyle; Treatment &amp; support</x:v>
      </x:c>
      <x:c r="G885" s="28" t="str">
        <x:v>Childhood; Adolescence; Adulthood</x:v>
      </x:c>
      <x:c r="H885" s="28" t="str">
        <x:v>Later specialized</x:v>
      </x:c>
      <x:c r="I885" s="28" t="str">
        <x:v>Direct or strongly ADHD-related record retained for later screening; typically narrower treatment, biomarker, mechanistic, or single-comorbidity focus.</x:v>
      </x:c>
      <x:c r="J885" s="38" t="e">
        <x:f>HYPERLINK("https://pubmed.ncbi.nlm.nih.gov/"&amp;C885&amp;"/","Open PubMed")</x:f>
        <x:v>HYPERLINK is not implemented. linkLocation=https://pubmed.ncbi.nlm.nih.gov/20408926/, friendlyName=Open PubMed</x:v>
      </x:c>
    </x:row>
    <x:row r="886">
      <x:c r="A886" s="26" t="str">
        <x:v>PUBMED-20406335</x:v>
      </x:c>
      <x:c r="B886" s="26" t="n">
        <x:v>2010</x:v>
      </x:c>
      <x:c r="C886" s="26" t="str">
        <x:v>20406335</x:v>
      </x:c>
      <x:c r="D886" s="28" t="str">
        <x:v>Effect of environmental exposure to lead and tobacco smoke on inattentive and hyperactive symptoms and neurocognitive performance in children.</x:v>
      </x:c>
      <x:c r="E886" s="28" t="str">
        <x:v>Primary/contextual journal article</x:v>
      </x:c>
      <x:c r="F886" s="28" t="str">
        <x:v>Development &amp; presentation; Recognition &amp; diagnosis; Family &amp; education; Social &amp; structural; Environmental &amp; lifestyle</x:v>
      </x:c>
      <x:c r="G886" s="28" t="str">
        <x:v>Childhood</x:v>
      </x:c>
      <x:c r="H886" s="28" t="str">
        <x:v>Later specialized</x:v>
      </x:c>
      <x:c r="I886" s="28" t="str">
        <x:v>Direct or strongly ADHD-related record retained for later screening; typically narrower treatment, biomarker, mechanistic, or single-comorbidity focus.</x:v>
      </x:c>
      <x:c r="J886" s="38" t="e">
        <x:f>HYPERLINK("https://pubmed.ncbi.nlm.nih.gov/"&amp;C886&amp;"/","Open PubMed")</x:f>
        <x:v>HYPERLINK is not implemented. linkLocation=https://pubmed.ncbi.nlm.nih.gov/20406335/, friendlyName=Open PubMed</x:v>
      </x:c>
    </x:row>
    <x:row r="887">
      <x:c r="A887" s="26" t="str">
        <x:v>PUBMED-20402709</x:v>
      </x:c>
      <x:c r="B887" s="26" t="n">
        <x:v>2010</x:v>
      </x:c>
      <x:c r="C887" s="26" t="str">
        <x:v>20402709</x:v>
      </x:c>
      <x:c r="D887" s="28" t="str">
        <x:v>Pharmacological and non-drug treatment of child bipolar I disorder during prospective eight-year follow-up.</x:v>
      </x:c>
      <x:c r="E887" s="28" t="str">
        <x:v>Primary/contextual journal article</x:v>
      </x:c>
      <x:c r="F887" s="28" t="str">
        <x:v>Development &amp; presentation; Recognition &amp; diagnosis; Family &amp; education; Social &amp; structural; Treatment &amp; support; Life outcomes &amp; lived experience</x:v>
      </x:c>
      <x:c r="G887" s="28" t="str">
        <x:v>Childhood</x:v>
      </x:c>
      <x:c r="H887" s="28" t="str">
        <x:v>Exclude/incidental</x:v>
      </x:c>
      <x:c r="I887" s="28" t="str">
        <x:v>ADHD appears peripheral or insufficiently aligned with the requested corpus scope based on accessible metadata/abstract.</x:v>
      </x:c>
      <x:c r="J887" s="38" t="e">
        <x:f>HYPERLINK("https://pubmed.ncbi.nlm.nih.gov/"&amp;C887&amp;"/","Open PubMed")</x:f>
        <x:v>HYPERLINK is not implemented. linkLocation=https://pubmed.ncbi.nlm.nih.gov/20402709/, friendlyName=Open PubMed</x:v>
      </x:c>
    </x:row>
    <x:row r="888">
      <x:c r="A888" s="26" t="str">
        <x:v>PUBMED-20402266</x:v>
      </x:c>
      <x:c r="B888" s="26" t="n">
        <x:v>2010</x:v>
      </x:c>
      <x:c r="C888" s="26" t="str">
        <x:v>20402266</x:v>
      </x:c>
      <x:c r="D888" s="28" t="str">
        <x:v>[Psychotherapy--a complement to drugs in adult ADHD].</x:v>
      </x:c>
      <x:c r="E888" s="28" t="str">
        <x:v>Evidence synthesis - review</x:v>
      </x:c>
      <x:c r="F888" s="28" t="str">
        <x:v>Development &amp; presentation; Social &amp; structural; Treatment &amp; support; Life outcomes &amp; lived experience</x:v>
      </x:c>
      <x:c r="G888" s="28" t="str">
        <x:v>Adulthood</x:v>
      </x:c>
      <x:c r="H888" s="28" t="str">
        <x:v>Later specialized</x:v>
      </x:c>
      <x:c r="I888" s="28" t="str">
        <x:v>Direct or strongly ADHD-related record retained for later screening; typically narrower treatment, biomarker, mechanistic, or single-comorbidity focus.</x:v>
      </x:c>
      <x:c r="J888" s="38" t="e">
        <x:f>HYPERLINK("https://pubmed.ncbi.nlm.nih.gov/"&amp;C888&amp;"/","Open PubMed")</x:f>
        <x:v>HYPERLINK is not implemented. linkLocation=https://pubmed.ncbi.nlm.nih.gov/20402266/, friendlyName=Open PubMed</x:v>
      </x:c>
    </x:row>
    <x:row r="889">
      <x:c r="A889" s="26" t="str">
        <x:v>PUBMED-20401771</x:v>
      </x:c>
      <x:c r="B889" s="26" t="n">
        <x:v>2010</x:v>
      </x:c>
      <x:c r="C889" s="26" t="str">
        <x:v>20401771</x:v>
      </x:c>
      <x:c r="D889" s="28" t="str">
        <x:v>Attention processing abnormalities in children with traumatic brain injury and attention-deficit/hyperactivity disorder: differential impairment of component processes.</x:v>
      </x:c>
      <x:c r="E889" s="28" t="str">
        <x:v>Primary/contextual journal article</x:v>
      </x:c>
      <x:c r="F889" s="28" t="str">
        <x:v>Development &amp; presentation; Recognition &amp; diagnosis; Social &amp; structural</x:v>
      </x:c>
      <x:c r="G889" s="28" t="str">
        <x:v>Childhood</x:v>
      </x:c>
      <x:c r="H889" s="28" t="str">
        <x:v>Later specialized</x:v>
      </x:c>
      <x:c r="I889" s="28" t="str">
        <x:v>Direct or strongly ADHD-related record retained for later screening; typically narrower treatment, biomarker, mechanistic, or single-comorbidity focus.</x:v>
      </x:c>
      <x:c r="J889" s="38" t="e">
        <x:f>HYPERLINK("https://pubmed.ncbi.nlm.nih.gov/"&amp;C889&amp;"/","Open PubMed")</x:f>
        <x:v>HYPERLINK is not implemented. linkLocation=https://pubmed.ncbi.nlm.nih.gov/20401771/, friendlyName=Open PubMed</x:v>
      </x:c>
    </x:row>
    <x:row r="890">
      <x:c r="A890" s="26" t="str">
        <x:v>PUBMED-20399622</x:v>
      </x:c>
      <x:c r="B890" s="26" t="n">
        <x:v>2010</x:v>
      </x:c>
      <x:c r="C890" s="26" t="str">
        <x:v>20399622</x:v>
      </x:c>
      <x:c r="D890" s="28" t="str">
        <x:v>Symptom-correlated brain regions in young adults with combined-type ADHD: their organization, variability, and relation to behavioral performance.</x:v>
      </x:c>
      <x:c r="E890" s="28" t="str">
        <x:v>Primary/contextual journal article</x:v>
      </x:c>
      <x:c r="F890" s="28" t="str">
        <x:v>Development &amp; presentation; Recognition &amp; diagnosis; Social &amp; structural; Treatment &amp; support</x:v>
      </x:c>
      <x:c r="G890" s="28" t="str">
        <x:v>Childhood; Adolescence; Adulthood</x:v>
      </x:c>
      <x:c r="H890" s="28" t="str">
        <x:v>Later specialized</x:v>
      </x:c>
      <x:c r="I890" s="28" t="str">
        <x:v>Direct or strongly ADHD-related record retained for later screening; typically narrower treatment, biomarker, mechanistic, or single-comorbidity focus.</x:v>
      </x:c>
      <x:c r="J890" s="38" t="e">
        <x:f>HYPERLINK("https://pubmed.ncbi.nlm.nih.gov/"&amp;C890&amp;"/","Open PubMed")</x:f>
        <x:v>HYPERLINK is not implemented. linkLocation=https://pubmed.ncbi.nlm.nih.gov/20399622/, friendlyName=Open PubMed</x:v>
      </x:c>
    </x:row>
    <x:row r="891">
      <x:c r="A891" s="26" t="str">
        <x:v>PUBMED-20390813</x:v>
      </x:c>
      <x:c r="B891" s="26" t="n">
        <x:v>2010</x:v>
      </x:c>
      <x:c r="C891" s="26" t="str">
        <x:v>20390813</x:v>
      </x:c>
      <x:c r="D891" s="28" t="str">
        <x:v>Parent-reported homework problems in the MTA study: evidence for sustained improvement with behavioral treatment.</x:v>
      </x:c>
      <x:c r="E891" s="28" t="str">
        <x:v>Primary study - randomized controlled trial</x:v>
      </x:c>
      <x:c r="F891" s="28" t="str">
        <x:v>Development &amp; presentation; Recognition &amp; diagnosis; Family &amp; education; Social &amp; structural; Treatment &amp; support; Life outcomes &amp; lived experience</x:v>
      </x:c>
      <x:c r="G891" s="28" t="str">
        <x:v>Childhood; Adulthood</x:v>
      </x:c>
      <x:c r="H891" s="28" t="str">
        <x:v>Later specialized</x:v>
      </x:c>
      <x:c r="I891" s="28" t="str">
        <x:v>Direct or strongly ADHD-related record retained for later screening; typically narrower treatment, biomarker, mechanistic, or single-comorbidity focus.</x:v>
      </x:c>
      <x:c r="J891" s="38" t="e">
        <x:f>HYPERLINK("https://pubmed.ncbi.nlm.nih.gov/"&amp;C891&amp;"/","Open PubMed")</x:f>
        <x:v>HYPERLINK is not implemented. linkLocation=https://pubmed.ncbi.nlm.nih.gov/20390813/, friendlyName=Open PubMed</x:v>
      </x:c>
    </x:row>
    <x:row r="892">
      <x:c r="A892" s="26" t="str">
        <x:v>PUBMED-20387193</x:v>
      </x:c>
      <x:c r="B892" s="26" t="n">
        <x:v>2010</x:v>
      </x:c>
      <x:c r="C892" s="26" t="str">
        <x:v>20387193</x:v>
      </x:c>
      <x:c r="D892" s="28" t="str">
        <x:v>[How do results in BAKO 1-4 and H-LAD-test correlate with auditory processing?].</x:v>
      </x:c>
      <x:c r="E892" s="28" t="str">
        <x:v>Primary study - cross-sectional</x:v>
      </x:c>
      <x:c r="F892" s="28" t="str">
        <x:v>Development &amp; presentation; Recognition &amp; diagnosis; Family &amp; education; Social &amp; structural; Treatment &amp; support</x:v>
      </x:c>
      <x:c r="G892" s="28" t="str">
        <x:v>Childhood</x:v>
      </x:c>
      <x:c r="H892" s="28" t="str">
        <x:v>Later specialized</x:v>
      </x:c>
      <x:c r="I892" s="28" t="str">
        <x:v>Direct or strongly ADHD-related record retained for later screening; typically narrower treatment, biomarker, mechanistic, or single-comorbidity focus.</x:v>
      </x:c>
      <x:c r="J892" s="38" t="e">
        <x:f>HYPERLINK("https://pubmed.ncbi.nlm.nih.gov/"&amp;C892&amp;"/","Open PubMed")</x:f>
        <x:v>HYPERLINK is not implemented. linkLocation=https://pubmed.ncbi.nlm.nih.gov/20387193/, friendlyName=Open PubMed</x:v>
      </x:c>
    </x:row>
    <x:row r="893">
      <x:c r="A893" s="26" t="str">
        <x:v>PUBMED-20386995</x:v>
      </x:c>
      <x:c r="B893" s="26" t="n">
        <x:v>2010</x:v>
      </x:c>
      <x:c r="C893" s="26" t="str">
        <x:v>20386995</x:v>
      </x:c>
      <x:c r="D893" s="28" t="str">
        <x:v>Using N-of-1 trials to improve patient management and save costs.</x:v>
      </x:c>
      <x:c r="E893" s="28" t="str">
        <x:v>Primary study - randomized controlled trial</x:v>
      </x:c>
      <x:c r="F893" s="28" t="str">
        <x:v>Development &amp; presentation; Family &amp; education; Social &amp; structural; Treatment &amp; support; Life outcomes &amp; lived experience</x:v>
      </x:c>
      <x:c r="G893" s="28" t="str">
        <x:v>Childhood; Adolescence; Adulthood</x:v>
      </x:c>
      <x:c r="H893" s="28" t="str">
        <x:v>Later specialized</x:v>
      </x:c>
      <x:c r="I893" s="28" t="str">
        <x:v>Direct or strongly ADHD-related record retained for later screening; typically narrower treatment, biomarker, mechanistic, or single-comorbidity focus.</x:v>
      </x:c>
      <x:c r="J893" s="38" t="e">
        <x:f>HYPERLINK("https://pubmed.ncbi.nlm.nih.gov/"&amp;C893&amp;"/","Open PubMed")</x:f>
        <x:v>HYPERLINK is not implemented. linkLocation=https://pubmed.ncbi.nlm.nih.gov/20386995/, friendlyName=Open PubMed</x:v>
      </x:c>
    </x:row>
    <x:row r="894">
      <x:c r="A894" s="26" t="str">
        <x:v>PUBMED-20378922</x:v>
      </x:c>
      <x:c r="B894" s="26" t="n">
        <x:v>2010</x:v>
      </x:c>
      <x:c r="C894" s="26" t="str">
        <x:v>20378922</x:v>
      </x:c>
      <x:c r="D894" s="28" t="str">
        <x:v>The prevalence of ADHD-like symptoms in a community sample.</x:v>
      </x:c>
      <x:c r="E894" s="28" t="str">
        <x:v>Primary/contextual journal article</x:v>
      </x:c>
      <x:c r="F894" s="28" t="str">
        <x:v>Development &amp; presentation; Recognition &amp; diagnosis; Family &amp; education; Social &amp; structural</x:v>
      </x:c>
      <x:c r="G894" s="28" t="str">
        <x:v>Childhood</x:v>
      </x:c>
      <x:c r="H894" s="28" t="str">
        <x:v>Later specialized</x:v>
      </x:c>
      <x:c r="I894" s="28" t="str">
        <x:v>Direct or strongly ADHD-related record retained for later screening; typically narrower treatment, biomarker, mechanistic, or single-comorbidity focus.</x:v>
      </x:c>
      <x:c r="J894" s="38" t="e">
        <x:f>HYPERLINK("https://pubmed.ncbi.nlm.nih.gov/"&amp;C894&amp;"/","Open PubMed")</x:f>
        <x:v>HYPERLINK is not implemented. linkLocation=https://pubmed.ncbi.nlm.nih.gov/20378922/, friendlyName=Open PubMed</x:v>
      </x:c>
    </x:row>
    <x:row r="895">
      <x:c r="A895" s="26" t="str">
        <x:v>PUBMED-20371573</x:v>
      </x:c>
      <x:c r="B895" s="26" t="n">
        <x:v>2010</x:v>
      </x:c>
      <x:c r="C895" s="26" t="str">
        <x:v>20371573</x:v>
      </x:c>
      <x:c r="D895" s="28" t="str">
        <x:v>BBC programme gave distorted facts about ADHD study.</x:v>
      </x:c>
      <x:c r="E895" s="28" t="str">
        <x:v>Other/unclear</x:v>
      </x:c>
      <x:c r="F895" s="28" t="str">
        <x:v>Development &amp; presentation; Social &amp; structural; Treatment &amp; support; Life outcomes &amp; lived experience</x:v>
      </x:c>
      <x:c r="G895" s="28" t="str">
        <x:v>Childhood</x:v>
      </x:c>
      <x:c r="H895" s="28" t="str">
        <x:v>Later specialized</x:v>
      </x:c>
      <x:c r="I895" s="28" t="str">
        <x:v>Direct or strongly ADHD-related record retained for later screening; typically narrower treatment, biomarker, mechanistic, or single-comorbidity focus.</x:v>
      </x:c>
      <x:c r="J895" s="38" t="e">
        <x:f>HYPERLINK("https://pubmed.ncbi.nlm.nih.gov/"&amp;C895&amp;"/","Open PubMed")</x:f>
        <x:v>HYPERLINK is not implemented. linkLocation=https://pubmed.ncbi.nlm.nih.gov/20371573/, friendlyName=Open PubMed</x:v>
      </x:c>
    </x:row>
    <x:row r="896">
      <x:c r="A896" s="26" t="str">
        <x:v>PUBMED-20370963</x:v>
      </x:c>
      <x:c r="B896" s="26" t="n">
        <x:v>2010</x:v>
      </x:c>
      <x:c r="C896" s="26" t="str">
        <x:v>20370963</x:v>
      </x:c>
      <x:c r="D896" s="28" t="str">
        <x:v>Advancing bipolar disorder: key lessons from the Systematic Treatment Enhancement Program for Bipolar Disorder (STEP-BD).</x:v>
      </x:c>
      <x:c r="E896" s="28" t="str">
        <x:v>Primary/contextual journal article</x:v>
      </x:c>
      <x:c r="F896" s="28" t="str">
        <x:v>Development &amp; presentation; Recognition &amp; diagnosis; Social &amp; structural; Environmental &amp; lifestyle; Treatment &amp; support; Life outcomes &amp; lived experience</x:v>
      </x:c>
      <x:c r="G896" s="28" t="str">
        <x:v>Not specified</x:v>
      </x:c>
      <x:c r="H896" s="28" t="str">
        <x:v>Exclude/incidental</x:v>
      </x:c>
      <x:c r="I896" s="28" t="str">
        <x:v>ADHD appears peripheral or insufficiently aligned with the requested corpus scope based on accessible metadata/abstract.</x:v>
      </x:c>
      <x:c r="J896" s="38" t="e">
        <x:f>HYPERLINK("https://pubmed.ncbi.nlm.nih.gov/"&amp;C896&amp;"/","Open PubMed")</x:f>
        <x:v>HYPERLINK is not implemented. linkLocation=https://pubmed.ncbi.nlm.nih.gov/20370963/, friendlyName=Open PubMed</x:v>
      </x:c>
    </x:row>
    <x:row r="897">
      <x:c r="A897" s="26" t="str">
        <x:v>PUBMED-20361222</x:v>
      </x:c>
      <x:c r="B897" s="26" t="n">
        <x:v>2010</x:v>
      </x:c>
      <x:c r="C897" s="26" t="str">
        <x:v>20361222</x:v>
      </x:c>
      <x:c r="D897" s="28" t="str">
        <x:v>Are children with ADHD predominantly inattentive and combined subtypes different in terms of aspects of everyday attention?</x:v>
      </x:c>
      <x:c r="E897" s="28" t="str">
        <x:v>Primary/contextual journal article</x:v>
      </x:c>
      <x:c r="F897" s="28" t="str">
        <x:v>Development &amp; presentation; Recognition &amp; diagnosis; Family &amp; education; Social &amp; structural; Treatment &amp; support</x:v>
      </x:c>
      <x:c r="G897" s="28" t="str">
        <x:v>Childhood; Adolescence</x:v>
      </x:c>
      <x:c r="H897" s="28" t="str">
        <x:v>Later specialized</x:v>
      </x:c>
      <x:c r="I897" s="28" t="str">
        <x:v>Direct or strongly ADHD-related record retained for later screening; typically narrower treatment, biomarker, mechanistic, or single-comorbidity focus.</x:v>
      </x:c>
      <x:c r="J897" s="38" t="e">
        <x:f>HYPERLINK("https://pubmed.ncbi.nlm.nih.gov/"&amp;C897&amp;"/","Open PubMed")</x:f>
        <x:v>HYPERLINK is not implemented. linkLocation=https://pubmed.ncbi.nlm.nih.gov/20361222/, friendlyName=Open PubMed</x:v>
      </x:c>
    </x:row>
    <x:row r="898">
      <x:c r="A898" s="26" t="str">
        <x:v>PUBMED-20353312</x:v>
      </x:c>
      <x:c r="B898" s="26" t="n">
        <x:v>2010</x:v>
      </x:c>
      <x:c r="C898" s="26" t="str">
        <x:v>20353312</x:v>
      </x:c>
      <x:c r="D898" s="28" t="str">
        <x:v>Twenty-four-week treatment with extended release methylphenidate improves emotional symptoms in adult ADHD.</x:v>
      </x:c>
      <x:c r="E898" s="28" t="str">
        <x:v>Primary study - randomized controlled trial</x:v>
      </x:c>
      <x:c r="F898" s="28" t="str">
        <x:v>Development &amp; presentation; Recognition &amp; diagnosis; Social &amp; structural; Treatment &amp; support; Life outcomes &amp; lived experience; Historical &amp; contemporary context</x:v>
      </x:c>
      <x:c r="G898" s="28" t="str">
        <x:v>Adulthood</x:v>
      </x:c>
      <x:c r="H898" s="28" t="str">
        <x:v>Later specialized</x:v>
      </x:c>
      <x:c r="I898" s="28" t="str">
        <x:v>Direct or strongly ADHD-related record retained for later screening; typically narrower treatment, biomarker, mechanistic, or single-comorbidity focus.</x:v>
      </x:c>
      <x:c r="J898" s="38" t="e">
        <x:f>HYPERLINK("https://pubmed.ncbi.nlm.nih.gov/"&amp;C898&amp;"/","Open PubMed")</x:f>
        <x:v>HYPERLINK is not implemented. linkLocation=https://pubmed.ncbi.nlm.nih.gov/20353312/, friendlyName=Open PubMed</x:v>
      </x:c>
    </x:row>
    <x:row r="899">
      <x:c r="A899" s="26" t="str">
        <x:v>PUBMED-20349396</x:v>
      </x:c>
      <x:c r="B899" s="26" t="n">
        <x:v>2010</x:v>
      </x:c>
      <x:c r="C899" s="26" t="str">
        <x:v>20349396</x:v>
      </x:c>
      <x:c r="D899" s="28" t="str">
        <x:v>ADHD among a cohort of ethnic minority women.</x:v>
      </x:c>
      <x:c r="E899" s="28" t="str">
        <x:v>Primary study - cohort</x:v>
      </x:c>
      <x:c r="F899" s="28" t="str">
        <x:v>Development &amp; presentation; Recognition &amp; diagnosis; Family &amp; education; Social &amp; structural; Life outcomes &amp; lived experience</x:v>
      </x:c>
      <x:c r="G899" s="28" t="str">
        <x:v>Adolescence; Adulthood</x:v>
      </x:c>
      <x:c r="H899" s="28" t="str">
        <x:v>Batch 1 core</x:v>
      </x:c>
      <x:c r="I899" s="28" t="str">
        <x:v>Direct ADHD primary study on diagnosis, family/education, structural conditions, lived experience/outcomes, or environment/lifestyle.</x:v>
      </x:c>
      <x:c r="J899" s="38" t="e">
        <x:f>HYPERLINK("https://pubmed.ncbi.nlm.nih.gov/"&amp;C899&amp;"/","Open PubMed")</x:f>
        <x:v>HYPERLINK is not implemented. linkLocation=https://pubmed.ncbi.nlm.nih.gov/20349396/, friendlyName=Open PubMed</x:v>
      </x:c>
    </x:row>
    <x:row r="900">
      <x:c r="A900" s="26" t="str">
        <x:v>PUBMED-20348184</x:v>
      </x:c>
      <x:c r="B900" s="26" t="n">
        <x:v>2010</x:v>
      </x:c>
      <x:c r="C900" s="26" t="str">
        <x:v>20348184</x:v>
      </x:c>
      <x:c r="D900" s="28" t="str">
        <x:v>Is ADHD a valid diagnosis in adults? Yes.</x:v>
      </x:c>
      <x:c r="E900" s="28" t="str">
        <x:v>Primary/contextual journal article</x:v>
      </x:c>
      <x:c r="F900" s="28" t="str">
        <x:v>Development &amp; presentation; Recognition &amp; diagnosis; Treatment &amp; support</x:v>
      </x:c>
      <x:c r="G900" s="28" t="str">
        <x:v>Adulthood</x:v>
      </x:c>
      <x:c r="H900" s="28" t="str">
        <x:v>Later specialized</x:v>
      </x:c>
      <x:c r="I900" s="28" t="str">
        <x:v>Direct or strongly ADHD-related record retained for later screening; typically narrower treatment, biomarker, mechanistic, or single-comorbidity focus.</x:v>
      </x:c>
      <x:c r="J900" s="38" t="e">
        <x:f>HYPERLINK("https://pubmed.ncbi.nlm.nih.gov/"&amp;C900&amp;"/","Open PubMed")</x:f>
        <x:v>HYPERLINK is not implemented. linkLocation=https://pubmed.ncbi.nlm.nih.gov/20348184/, friendlyName=Open PubMed</x:v>
      </x:c>
    </x:row>
    <x:row r="901">
      <x:c r="A901" s="26" t="str">
        <x:v>PUBMED-20338654</x:v>
      </x:c>
      <x:c r="B901" s="26" t="n">
        <x:v>2010</x:v>
      </x:c>
      <x:c r="C901" s="26" t="str">
        <x:v>20338654</x:v>
      </x:c>
      <x:c r="D901" s="28" t="str">
        <x:v>Clumsiness and psychopathology: causation or shared etiology? A twin study with the CBCL 6-18 questionnaire in a general school-age population sample.</x:v>
      </x:c>
      <x:c r="E901" s="28" t="str">
        <x:v>Primary/contextual journal article</x:v>
      </x:c>
      <x:c r="F901" s="28" t="str">
        <x:v>Development &amp; presentation; Recognition &amp; diagnosis; Family &amp; education; Social &amp; structural; Treatment &amp; support</x:v>
      </x:c>
      <x:c r="G901" s="28" t="str">
        <x:v>Childhood; Adolescence</x:v>
      </x:c>
      <x:c r="H901" s="28" t="str">
        <x:v>Exclude/incidental</x:v>
      </x:c>
      <x:c r="I901" s="28" t="str">
        <x:v>ADHD appears peripheral or insufficiently aligned with the requested corpus scope based on accessible metadata/abstract.</x:v>
      </x:c>
      <x:c r="J901" s="38" t="e">
        <x:f>HYPERLINK("https://pubmed.ncbi.nlm.nih.gov/"&amp;C901&amp;"/","Open PubMed")</x:f>
        <x:v>HYPERLINK is not implemented. linkLocation=https://pubmed.ncbi.nlm.nih.gov/20338654/, friendlyName=Open PubMed</x:v>
      </x:c>
    </x:row>
    <x:row r="902">
      <x:c r="A902" s="26" t="str">
        <x:v>PUBMED-20331930</x:v>
      </x:c>
      <x:c r="B902" s="26" t="n">
        <x:v>2010</x:v>
      </x:c>
      <x:c r="C902" s="26" t="str">
        <x:v>20331930</x:v>
      </x:c>
      <x:c r="D902" s="28" t="str">
        <x:v>Sharing and selling of prescription medications in a college student sample.</x:v>
      </x:c>
      <x:c r="E902" s="28" t="str">
        <x:v>Primary study - cohort</x:v>
      </x:c>
      <x:c r="F902" s="28" t="str">
        <x:v>Development &amp; presentation; Social &amp; structural; Treatment &amp; support</x:v>
      </x:c>
      <x:c r="G902" s="28" t="str">
        <x:v>Childhood; Adolescence; Adulthood</x:v>
      </x:c>
      <x:c r="H902" s="28" t="str">
        <x:v>Exclude/incidental</x:v>
      </x:c>
      <x:c r="I902" s="28" t="str">
        <x:v>ADHD appears peripheral or insufficiently aligned with the requested corpus scope based on accessible metadata/abstract.</x:v>
      </x:c>
      <x:c r="J902" s="38" t="e">
        <x:f>HYPERLINK("https://pubmed.ncbi.nlm.nih.gov/"&amp;C902&amp;"/","Open PubMed")</x:f>
        <x:v>HYPERLINK is not implemented. linkLocation=https://pubmed.ncbi.nlm.nih.gov/20331930/, friendlyName=Open PubMed</x:v>
      </x:c>
    </x:row>
    <x:row r="903">
      <x:c r="A903" s="26" t="str">
        <x:v>PUBMED-20331927</x:v>
      </x:c>
      <x:c r="B903" s="26" t="n">
        <x:v>2010</x:v>
      </x:c>
      <x:c r="C903" s="26" t="str">
        <x:v>20331927</x:v>
      </x:c>
      <x:c r="D903" s="28" t="str">
        <x:v>Mechanism of action of alpha 2A-adrenergic agonists in attention-deficit/hyperactivity disorder with or without oppositional symptoms.</x:v>
      </x:c>
      <x:c r="E903" s="28" t="str">
        <x:v>Primary/contextual journal article</x:v>
      </x:c>
      <x:c r="F903" s="28" t="str">
        <x:v>Development &amp; presentation; Treatment &amp; support</x:v>
      </x:c>
      <x:c r="G903" s="28" t="str">
        <x:v>Not specified</x:v>
      </x:c>
      <x:c r="H903" s="28" t="str">
        <x:v>Later specialized</x:v>
      </x:c>
      <x:c r="I903" s="28" t="str">
        <x:v>Direct or strongly ADHD-related record retained for later screening; typically narrower treatment, biomarker, mechanistic, or single-comorbidity focus.</x:v>
      </x:c>
      <x:c r="J903" s="38" t="e">
        <x:f>HYPERLINK("https://pubmed.ncbi.nlm.nih.gov/"&amp;C903&amp;"/","Open PubMed")</x:f>
        <x:v>HYPERLINK is not implemented. linkLocation=https://pubmed.ncbi.nlm.nih.gov/20331927/, friendlyName=Open PubMed</x:v>
      </x:c>
    </x:row>
    <x:row r="904">
      <x:c r="A904" s="26" t="str">
        <x:v>PUBMED-20307009</x:v>
      </x:c>
      <x:c r="B904" s="26" t="n">
        <x:v>2010</x:v>
      </x:c>
      <x:c r="C904" s="26" t="str">
        <x:v>20307009</x:v>
      </x:c>
      <x:c r="D904" s="28" t="str">
        <x:v>Wavelet-synchronization methodology: a new approach for EEG-based diagnosis of ADHD.</x:v>
      </x:c>
      <x:c r="E904" s="28" t="str">
        <x:v>Primary/contextual journal article</x:v>
      </x:c>
      <x:c r="F904" s="28" t="str">
        <x:v>Development &amp; presentation; Recognition &amp; diagnosis; Environmental &amp; lifestyle; Historical &amp; contemporary context</x:v>
      </x:c>
      <x:c r="G904" s="28" t="str">
        <x:v>Not specified</x:v>
      </x:c>
      <x:c r="H904" s="28" t="str">
        <x:v>Later specialized</x:v>
      </x:c>
      <x:c r="I904" s="28" t="str">
        <x:v>Direct or strongly ADHD-related record retained for later screening; typically narrower treatment, biomarker, mechanistic, or single-comorbidity focus.</x:v>
      </x:c>
      <x:c r="J904" s="38" t="e">
        <x:f>HYPERLINK("https://pubmed.ncbi.nlm.nih.gov/"&amp;C904&amp;"/","Open PubMed")</x:f>
        <x:v>HYPERLINK is not implemented. linkLocation=https://pubmed.ncbi.nlm.nih.gov/20307009/, friendlyName=Open PubMed</x:v>
      </x:c>
    </x:row>
    <x:row r="905">
      <x:c r="A905" s="26" t="str">
        <x:v>PUBMED-20305572</x:v>
      </x:c>
      <x:c r="B905" s="26" t="n">
        <x:v>2010</x:v>
      </x:c>
      <x:c r="C905" s="26" t="str">
        <x:v>20305572</x:v>
      </x:c>
      <x:c r="D905" s="28" t="str">
        <x:v>Instability in teacher ratings of children's inattentive symptoms: implications for the assessment of ADHD.</x:v>
      </x:c>
      <x:c r="E905" s="28" t="str">
        <x:v>Primary study - randomized controlled trial</x:v>
      </x:c>
      <x:c r="F905" s="28" t="str">
        <x:v>Development &amp; presentation; Recognition &amp; diagnosis; Family &amp; education; Social &amp; structural; Treatment &amp; support</x:v>
      </x:c>
      <x:c r="G905" s="28" t="str">
        <x:v>Childhood</x:v>
      </x:c>
      <x:c r="H905" s="28" t="str">
        <x:v>Later specialized</x:v>
      </x:c>
      <x:c r="I905" s="28" t="str">
        <x:v>Direct or strongly ADHD-related record retained for later screening; typically narrower treatment, biomarker, mechanistic, or single-comorbidity focus.</x:v>
      </x:c>
      <x:c r="J905" s="38" t="e">
        <x:f>HYPERLINK("https://pubmed.ncbi.nlm.nih.gov/"&amp;C905&amp;"/","Open PubMed")</x:f>
        <x:v>HYPERLINK is not implemented. linkLocation=https://pubmed.ncbi.nlm.nih.gov/20305572/, friendlyName=Open PubMed</x:v>
      </x:c>
    </x:row>
    <x:row r="906">
      <x:c r="A906" s="26" t="str">
        <x:v>PUBMED-20237742</x:v>
      </x:c>
      <x:c r="B906" s="26" t="n">
        <x:v>2010</x:v>
      </x:c>
      <x:c r="C906" s="26" t="str">
        <x:v>20237742</x:v>
      </x:c>
      <x:c r="D906" s="28" t="str">
        <x:v>Is it time to revise the definition of attention deficit hyperactivity disorder?</x:v>
      </x:c>
      <x:c r="E906" s="28" t="str">
        <x:v>Contextual - editorial/comment</x:v>
      </x:c>
      <x:c r="F906" s="28" t="str">
        <x:v>Development &amp; presentation; Recognition &amp; diagnosis; Social &amp; structural</x:v>
      </x:c>
      <x:c r="G906" s="28" t="str">
        <x:v>Not specified</x:v>
      </x:c>
      <x:c r="H906" s="28" t="str">
        <x:v>Later specialized</x:v>
      </x:c>
      <x:c r="I906" s="28" t="str">
        <x:v>Direct or strongly ADHD-related record retained for later screening; typically narrower treatment, biomarker, mechanistic, or single-comorbidity focus.</x:v>
      </x:c>
      <x:c r="J906" s="38" t="e">
        <x:f>HYPERLINK("https://pubmed.ncbi.nlm.nih.gov/"&amp;C906&amp;"/","Open PubMed")</x:f>
        <x:v>HYPERLINK is not implemented. linkLocation=https://pubmed.ncbi.nlm.nih.gov/20237742/, friendlyName=Open PubMed</x:v>
      </x:c>
    </x:row>
    <x:row r="907">
      <x:c r="A907" s="26" t="str">
        <x:v>PUBMED-20235795</x:v>
      </x:c>
      <x:c r="B907" s="26" t="n">
        <x:v>2010</x:v>
      </x:c>
      <x:c r="C907" s="26" t="str">
        <x:v>20235795</x:v>
      </x:c>
      <x:c r="D907" s="28" t="str">
        <x:v>A current update on ADHD pharmacogenomics.</x:v>
      </x:c>
      <x:c r="E907" s="28" t="str">
        <x:v>Evidence synthesis - review</x:v>
      </x:c>
      <x:c r="F907" s="28" t="str">
        <x:v>Development &amp; presentation; Social &amp; structural; Treatment &amp; support; Life outcomes &amp; lived experience</x:v>
      </x:c>
      <x:c r="G907" s="28" t="str">
        <x:v>Childhood; Adolescence</x:v>
      </x:c>
      <x:c r="H907" s="28" t="str">
        <x:v>Later specialized</x:v>
      </x:c>
      <x:c r="I907" s="28" t="str">
        <x:v>Direct or strongly ADHD-related record retained for later screening; typically narrower treatment, biomarker, mechanistic, or single-comorbidity focus.</x:v>
      </x:c>
      <x:c r="J907" s="38" t="e">
        <x:f>HYPERLINK("https://pubmed.ncbi.nlm.nih.gov/"&amp;C907&amp;"/","Open PubMed")</x:f>
        <x:v>HYPERLINK is not implemented. linkLocation=https://pubmed.ncbi.nlm.nih.gov/20235795/, friendlyName=Open PubMed</x:v>
      </x:c>
    </x:row>
    <x:row r="908">
      <x:c r="A908" s="26" t="str">
        <x:v>PUBMED-20232490</x:v>
      </x:c>
      <x:c r="B908" s="26" t="n">
        <x:v>2010</x:v>
      </x:c>
      <x:c r="C908" s="26" t="str">
        <x:v>20232490</x:v>
      </x:c>
      <x:c r="D908" s="28" t="str">
        <x:v>Pre-existing cardiovascular conditions and pharmacological treatment of adult ADHD.</x:v>
      </x:c>
      <x:c r="E908" s="28" t="str">
        <x:v>Primary study - cohort</x:v>
      </x:c>
      <x:c r="F908" s="28" t="str">
        <x:v>Development &amp; presentation; Recognition &amp; diagnosis; Social &amp; structural; Treatment &amp; support; Life outcomes &amp; lived experience</x:v>
      </x:c>
      <x:c r="G908" s="28" t="str">
        <x:v>Adulthood</x:v>
      </x:c>
      <x:c r="H908" s="28" t="str">
        <x:v>Later specialized</x:v>
      </x:c>
      <x:c r="I908" s="28" t="str">
        <x:v>Direct or strongly ADHD-related record retained for later screening; typically narrower treatment, biomarker, mechanistic, or single-comorbidity focus.</x:v>
      </x:c>
      <x:c r="J908" s="38" t="e">
        <x:f>HYPERLINK("https://pubmed.ncbi.nlm.nih.gov/"&amp;C908&amp;"/","Open PubMed")</x:f>
        <x:v>HYPERLINK is not implemented. linkLocation=https://pubmed.ncbi.nlm.nih.gov/20232490/, friendlyName=Open PubMed</x:v>
      </x:c>
    </x:row>
    <x:row r="909">
      <x:c r="A909" s="26" t="str">
        <x:v>PUBMED-20228219</x:v>
      </x:c>
      <x:c r="B909" s="26" t="n">
        <x:v>2010</x:v>
      </x:c>
      <x:c r="C909" s="26" t="str">
        <x:v>20228219</x:v>
      </x:c>
      <x:c r="D909" s="28" t="str">
        <x:v>A compound herbal preparation (CHP) in the treatment of children with ADHD: a randomized controlled trial.</x:v>
      </x:c>
      <x:c r="E909" s="28" t="str">
        <x:v>Primary study - randomized controlled trial</x:v>
      </x:c>
      <x:c r="F909" s="28" t="str">
        <x:v>Development &amp; presentation; Recognition &amp; diagnosis; Social &amp; structural; Treatment &amp; support; Life outcomes &amp; lived experience</x:v>
      </x:c>
      <x:c r="G909" s="28" t="str">
        <x:v>Childhood</x:v>
      </x:c>
      <x:c r="H909" s="28" t="str">
        <x:v>Later specialized</x:v>
      </x:c>
      <x:c r="I909" s="28" t="str">
        <x:v>Direct or strongly ADHD-related record retained for later screening; typically narrower treatment, biomarker, mechanistic, or single-comorbidity focus.</x:v>
      </x:c>
      <x:c r="J909" s="38" t="e">
        <x:f>HYPERLINK("https://pubmed.ncbi.nlm.nih.gov/"&amp;C909&amp;"/","Open PubMed")</x:f>
        <x:v>HYPERLINK is not implemented. linkLocation=https://pubmed.ncbi.nlm.nih.gov/20228219/, friendlyName=Open PubMed</x:v>
      </x:c>
    </x:row>
    <x:row r="910">
      <x:c r="A910" s="26" t="str">
        <x:v>PUBMED-20225001</x:v>
      </x:c>
      <x:c r="B910" s="26" t="n">
        <x:v>2010</x:v>
      </x:c>
      <x:c r="C910" s="26" t="str">
        <x:v>20225001</x:v>
      </x:c>
      <x:c r="D910" s="28" t="str">
        <x:v>Attention deficit hyperactivity disorder: diagnosis and treatment masking the ophthalmic clinical presentation of a pineal gland tumour in a teenager.</x:v>
      </x:c>
      <x:c r="E910" s="28" t="str">
        <x:v>Primary/contextual journal article</x:v>
      </x:c>
      <x:c r="F910" s="28" t="str">
        <x:v>Development &amp; presentation; Recognition &amp; diagnosis; Social &amp; structural; Environmental &amp; lifestyle; Treatment &amp; support; Historical &amp; contemporary context</x:v>
      </x:c>
      <x:c r="G910" s="28" t="str">
        <x:v>Adolescence</x:v>
      </x:c>
      <x:c r="H910" s="28" t="str">
        <x:v>Later specialized</x:v>
      </x:c>
      <x:c r="I910" s="28" t="str">
        <x:v>Direct or strongly ADHD-related record retained for later screening; typically narrower treatment, biomarker, mechanistic, or single-comorbidity focus.</x:v>
      </x:c>
      <x:c r="J910" s="38" t="e">
        <x:f>HYPERLINK("https://pubmed.ncbi.nlm.nih.gov/"&amp;C910&amp;"/","Open PubMed")</x:f>
        <x:v>HYPERLINK is not implemented. linkLocation=https://pubmed.ncbi.nlm.nih.gov/20225001/, friendlyName=Open PubMed</x:v>
      </x:c>
    </x:row>
    <x:row r="911">
      <x:c r="A911" s="26" t="str">
        <x:v>PUBMED-20224456</x:v>
      </x:c>
      <x:c r="B911" s="26" t="n">
        <x:v>2010</x:v>
      </x:c>
      <x:c r="C911" s="26" t="str">
        <x:v>20224456</x:v>
      </x:c>
      <x:c r="D911" s="28" t="str">
        <x:v>Disturbed brain activation during a working memory task in drug-naive adult patients with ADHD.</x:v>
      </x:c>
      <x:c r="E911" s="28" t="str">
        <x:v>Primary/contextual journal article</x:v>
      </x:c>
      <x:c r="F911" s="28" t="str">
        <x:v>Development &amp; presentation; Recognition &amp; diagnosis; Social &amp; structural; Treatment &amp; support</x:v>
      </x:c>
      <x:c r="G911" s="28" t="str">
        <x:v>Childhood; Adolescence; Adulthood</x:v>
      </x:c>
      <x:c r="H911" s="28" t="str">
        <x:v>Later specialized</x:v>
      </x:c>
      <x:c r="I911" s="28" t="str">
        <x:v>Direct or strongly ADHD-related record retained for later screening; typically narrower treatment, biomarker, mechanistic, or single-comorbidity focus.</x:v>
      </x:c>
      <x:c r="J911" s="38" t="e">
        <x:f>HYPERLINK("https://pubmed.ncbi.nlm.nih.gov/"&amp;C911&amp;"/","Open PubMed")</x:f>
        <x:v>HYPERLINK is not implemented. linkLocation=https://pubmed.ncbi.nlm.nih.gov/20224456/, friendlyName=Open PubMed</x:v>
      </x:c>
    </x:row>
    <x:row r="912">
      <x:c r="A912" s="26" t="str">
        <x:v>PUBMED-20219037</x:v>
      </x:c>
      <x:c r="B912" s="26" t="n">
        <x:v>2010</x:v>
      </x:c>
      <x:c r="C912" s="26" t="str">
        <x:v>20219037</x:v>
      </x:c>
      <x:c r="D912" s="28" t="str">
        <x:v>Intrauterine exposure to caffeine and inattention/overactivity in children.</x:v>
      </x:c>
      <x:c r="E912" s="28" t="str">
        <x:v>Primary study - cohort</x:v>
      </x:c>
      <x:c r="F912" s="28" t="str">
        <x:v>Development &amp; presentation; Environmental &amp; lifestyle; Treatment &amp; support</x:v>
      </x:c>
      <x:c r="G912" s="28" t="str">
        <x:v>Childhood; Adolescence; Adulthood</x:v>
      </x:c>
      <x:c r="H912" s="28" t="str">
        <x:v>Exclude/incidental</x:v>
      </x:c>
      <x:c r="I912" s="28" t="str">
        <x:v>ADHD appears peripheral or insufficiently aligned with the requested corpus scope based on accessible metadata/abstract.</x:v>
      </x:c>
      <x:c r="J912" s="38" t="e">
        <x:f>HYPERLINK("https://pubmed.ncbi.nlm.nih.gov/"&amp;C912&amp;"/","Open PubMed")</x:f>
        <x:v>HYPERLINK is not implemented. linkLocation=https://pubmed.ncbi.nlm.nih.gov/20219037/, friendlyName=Open PubMed</x:v>
      </x:c>
    </x:row>
    <x:row r="913">
      <x:c r="A913" s="26" t="str">
        <x:v>PUBMED-20215933</x:v>
      </x:c>
      <x:c r="B913" s="26" t="n">
        <x:v>2010</x:v>
      </x:c>
      <x:c r="C913" s="26" t="str">
        <x:v>20215933</x:v>
      </x:c>
      <x:c r="D913" s="28" t="str">
        <x:v>Effect of exposure to suicidal behavior on suicide attempt in a high-risk sample of offspring of depressed parents.</x:v>
      </x:c>
      <x:c r="E913" s="28" t="str">
        <x:v>Primary study - cohort</x:v>
      </x:c>
      <x:c r="F913" s="28" t="str">
        <x:v>Development &amp; presentation; Family &amp; education; Social &amp; structural; Environmental &amp; lifestyle; Life outcomes &amp; lived experience; Historical &amp; contemporary context</x:v>
      </x:c>
      <x:c r="G913" s="28" t="str">
        <x:v>Childhood; Adolescence; Adulthood</x:v>
      </x:c>
      <x:c r="H913" s="28" t="str">
        <x:v>Exclude/incidental</x:v>
      </x:c>
      <x:c r="I913" s="28" t="str">
        <x:v>ADHD appears peripheral or insufficiently aligned with the requested corpus scope based on accessible metadata/abstract.</x:v>
      </x:c>
      <x:c r="J913" s="38" t="e">
        <x:f>HYPERLINK("https://pubmed.ncbi.nlm.nih.gov/"&amp;C913&amp;"/","Open PubMed")</x:f>
        <x:v>HYPERLINK is not implemented. linkLocation=https://pubmed.ncbi.nlm.nih.gov/20215933/, friendlyName=Open PubMed</x:v>
      </x:c>
    </x:row>
    <x:row r="914">
      <x:c r="A914" s="26" t="str">
        <x:v>PUBMED-20206783</x:v>
      </x:c>
      <x:c r="B914" s="26" t="n">
        <x:v>2010</x:v>
      </x:c>
      <x:c r="C914" s="26" t="str">
        <x:v>20206783</x:v>
      </x:c>
      <x:c r="D914" s="28" t="str">
        <x:v>Pharmacokinetics of lisdexamfetamine dimesylate and its active metabolite, d-amphetamine, with increasing oral doses of lisdexamfetamine dimesylate in children with attention-deficit/hyperactivity disorder: a single-dose, randomized, open-label, crossover study.</x:v>
      </x:c>
      <x:c r="E914" s="28" t="str">
        <x:v>Primary study - randomized controlled trial</x:v>
      </x:c>
      <x:c r="F914" s="28" t="str">
        <x:v>Development &amp; presentation; Family &amp; education; Social &amp; structural; Treatment &amp; support; Life outcomes &amp; lived experience</x:v>
      </x:c>
      <x:c r="G914" s="28" t="str">
        <x:v>Childhood; Adulthood</x:v>
      </x:c>
      <x:c r="H914" s="28" t="str">
        <x:v>Later specialized</x:v>
      </x:c>
      <x:c r="I914" s="28" t="str">
        <x:v>Direct or strongly ADHD-related record retained for later screening; typically narrower treatment, biomarker, mechanistic, or single-comorbidity focus.</x:v>
      </x:c>
      <x:c r="J914" s="38" t="e">
        <x:f>HYPERLINK("https://pubmed.ncbi.nlm.nih.gov/"&amp;C914&amp;"/","Open PubMed")</x:f>
        <x:v>HYPERLINK is not implemented. linkLocation=https://pubmed.ncbi.nlm.nih.gov/20206783/, friendlyName=Open PubMed</x:v>
      </x:c>
    </x:row>
    <x:row r="915">
      <x:c r="A915" s="26" t="str">
        <x:v>PUBMED-20206707</x:v>
      </x:c>
      <x:c r="B915" s="26" t="n">
        <x:v>2010</x:v>
      </x:c>
      <x:c r="C915" s="26" t="str">
        <x:v>20206707</x:v>
      </x:c>
      <x:c r="D915" s="28" t="str">
        <x:v>Imaging genetics in ADHD.</x:v>
      </x:c>
      <x:c r="E915" s="28" t="str">
        <x:v>Evidence synthesis - review</x:v>
      </x:c>
      <x:c r="F915" s="28" t="str">
        <x:v>Development &amp; presentation; Recognition &amp; diagnosis; Family &amp; education; Life outcomes &amp; lived experience</x:v>
      </x:c>
      <x:c r="G915" s="28" t="str">
        <x:v>Childhood</x:v>
      </x:c>
      <x:c r="H915" s="28" t="str">
        <x:v>Later specialized</x:v>
      </x:c>
      <x:c r="I915" s="28" t="str">
        <x:v>Direct or strongly ADHD-related record retained for later screening; typically narrower treatment, biomarker, mechanistic, or single-comorbidity focus.</x:v>
      </x:c>
      <x:c r="J915" s="38" t="e">
        <x:f>HYPERLINK("https://pubmed.ncbi.nlm.nih.gov/"&amp;C915&amp;"/","Open PubMed")</x:f>
        <x:v>HYPERLINK is not implemented. linkLocation=https://pubmed.ncbi.nlm.nih.gov/20206707/, friendlyName=Open PubMed</x:v>
      </x:c>
    </x:row>
    <x:row r="916">
      <x:c r="A916" s="26" t="str">
        <x:v>PUBMED-20205245</x:v>
      </x:c>
      <x:c r="B916" s="26" t="n">
        <x:v>2010</x:v>
      </x:c>
      <x:c r="C916" s="26" t="str">
        <x:v>20205245</x:v>
      </x:c>
      <x:c r="D916" s="28" t="str">
        <x:v>Disorder-specific inferior prefrontal hypofunction in boys with pure attention-deficit/hyperactivity disorder compared to boys with pure conduct disorder during cognitive flexibility.</x:v>
      </x:c>
      <x:c r="E916" s="28" t="str">
        <x:v>Primary/contextual journal article</x:v>
      </x:c>
      <x:c r="F916" s="28" t="str">
        <x:v>Development &amp; presentation; Social &amp; structural; Treatment &amp; support</x:v>
      </x:c>
      <x:c r="G916" s="28" t="str">
        <x:v>Childhood; Adolescence</x:v>
      </x:c>
      <x:c r="H916" s="28" t="str">
        <x:v>Later specialized</x:v>
      </x:c>
      <x:c r="I916" s="28" t="str">
        <x:v>Direct or strongly ADHD-related record retained for later screening; typically narrower treatment, biomarker, mechanistic, or single-comorbidity focus.</x:v>
      </x:c>
      <x:c r="J916" s="38" t="e">
        <x:f>HYPERLINK("https://pubmed.ncbi.nlm.nih.gov/"&amp;C916&amp;"/","Open PubMed")</x:f>
        <x:v>HYPERLINK is not implemented. linkLocation=https://pubmed.ncbi.nlm.nih.gov/20205245/, friendlyName=Open PubMed</x:v>
      </x:c>
    </x:row>
    <x:row r="917">
      <x:c r="A917" s="26" t="str">
        <x:v>PUBMED-20200841</x:v>
      </x:c>
      <x:c r="B917" s="26" t="n">
        <x:v>2010</x:v>
      </x:c>
      <x:c r="C917" s="26" t="str">
        <x:v>20200841</x:v>
      </x:c>
      <x:c r="D917" s="28" t="str">
        <x:v>[Reading comprehension of students with attention deficit hyperactivity disorder: what is the role of executive functions?].</x:v>
      </x:c>
      <x:c r="E917" s="28" t="str">
        <x:v>Primary/contextual journal article</x:v>
      </x:c>
      <x:c r="F917" s="28" t="str">
        <x:v>Development &amp; presentation; Recognition &amp; diagnosis; Social &amp; structural; Treatment &amp; support</x:v>
      </x:c>
      <x:c r="G917" s="28" t="str">
        <x:v>Childhood; Adolescence</x:v>
      </x:c>
      <x:c r="H917" s="28" t="str">
        <x:v>Later specialized</x:v>
      </x:c>
      <x:c r="I917" s="28" t="str">
        <x:v>Direct or strongly ADHD-related record retained for later screening; typically narrower treatment, biomarker, mechanistic, or single-comorbidity focus.</x:v>
      </x:c>
      <x:c r="J917" s="38" t="e">
        <x:f>HYPERLINK("https://pubmed.ncbi.nlm.nih.gov/"&amp;C917&amp;"/","Open PubMed")</x:f>
        <x:v>HYPERLINK is not implemented. linkLocation=https://pubmed.ncbi.nlm.nih.gov/20200841/, friendlyName=Open PubMed</x:v>
      </x:c>
    </x:row>
    <x:row r="918">
      <x:c r="A918" s="26" t="str">
        <x:v>PUBMED-20200839</x:v>
      </x:c>
      <x:c r="B918" s="26" t="n">
        <x:v>2010</x:v>
      </x:c>
      <x:c r="C918" s="26" t="str">
        <x:v>20200839</x:v>
      </x:c>
      <x:c r="D918" s="28" t="str">
        <x:v>[Population-based diagnostic study to compare the DSM-IV and the Questionnaire for screening Latin American schoolchildren and adolescents for attention deficit hyperactivity disorder].</x:v>
      </x:c>
      <x:c r="E918" s="28" t="str">
        <x:v>Primary study - cross-sectional</x:v>
      </x:c>
      <x:c r="F918" s="28" t="str">
        <x:v>Development &amp; presentation; Recognition &amp; diagnosis; Family &amp; education; Social &amp; structural</x:v>
      </x:c>
      <x:c r="G918" s="28" t="str">
        <x:v>Childhood; Adolescence</x:v>
      </x:c>
      <x:c r="H918" s="28" t="str">
        <x:v>Batch 1 core</x:v>
      </x:c>
      <x:c r="I918" s="28" t="str">
        <x:v>Direct ADHD primary study on diagnosis, family/education, structural conditions, lived experience/outcomes, or environment/lifestyle.</x:v>
      </x:c>
      <x:c r="J918" s="38" t="e">
        <x:f>HYPERLINK("https://pubmed.ncbi.nlm.nih.gov/"&amp;C918&amp;"/","Open PubMed")</x:f>
        <x:v>HYPERLINK is not implemented. linkLocation=https://pubmed.ncbi.nlm.nih.gov/20200839/, friendlyName=Open PubMed</x:v>
      </x:c>
    </x:row>
    <x:row r="919">
      <x:c r="A919" s="26" t="str">
        <x:v>PUBMED-20200830</x:v>
      </x:c>
      <x:c r="B919" s="26" t="n">
        <x:v>2010</x:v>
      </x:c>
      <x:c r="C919" s="26" t="str">
        <x:v>20200830</x:v>
      </x:c>
      <x:c r="D919" s="28" t="str">
        <x:v>[Management of children, adolescents and adults with attention deficit/hyperactivity disorder (ADHD) in Germany. Position of the central adhd network for 2009 special expert assessment by the medical expert on evaluation of development in public health].</x:v>
      </x:c>
      <x:c r="E919" s="28" t="str">
        <x:v>Primary/contextual journal article</x:v>
      </x:c>
      <x:c r="F919" s="28" t="str">
        <x:v>Development &amp; presentation; Recognition &amp; diagnosis; Family &amp; education; Social &amp; structural; Treatment &amp; support; Life outcomes &amp; lived experience</x:v>
      </x:c>
      <x:c r="G919" s="28" t="str">
        <x:v>Childhood; Adolescence; Adulthood</x:v>
      </x:c>
      <x:c r="H919" s="28" t="str">
        <x:v>Later specialized</x:v>
      </x:c>
      <x:c r="I919" s="28" t="str">
        <x:v>Direct or strongly ADHD-related record retained for later screening; typically narrower treatment, biomarker, mechanistic, or single-comorbidity focus.</x:v>
      </x:c>
      <x:c r="J919" s="38" t="e">
        <x:f>HYPERLINK("https://pubmed.ncbi.nlm.nih.gov/"&amp;C919&amp;"/","Open PubMed")</x:f>
        <x:v>HYPERLINK is not implemented. linkLocation=https://pubmed.ncbi.nlm.nih.gov/20200830/, friendlyName=Open PubMed</x:v>
      </x:c>
    </x:row>
    <x:row r="920">
      <x:c r="A920" s="26" t="str">
        <x:v>PUBMED-20197297</x:v>
      </x:c>
      <x:c r="B920" s="26" t="n">
        <x:v>2010</x:v>
      </x:c>
      <x:c r="C920" s="26" t="str">
        <x:v>20197297</x:v>
      </x:c>
      <x:c r="D920" s="28" t="str">
        <x:v>Impairment in occupational functioning and adult ADHD: the predictive utility of executive function (EF) ratings versus EF tests.</x:v>
      </x:c>
      <x:c r="E920" s="28" t="str">
        <x:v>Primary/contextual journal article</x:v>
      </x:c>
      <x:c r="F920" s="28" t="str">
        <x:v>Development &amp; presentation; Recognition &amp; diagnosis; Social &amp; structural; Life outcomes &amp; lived experience</x:v>
      </x:c>
      <x:c r="G920" s="28" t="str">
        <x:v>Adulthood</x:v>
      </x:c>
      <x:c r="H920" s="28" t="str">
        <x:v>Later specialized</x:v>
      </x:c>
      <x:c r="I920" s="28" t="str">
        <x:v>Direct or strongly ADHD-related record retained for later screening; typically narrower treatment, biomarker, mechanistic, or single-comorbidity focus.</x:v>
      </x:c>
      <x:c r="J920" s="38" t="e">
        <x:f>HYPERLINK("https://pubmed.ncbi.nlm.nih.gov/"&amp;C920&amp;"/","Open PubMed")</x:f>
        <x:v>HYPERLINK is not implemented. linkLocation=https://pubmed.ncbi.nlm.nih.gov/20197297/, friendlyName=Open PubMed</x:v>
      </x:c>
    </x:row>
    <x:row r="921">
      <x:c r="A921" s="26" t="str">
        <x:v>PUBMED-20196917</x:v>
      </x:c>
      <x:c r="B921" s="26" t="n">
        <x:v>2010</x:v>
      </x:c>
      <x:c r="C921" s="26" t="str">
        <x:v>20196917</x:v>
      </x:c>
      <x:c r="D921" s="28" t="str">
        <x:v>Serotonergic neurotransmission and lapses of attention in children and adolescents with attention deficit hyperactivity disorder: availability of tryptophan influences attentional performance.</x:v>
      </x:c>
      <x:c r="E921" s="28" t="str">
        <x:v>Primary study - randomized controlled trial</x:v>
      </x:c>
      <x:c r="F921" s="28" t="str">
        <x:v>Development &amp; presentation; Social &amp; structural</x:v>
      </x:c>
      <x:c r="G921" s="28" t="str">
        <x:v>Childhood; Adolescence</x:v>
      </x:c>
      <x:c r="H921" s="28" t="str">
        <x:v>Later specialized</x:v>
      </x:c>
      <x:c r="I921" s="28" t="str">
        <x:v>Direct or strongly ADHD-related record retained for later screening; typically narrower treatment, biomarker, mechanistic, or single-comorbidity focus.</x:v>
      </x:c>
      <x:c r="J921" s="38" t="e">
        <x:f>HYPERLINK("https://pubmed.ncbi.nlm.nih.gov/"&amp;C921&amp;"/","Open PubMed")</x:f>
        <x:v>HYPERLINK is not implemented. linkLocation=https://pubmed.ncbi.nlm.nih.gov/20196917/, friendlyName=Open PubMed</x:v>
      </x:c>
    </x:row>
    <x:row r="922">
      <x:c r="A922" s="26" t="str">
        <x:v>PUBMED-20193644</x:v>
      </x:c>
      <x:c r="B922" s="26" t="n">
        <x:v>2010</x:v>
      </x:c>
      <x:c r="C922" s="26" t="str">
        <x:v>20193644</x:v>
      </x:c>
      <x:c r="D922" s="28" t="str">
        <x:v>Course and impact of bipolar disorder in young patients.</x:v>
      </x:c>
      <x:c r="E922" s="28" t="str">
        <x:v>Evidence synthesis - review</x:v>
      </x:c>
      <x:c r="F922" s="28" t="str">
        <x:v>Development &amp; presentation; Recognition &amp; diagnosis; Treatment &amp; support</x:v>
      </x:c>
      <x:c r="G922" s="28" t="str">
        <x:v>Childhood; Adolescence; Adulthood</x:v>
      </x:c>
      <x:c r="H922" s="28" t="str">
        <x:v>Exclude/incidental</x:v>
      </x:c>
      <x:c r="I922" s="28" t="str">
        <x:v>ADHD appears peripheral or insufficiently aligned with the requested corpus scope based on accessible metadata/abstract.</x:v>
      </x:c>
      <x:c r="J922" s="38" t="e">
        <x:f>HYPERLINK("https://pubmed.ncbi.nlm.nih.gov/"&amp;C922&amp;"/","Open PubMed")</x:f>
        <x:v>HYPERLINK is not implemented. linkLocation=https://pubmed.ncbi.nlm.nih.gov/20193644/, friendlyName=Open PubMed</x:v>
      </x:c>
    </x:row>
    <x:row r="923">
      <x:c r="A923" s="26" t="str">
        <x:v>PUBMED-20189133</x:v>
      </x:c>
      <x:c r="B923" s="26" t="n">
        <x:v>2010</x:v>
      </x:c>
      <x:c r="C923" s="26" t="str">
        <x:v>20189133</x:v>
      </x:c>
      <x:c r="D923" s="28" t="str">
        <x:v>The long-term effects of prenatal nicotine exposure on neurologic development.</x:v>
      </x:c>
      <x:c r="E923" s="28" t="str">
        <x:v>Primary/contextual journal article</x:v>
      </x:c>
      <x:c r="F923" s="28" t="str">
        <x:v>Development &amp; presentation; Social &amp; structural; Environmental &amp; lifestyle; Treatment &amp; support; Life outcomes &amp; lived experience</x:v>
      </x:c>
      <x:c r="G923" s="28" t="str">
        <x:v>Childhood; Adolescence; Adulthood</x:v>
      </x:c>
      <x:c r="H923" s="28" t="str">
        <x:v>Exclude/incidental</x:v>
      </x:c>
      <x:c r="I923" s="28" t="str">
        <x:v>ADHD appears peripheral or insufficiently aligned with the requested corpus scope based on accessible metadata/abstract.</x:v>
      </x:c>
      <x:c r="J923" s="38" t="e">
        <x:f>HYPERLINK("https://pubmed.ncbi.nlm.nih.gov/"&amp;C923&amp;"/","Open PubMed")</x:f>
        <x:v>HYPERLINK is not implemented. linkLocation=https://pubmed.ncbi.nlm.nih.gov/20189133/, friendlyName=Open PubMed</x:v>
      </x:c>
    </x:row>
    <x:row r="924">
      <x:c r="A924" s="26" t="str">
        <x:v>PUBMED-20186271</x:v>
      </x:c>
      <x:c r="B924" s="26" t="n">
        <x:v>2010</x:v>
      </x:c>
      <x:c r="C924" s="26" t="str">
        <x:v>20186271</x:v>
      </x:c>
      <x:c r="D924" s="28" t="str">
        <x:v>Packages of care for attention-deficit hyperactivity disorder in low- and middle-income countries.</x:v>
      </x:c>
      <x:c r="E924" s="28" t="str">
        <x:v>Primary/contextual journal article</x:v>
      </x:c>
      <x:c r="F924" s="28" t="str">
        <x:v>Development &amp; presentation; Recognition &amp; diagnosis; Social &amp; structural; Treatment &amp; support</x:v>
      </x:c>
      <x:c r="G924" s="28" t="str">
        <x:v>Not specified</x:v>
      </x:c>
      <x:c r="H924" s="28" t="str">
        <x:v>Later specialized</x:v>
      </x:c>
      <x:c r="I924" s="28" t="str">
        <x:v>Direct or strongly ADHD-related record retained for later screening; typically narrower treatment, biomarker, mechanistic, or single-comorbidity focus.</x:v>
      </x:c>
      <x:c r="J924" s="38" t="e">
        <x:f>HYPERLINK("https://pubmed.ncbi.nlm.nih.gov/"&amp;C924&amp;"/","Open PubMed")</x:f>
        <x:v>HYPERLINK is not implemented. linkLocation=https://pubmed.ncbi.nlm.nih.gov/20186271/, friendlyName=Open PubMed</x:v>
      </x:c>
    </x:row>
    <x:row r="925">
      <x:c r="A925" s="26" t="str">
        <x:v>PUBMED-20180011</x:v>
      </x:c>
      <x:c r="B925" s="26" t="n">
        <x:v>2010</x:v>
      </x:c>
      <x:c r="C925" s="26" t="str">
        <x:v>20180011</x:v>
      </x:c>
      <x:c r="D925" s="28" t="str">
        <x:v>The relation of severity and comorbidity to treatment outcome with Cognitive Behavioral Therapy for childhood anxiety disorders.</x:v>
      </x:c>
      <x:c r="E925" s="28" t="str">
        <x:v>Primary study - randomized controlled trial</x:v>
      </x:c>
      <x:c r="F925" s="28" t="str">
        <x:v>Development &amp; presentation; Recognition &amp; diagnosis; Family &amp; education; Social &amp; structural; Treatment &amp; support; Life outcomes &amp; lived experience</x:v>
      </x:c>
      <x:c r="G925" s="28" t="str">
        <x:v>Childhood</x:v>
      </x:c>
      <x:c r="H925" s="28" t="str">
        <x:v>Exclude/incidental</x:v>
      </x:c>
      <x:c r="I925" s="28" t="str">
        <x:v>ADHD appears peripheral or insufficiently aligned with the requested corpus scope based on accessible metadata/abstract.</x:v>
      </x:c>
      <x:c r="J925" s="38" t="e">
        <x:f>HYPERLINK("https://pubmed.ncbi.nlm.nih.gov/"&amp;C925&amp;"/","Open PubMed")</x:f>
        <x:v>HYPERLINK is not implemented. linkLocation=https://pubmed.ncbi.nlm.nih.gov/20180011/, friendlyName=Open PubMed</x:v>
      </x:c>
    </x:row>
    <x:row r="926">
      <x:c r="A926" s="26" t="str">
        <x:v>PUBMED-20166797</x:v>
      </x:c>
      <x:c r="B926" s="26" t="n">
        <x:v>2010</x:v>
      </x:c>
      <x:c r="C926" s="26" t="str">
        <x:v>20166797</x:v>
      </x:c>
      <x:c r="D926" s="28" t="str">
        <x:v>Trends in incidence and characteristics of children, adolescents, and adults initiating immediate- or extended-release methylphenidate or atomoxetine in the Netherlands during 2001-2006.</x:v>
      </x:c>
      <x:c r="E926" s="28" t="str">
        <x:v>Primary/contextual journal article</x:v>
      </x:c>
      <x:c r="F926" s="28" t="str">
        <x:v>Development &amp; presentation; Social &amp; structural; Treatment &amp; support; Life outcomes &amp; lived experience</x:v>
      </x:c>
      <x:c r="G926" s="28" t="str">
        <x:v>Childhood; Adolescence; Adulthood</x:v>
      </x:c>
      <x:c r="H926" s="28" t="str">
        <x:v>Later specialized</x:v>
      </x:c>
      <x:c r="I926" s="28" t="str">
        <x:v>Direct or strongly ADHD-related record retained for later screening; typically narrower treatment, biomarker, mechanistic, or single-comorbidity focus.</x:v>
      </x:c>
      <x:c r="J926" s="38" t="e">
        <x:f>HYPERLINK("https://pubmed.ncbi.nlm.nih.gov/"&amp;C926&amp;"/","Open PubMed")</x:f>
        <x:v>HYPERLINK is not implemented. linkLocation=https://pubmed.ncbi.nlm.nih.gov/20166797/, friendlyName=Open PubMed</x:v>
      </x:c>
    </x:row>
    <x:row r="927">
      <x:c r="A927" s="26" t="str">
        <x:v>PUBMED-20166796</x:v>
      </x:c>
      <x:c r="B927" s="26" t="n">
        <x:v>2010</x:v>
      </x:c>
      <x:c r="C927" s="26" t="str">
        <x:v>20166796</x:v>
      </x:c>
      <x:c r="D927" s="28" t="str">
        <x:v>Plasma methylphenidate concentrations in youths treated with high-dose osmotic release oral system formulation.</x:v>
      </x:c>
      <x:c r="E927" s="28" t="str">
        <x:v>Primary/contextual journal article</x:v>
      </x:c>
      <x:c r="F927" s="28" t="str">
        <x:v>Development &amp; presentation; Recognition &amp; diagnosis; Social &amp; structural; Treatment &amp; support; Life outcomes &amp; lived experience</x:v>
      </x:c>
      <x:c r="G927" s="28" t="str">
        <x:v>Childhood; Adolescence; Adulthood</x:v>
      </x:c>
      <x:c r="H927" s="28" t="str">
        <x:v>Later specialized</x:v>
      </x:c>
      <x:c r="I927" s="28" t="str">
        <x:v>Direct or strongly ADHD-related record retained for later screening; typically narrower treatment, biomarker, mechanistic, or single-comorbidity focus.</x:v>
      </x:c>
      <x:c r="J927" s="38" t="e">
        <x:f>HYPERLINK("https://pubmed.ncbi.nlm.nih.gov/"&amp;C927&amp;"/","Open PubMed")</x:f>
        <x:v>HYPERLINK is not implemented. linkLocation=https://pubmed.ncbi.nlm.nih.gov/20166796/, friendlyName=Open PubMed</x:v>
      </x:c>
    </x:row>
    <x:row r="928">
      <x:c r="A928" s="26" t="str">
        <x:v>PUBMED-20166513</x:v>
      </x:c>
      <x:c r="B928" s="26" t="n">
        <x:v>2010</x:v>
      </x:c>
      <x:c r="C928" s="26" t="str">
        <x:v>20166513</x:v>
      </x:c>
      <x:c r="D928" s="28" t="str">
        <x:v>Cryptic coercion.</x:v>
      </x:c>
      <x:c r="E928" s="28" t="str">
        <x:v>Primary/contextual journal article</x:v>
      </x:c>
      <x:c r="F928" s="28" t="str">
        <x:v>Development &amp; presentation; Life outcomes &amp; lived experience</x:v>
      </x:c>
      <x:c r="G928" s="28" t="str">
        <x:v>Not specified</x:v>
      </x:c>
      <x:c r="H928" s="28" t="str">
        <x:v>Exclude/incidental</x:v>
      </x:c>
      <x:c r="I928" s="28" t="str">
        <x:v>ADHD appears peripheral or insufficiently aligned with the requested corpus scope based on accessible metadata/abstract.</x:v>
      </x:c>
      <x:c r="J928" s="38" t="e">
        <x:f>HYPERLINK("https://pubmed.ncbi.nlm.nih.gov/"&amp;C928&amp;"/","Open PubMed")</x:f>
        <x:v>HYPERLINK is not implemented. linkLocation=https://pubmed.ncbi.nlm.nih.gov/20166513/, friendlyName=Open PubMed</x:v>
      </x:c>
    </x:row>
    <x:row r="929">
      <x:c r="A929" s="26" t="str">
        <x:v>PUBMED-20159496</x:v>
      </x:c>
      <x:c r="B929" s="26" t="n">
        <x:v>2010</x:v>
      </x:c>
      <x:c r="C929" s="26" t="str">
        <x:v>20159496</x:v>
      </x:c>
      <x:c r="D929" s="28" t="str">
        <x:v>Social and emotional impairment in children and adolescents with ADHD and the impact on quality of life.</x:v>
      </x:c>
      <x:c r="E929" s="28" t="str">
        <x:v>Evidence synthesis - review</x:v>
      </x:c>
      <x:c r="F929" s="28" t="str">
        <x:v>Development &amp; presentation; Social &amp; structural; Life outcomes &amp; lived experience</x:v>
      </x:c>
      <x:c r="G929" s="28" t="str">
        <x:v>Childhood; Adolescence</x:v>
      </x:c>
      <x:c r="H929" s="28" t="str">
        <x:v>Later specialized</x:v>
      </x:c>
      <x:c r="I929" s="28" t="str">
        <x:v>Direct or strongly ADHD-related record retained for later screening; typically narrower treatment, biomarker, mechanistic, or single-comorbidity focus.</x:v>
      </x:c>
      <x:c r="J929" s="38" t="e">
        <x:f>HYPERLINK("https://pubmed.ncbi.nlm.nih.gov/"&amp;C929&amp;"/","Open PubMed")</x:f>
        <x:v>HYPERLINK is not implemented. linkLocation=https://pubmed.ncbi.nlm.nih.gov/20159496/, friendlyName=Open PubMed</x:v>
      </x:c>
    </x:row>
    <x:row r="930">
      <x:c r="A930" s="26" t="str">
        <x:v>PUBMED-20153608</x:v>
      </x:c>
      <x:c r="B930" s="26" t="n">
        <x:v>2010</x:v>
      </x:c>
      <x:c r="C930" s="26" t="str">
        <x:v>20153608</x:v>
      </x:c>
      <x:c r="D930" s="28" t="str">
        <x:v>Differential fractional anisotropy abnormalities in adolescents with ADHD or schizophrenia.</x:v>
      </x:c>
      <x:c r="E930" s="28" t="str">
        <x:v>Primary/contextual journal article</x:v>
      </x:c>
      <x:c r="F930" s="28" t="str">
        <x:v>Development &amp; presentation; Social &amp; structural; Treatment &amp; support</x:v>
      </x:c>
      <x:c r="G930" s="28" t="str">
        <x:v>Childhood; Adolescence; Adulthood</x:v>
      </x:c>
      <x:c r="H930" s="28" t="str">
        <x:v>Later specialized</x:v>
      </x:c>
      <x:c r="I930" s="28" t="str">
        <x:v>Direct or strongly ADHD-related record retained for later screening; typically narrower treatment, biomarker, mechanistic, or single-comorbidity focus.</x:v>
      </x:c>
      <x:c r="J930" s="38" t="e">
        <x:f>HYPERLINK("https://pubmed.ncbi.nlm.nih.gov/"&amp;C930&amp;"/","Open PubMed")</x:f>
        <x:v>HYPERLINK is not implemented. linkLocation=https://pubmed.ncbi.nlm.nih.gov/20153608/, friendlyName=Open PubMed</x:v>
      </x:c>
    </x:row>
    <x:row r="931">
      <x:c r="A931" s="26" t="str">
        <x:v>PUBMED-20143146</x:v>
      </x:c>
      <x:c r="B931" s="26" t="n">
        <x:v>2010</x:v>
      </x:c>
      <x:c r="C931" s="26" t="str">
        <x:v>20143146</x:v>
      </x:c>
      <x:c r="D931" s="28" t="str">
        <x:v>Anxiety symptoms in boys with autism spectrum disorder, attention-deficit hyperactivity disorder, or chronic multiple tic disorder and community controls.</x:v>
      </x:c>
      <x:c r="E931" s="28" t="str">
        <x:v>Primary study - case-control</x:v>
      </x:c>
      <x:c r="F931" s="28" t="str">
        <x:v>Development &amp; presentation; Recognition &amp; diagnosis; Family &amp; education; Social &amp; structural; Treatment &amp; support</x:v>
      </x:c>
      <x:c r="G931" s="28" t="str">
        <x:v>Childhood</x:v>
      </x:c>
      <x:c r="H931" s="28" t="str">
        <x:v>Later specialized</x:v>
      </x:c>
      <x:c r="I931" s="28" t="str">
        <x:v>Direct or strongly ADHD-related record retained for later screening; typically narrower treatment, biomarker, mechanistic, or single-comorbidity focus.</x:v>
      </x:c>
      <x:c r="J931" s="38" t="e">
        <x:f>HYPERLINK("https://pubmed.ncbi.nlm.nih.gov/"&amp;C931&amp;"/","Open PubMed")</x:f>
        <x:v>HYPERLINK is not implemented. linkLocation=https://pubmed.ncbi.nlm.nih.gov/20143146/, friendlyName=Open PubMed</x:v>
      </x:c>
    </x:row>
    <x:row r="932">
      <x:c r="A932" s="26" t="str">
        <x:v>PUBMED-20141254</x:v>
      </x:c>
      <x:c r="B932" s="26" t="n">
        <x:v>2010</x:v>
      </x:c>
      <x:c r="C932" s="26" t="str">
        <x:v>20141254</x:v>
      </x:c>
      <x:c r="D932" s="28" t="str">
        <x:v>Working memory demands impair skill acquisition in children with ADHD.</x:v>
      </x:c>
      <x:c r="E932" s="28" t="str">
        <x:v>Primary/contextual journal article</x:v>
      </x:c>
      <x:c r="F932" s="28" t="str">
        <x:v>Development &amp; presentation; Recognition &amp; diagnosis; Family &amp; education; Social &amp; structural</x:v>
      </x:c>
      <x:c r="G932" s="28" t="str">
        <x:v>Childhood</x:v>
      </x:c>
      <x:c r="H932" s="28" t="str">
        <x:v>Later specialized</x:v>
      </x:c>
      <x:c r="I932" s="28" t="str">
        <x:v>Direct or strongly ADHD-related record retained for later screening; typically narrower treatment, biomarker, mechanistic, or single-comorbidity focus.</x:v>
      </x:c>
      <x:c r="J932" s="38" t="e">
        <x:f>HYPERLINK("https://pubmed.ncbi.nlm.nih.gov/"&amp;C932&amp;"/","Open PubMed")</x:f>
        <x:v>HYPERLINK is not implemented. linkLocation=https://pubmed.ncbi.nlm.nih.gov/20141254/, friendlyName=Open PubMed</x:v>
      </x:c>
    </x:row>
    <x:row r="933">
      <x:c r="A933" s="26" t="str">
        <x:v>PUBMED-20140638</x:v>
      </x:c>
      <x:c r="B933" s="26" t="n">
        <x:v>2010</x:v>
      </x:c>
      <x:c r="C933" s="26" t="str">
        <x:v>20140638</x:v>
      </x:c>
      <x:c r="D933" s="28" t="str">
        <x:v>Executive functioning in children with Asperger syndrome, ADHD-combined type, ADHD-predominately inattentive type, and controls.</x:v>
      </x:c>
      <x:c r="E933" s="28" t="str">
        <x:v>Primary study - case-control</x:v>
      </x:c>
      <x:c r="F933" s="28" t="str">
        <x:v>Development &amp; presentation; Recognition &amp; diagnosis; Treatment &amp; support; Life outcomes &amp; lived experience</x:v>
      </x:c>
      <x:c r="G933" s="28" t="str">
        <x:v>Childhood; Adolescence</x:v>
      </x:c>
      <x:c r="H933" s="28" t="str">
        <x:v>Later specialized</x:v>
      </x:c>
      <x:c r="I933" s="28" t="str">
        <x:v>Direct or strongly ADHD-related record retained for later screening; typically narrower treatment, biomarker, mechanistic, or single-comorbidity focus.</x:v>
      </x:c>
      <x:c r="J933" s="38" t="e">
        <x:f>HYPERLINK("https://pubmed.ncbi.nlm.nih.gov/"&amp;C933&amp;"/","Open PubMed")</x:f>
        <x:v>HYPERLINK is not implemented. linkLocation=https://pubmed.ncbi.nlm.nih.gov/20140638/, friendlyName=Open PubMed</x:v>
      </x:c>
    </x:row>
    <x:row r="934">
      <x:c r="A934" s="26" t="str">
        <x:v>PUBMED-20127596</x:v>
      </x:c>
      <x:c r="B934" s="26" t="n">
        <x:v>2010</x:v>
      </x:c>
      <x:c r="C934" s="26" t="str">
        <x:v>20127596</x:v>
      </x:c>
      <x:c r="D934" s="28" t="str">
        <x:v>Panic attack after spice abuse in a patient with ADHD.</x:v>
      </x:c>
      <x:c r="E934" s="28" t="str">
        <x:v>Other/unclear</x:v>
      </x:c>
      <x:c r="F934" s="28" t="str">
        <x:v>Development &amp; presentation; Treatment &amp; support</x:v>
      </x:c>
      <x:c r="G934" s="28" t="str">
        <x:v>Adulthood</x:v>
      </x:c>
      <x:c r="H934" s="28" t="str">
        <x:v>Later specialized</x:v>
      </x:c>
      <x:c r="I934" s="28" t="str">
        <x:v>Direct or strongly ADHD-related record retained for later screening; typically narrower treatment, biomarker, mechanistic, or single-comorbidity focus.</x:v>
      </x:c>
      <x:c r="J934" s="38" t="e">
        <x:f>HYPERLINK("https://pubmed.ncbi.nlm.nih.gov/"&amp;C934&amp;"/","Open PubMed")</x:f>
        <x:v>HYPERLINK is not implemented. linkLocation=https://pubmed.ncbi.nlm.nih.gov/20127596/, friendlyName=Open PubMed</x:v>
      </x:c>
    </x:row>
    <x:row r="935">
      <x:c r="A935" s="26" t="str">
        <x:v>PUBMED-20127451</x:v>
      </x:c>
      <x:c r="B935" s="26" t="n">
        <x:v>2010</x:v>
      </x:c>
      <x:c r="C935" s="26" t="str">
        <x:v>20127451</x:v>
      </x:c>
      <x:c r="D935" s="28" t="str">
        <x:v>Attention-deficit hyperactivity disorder and gender.</x:v>
      </x:c>
      <x:c r="E935" s="28" t="str">
        <x:v>Primary/contextual journal article</x:v>
      </x:c>
      <x:c r="F935" s="28" t="str">
        <x:v>Development &amp; presentation; Recognition &amp; diagnosis; Social &amp; structural</x:v>
      </x:c>
      <x:c r="G935" s="28" t="str">
        <x:v>Not specified</x:v>
      </x:c>
      <x:c r="H935" s="28" t="str">
        <x:v>Later specialized</x:v>
      </x:c>
      <x:c r="I935" s="28" t="str">
        <x:v>Direct or strongly ADHD-related record retained for later screening; typically narrower treatment, biomarker, mechanistic, or single-comorbidity focus.</x:v>
      </x:c>
      <x:c r="J935" s="38" t="e">
        <x:f>HYPERLINK("https://pubmed.ncbi.nlm.nih.gov/"&amp;C935&amp;"/","Open PubMed")</x:f>
        <x:v>HYPERLINK is not implemented. linkLocation=https://pubmed.ncbi.nlm.nih.gov/20127451/, friendlyName=Open PubMed</x:v>
      </x:c>
    </x:row>
    <x:row r="936">
      <x:c r="A936" s="26" t="str">
        <x:v>PUBMED-20122098</x:v>
      </x:c>
      <x:c r="B936" s="26" t="n">
        <x:v>2010</x:v>
      </x:c>
      <x:c r="C936" s="26" t="str">
        <x:v>20122098</x:v>
      </x:c>
      <x:c r="D936" s="28" t="str">
        <x:v>Emotional and behavioural problems in adolescents with intellectual disability with and without chronic diseases.</x:v>
      </x:c>
      <x:c r="E936" s="28" t="str">
        <x:v>Primary study - cross-sectional</x:v>
      </x:c>
      <x:c r="F936" s="28" t="str">
        <x:v>Development &amp; presentation; Recognition &amp; diagnosis; Family &amp; education; Social &amp; structural</x:v>
      </x:c>
      <x:c r="G936" s="28" t="str">
        <x:v>Childhood; Adolescence</x:v>
      </x:c>
      <x:c r="H936" s="28" t="str">
        <x:v>Exclude/incidental</x:v>
      </x:c>
      <x:c r="I936" s="28" t="str">
        <x:v>ADHD appears peripheral or insufficiently aligned with the requested corpus scope based on accessible metadata/abstract.</x:v>
      </x:c>
      <x:c r="J936" s="38" t="e">
        <x:f>HYPERLINK("https://pubmed.ncbi.nlm.nih.gov/"&amp;C936&amp;"/","Open PubMed")</x:f>
        <x:v>HYPERLINK is not implemented. linkLocation=https://pubmed.ncbi.nlm.nih.gov/20122098/, friendlyName=Open PubMed</x:v>
      </x:c>
    </x:row>
    <x:row r="937">
      <x:c r="A937" s="26" t="str">
        <x:v>PUBMED-22254013</x:v>
      </x:c>
      <x:c r="B937" s="26" t="n">
        <x:v>2010</x:v>
      </x:c>
      <x:c r="C937" s="26" t="str">
        <x:v>22254013</x:v>
      </x:c>
      <x:c r="D937" s="28" t="str">
        <x:v>Oiling the brain: a review of randomized controlled trials of omega-3 fatty acids in psychopathology across the lifespan.</x:v>
      </x:c>
      <x:c r="E937" s="28" t="str">
        <x:v>Evidence synthesis - review</x:v>
      </x:c>
      <x:c r="F937" s="28" t="str">
        <x:v>Development &amp; presentation; Family &amp; education; Social &amp; structural; Environmental &amp; lifestyle; Treatment &amp; support</x:v>
      </x:c>
      <x:c r="G937" s="28" t="str">
        <x:v>Childhood; Adolescence; Adulthood</x:v>
      </x:c>
      <x:c r="H937" s="28" t="str">
        <x:v>Exclude/incidental</x:v>
      </x:c>
      <x:c r="I937" s="28" t="str">
        <x:v>ADHD appears peripheral or insufficiently aligned with the requested corpus scope based on accessible metadata/abstract.</x:v>
      </x:c>
      <x:c r="J937" s="38" t="e">
        <x:f>HYPERLINK("https://pubmed.ncbi.nlm.nih.gov/"&amp;C937&amp;"/","Open PubMed")</x:f>
        <x:v>HYPERLINK is not implemented. linkLocation=https://pubmed.ncbi.nlm.nih.gov/22254013/, friendlyName=Open PubMed</x:v>
      </x:c>
    </x:row>
    <x:row r="938">
      <x:c r="A938" s="26" t="str">
        <x:v>PUBMED-20111852</x:v>
      </x:c>
      <x:c r="B938" s="26" t="n">
        <x:v>2010</x:v>
      </x:c>
      <x:c r="C938" s="26" t="str">
        <x:v>20111852</x:v>
      </x:c>
      <x:c r="D938" s="28" t="str">
        <x:v>[Tobacco consumption of adults diagnosed with ADHD].</x:v>
      </x:c>
      <x:c r="E938" s="28" t="str">
        <x:v>Primary/contextual journal article</x:v>
      </x:c>
      <x:c r="F938" s="28" t="str">
        <x:v>Development &amp; presentation; Recognition &amp; diagnosis; Social &amp; structural; Environmental &amp; lifestyle</x:v>
      </x:c>
      <x:c r="G938" s="28" t="str">
        <x:v>Adulthood</x:v>
      </x:c>
      <x:c r="H938" s="28" t="str">
        <x:v>Later specialized</x:v>
      </x:c>
      <x:c r="I938" s="28" t="str">
        <x:v>Direct or strongly ADHD-related record retained for later screening; typically narrower treatment, biomarker, mechanistic, or single-comorbidity focus.</x:v>
      </x:c>
      <x:c r="J938" s="38" t="e">
        <x:f>HYPERLINK("https://pubmed.ncbi.nlm.nih.gov/"&amp;C938&amp;"/","Open PubMed")</x:f>
        <x:v>HYPERLINK is not implemented. linkLocation=https://pubmed.ncbi.nlm.nih.gov/20111852/, friendlyName=Open PubMed</x:v>
      </x:c>
    </x:row>
    <x:row r="939">
      <x:c r="A939" s="26" t="str">
        <x:v>PUBMED-20108084</x:v>
      </x:c>
      <x:c r="B939" s="26" t="n">
        <x:v>2010</x:v>
      </x:c>
      <x:c r="C939" s="26" t="str">
        <x:v>20108084</x:v>
      </x:c>
      <x:c r="D939" s="28" t="str">
        <x:v>[Methylphenidate. Therapy option for adults with ADHD and comorbid substance use disorder?].</x:v>
      </x:c>
      <x:c r="E939" s="28" t="str">
        <x:v>Evidence synthesis - review</x:v>
      </x:c>
      <x:c r="F939" s="28" t="str">
        <x:v>Development &amp; presentation; Recognition &amp; diagnosis; Family &amp; education; Social &amp; structural; Treatment &amp; support; Life outcomes &amp; lived experience</x:v>
      </x:c>
      <x:c r="G939" s="28" t="str">
        <x:v>Childhood; Adulthood</x:v>
      </x:c>
      <x:c r="H939" s="28" t="str">
        <x:v>Later specialized</x:v>
      </x:c>
      <x:c r="I939" s="28" t="str">
        <x:v>Direct or strongly ADHD-related record retained for later screening; typically narrower treatment, biomarker, mechanistic, or single-comorbidity focus.</x:v>
      </x:c>
      <x:c r="J939" s="38" t="e">
        <x:f>HYPERLINK("https://pubmed.ncbi.nlm.nih.gov/"&amp;C939&amp;"/","Open PubMed")</x:f>
        <x:v>HYPERLINK is not implemented. linkLocation=https://pubmed.ncbi.nlm.nih.gov/20108084/, friendlyName=Open PubMed</x:v>
      </x:c>
    </x:row>
    <x:row r="940">
      <x:c r="A940" s="26" t="str">
        <x:v>PUBMED-20097249</x:v>
      </x:c>
      <x:c r="B940" s="26" t="n">
        <x:v>2010</x:v>
      </x:c>
      <x:c r="C940" s="26" t="str">
        <x:v>20097249</x:v>
      </x:c>
      <x:c r="D940" s="28" t="str">
        <x:v>Identification of selected therapeutic agents as inhibitors of carboxylesterase 1: potential sources of metabolic drug interactions.</x:v>
      </x:c>
      <x:c r="E940" s="28" t="str">
        <x:v>Primary/contextual journal article</x:v>
      </x:c>
      <x:c r="F940" s="28" t="str">
        <x:v>Development &amp; presentation; Recognition &amp; diagnosis; Social &amp; structural; Treatment &amp; support; Life outcomes &amp; lived experience</x:v>
      </x:c>
      <x:c r="G940" s="28" t="str">
        <x:v>Not specified</x:v>
      </x:c>
      <x:c r="H940" s="28" t="str">
        <x:v>Exclude/incidental</x:v>
      </x:c>
      <x:c r="I940" s="28" t="str">
        <x:v>ADHD appears peripheral or insufficiently aligned with the requested corpus scope based on accessible metadata/abstract.</x:v>
      </x:c>
      <x:c r="J940" s="38" t="e">
        <x:f>HYPERLINK("https://pubmed.ncbi.nlm.nih.gov/"&amp;C940&amp;"/","Open PubMed")</x:f>
        <x:v>HYPERLINK is not implemented. linkLocation=https://pubmed.ncbi.nlm.nih.gov/20097249/, friendlyName=Open PubMed</x:v>
      </x:c>
    </x:row>
    <x:row r="941">
      <x:c r="A941" s="26" t="str">
        <x:v>PUBMED-20091113</x:v>
      </x:c>
      <x:c r="B941" s="26" t="n">
        <x:v>2010</x:v>
      </x:c>
      <x:c r="C941" s="26" t="str">
        <x:v>20091113</x:v>
      </x:c>
      <x:c r="D941" s="28" t="str">
        <x:v>Polymorphisms in dopamine transporter (SLC6A3) are associated with stimulant effects of D-amphetamine: an exploratory pharmacogenetic study using healthy volunteers.</x:v>
      </x:c>
      <x:c r="E941" s="28" t="str">
        <x:v>Primary study - randomized controlled trial</x:v>
      </x:c>
      <x:c r="F941" s="28" t="str">
        <x:v>Development &amp; presentation; Treatment &amp; support</x:v>
      </x:c>
      <x:c r="G941" s="28" t="str">
        <x:v>Adolescence; Adulthood</x:v>
      </x:c>
      <x:c r="H941" s="28" t="str">
        <x:v>Later specialized</x:v>
      </x:c>
      <x:c r="I941" s="28" t="str">
        <x:v>Direct or strongly ADHD-related record retained for later screening; typically narrower treatment, biomarker, mechanistic, or single-comorbidity focus.</x:v>
      </x:c>
      <x:c r="J941" s="38" t="e">
        <x:f>HYPERLINK("https://pubmed.ncbi.nlm.nih.gov/"&amp;C941&amp;"/","Open PubMed")</x:f>
        <x:v>HYPERLINK is not implemented. linkLocation=https://pubmed.ncbi.nlm.nih.gov/20091113/, friendlyName=Open PubMed</x:v>
      </x:c>
    </x:row>
    <x:row r="942">
      <x:c r="A942" s="26" t="str">
        <x:v>PUBMED-20089909</x:v>
      </x:c>
      <x:c r="B942" s="26" t="n">
        <x:v>2010</x:v>
      </x:c>
      <x:c r="C942" s="26" t="str">
        <x:v>20089909</x:v>
      </x:c>
      <x:c r="D942" s="28" t="str">
        <x:v>Attention-like deficit and hyperactivity in a Drosophila memory mutant.</x:v>
      </x:c>
      <x:c r="E942" s="28" t="str">
        <x:v>Primary/contextual journal article</x:v>
      </x:c>
      <x:c r="F942" s="28" t="str">
        <x:v>Development &amp; presentation; Social &amp; structural; Environmental &amp; lifestyle; Treatment &amp; support</x:v>
      </x:c>
      <x:c r="G942" s="28" t="str">
        <x:v>Not specified</x:v>
      </x:c>
      <x:c r="H942" s="28" t="str">
        <x:v>Exclude/incidental</x:v>
      </x:c>
      <x:c r="I942" s="28" t="str">
        <x:v>Animal-only record; retained outside the human-focused core corpus.</x:v>
      </x:c>
      <x:c r="J942" s="38" t="e">
        <x:f>HYPERLINK("https://pubmed.ncbi.nlm.nih.gov/"&amp;C942&amp;"/","Open PubMed")</x:f>
        <x:v>HYPERLINK is not implemented. linkLocation=https://pubmed.ncbi.nlm.nih.gov/20089909/, friendlyName=Open PubMed</x:v>
      </x:c>
    </x:row>
    <x:row r="943">
      <x:c r="A943" s="26" t="str">
        <x:v>PUBMED-20086262</x:v>
      </x:c>
      <x:c r="B943" s="26" t="n">
        <x:v>2010</x:v>
      </x:c>
      <x:c r="C943" s="26" t="str">
        <x:v>20086262</x:v>
      </x:c>
      <x:c r="D943" s="28" t="str">
        <x:v>A study of a Dutch online decision aid for parents of children with ADHD.</x:v>
      </x:c>
      <x:c r="E943" s="28" t="str">
        <x:v>Primary/contextual journal article</x:v>
      </x:c>
      <x:c r="F943" s="28" t="str">
        <x:v>Development &amp; presentation; Family &amp; education; Social &amp; structural; Treatment &amp; support; Life outcomes &amp; lived experience; Historical &amp; contemporary context</x:v>
      </x:c>
      <x:c r="G943" s="28" t="str">
        <x:v>Childhood; Adolescence; Adulthood</x:v>
      </x:c>
      <x:c r="H943" s="28" t="str">
        <x:v>Later specialized</x:v>
      </x:c>
      <x:c r="I943" s="28" t="str">
        <x:v>Direct or strongly ADHD-related record retained for later screening; typically narrower treatment, biomarker, mechanistic, or single-comorbidity focus.</x:v>
      </x:c>
      <x:c r="J943" s="38" t="e">
        <x:f>HYPERLINK("https://pubmed.ncbi.nlm.nih.gov/"&amp;C943&amp;"/","Open PubMed")</x:f>
        <x:v>HYPERLINK is not implemented. linkLocation=https://pubmed.ncbi.nlm.nih.gov/20086262/, friendlyName=Open PubMed</x:v>
      </x:c>
    </x:row>
    <x:row r="944">
      <x:c r="A944" s="26" t="str">
        <x:v>PUBMED-20085608</x:v>
      </x:c>
      <x:c r="B944" s="26" t="n">
        <x:v>2010</x:v>
      </x:c>
      <x:c r="C944" s="26" t="str">
        <x:v>20085608</x:v>
      </x:c>
      <x:c r="D944" s="28" t="str">
        <x:v>Executive functions as endophenotypes in ADHD: evidence from the Cambridge Neuropsychological Test Battery (CANTAB).</x:v>
      </x:c>
      <x:c r="E944" s="28" t="str">
        <x:v>Primary/contextual journal article</x:v>
      </x:c>
      <x:c r="F944" s="28" t="str">
        <x:v>Development &amp; presentation; Recognition &amp; diagnosis; Family &amp; education; Social &amp; structural</x:v>
      </x:c>
      <x:c r="G944" s="28" t="str">
        <x:v>Childhood; Adolescence</x:v>
      </x:c>
      <x:c r="H944" s="28" t="str">
        <x:v>Later specialized</x:v>
      </x:c>
      <x:c r="I944" s="28" t="str">
        <x:v>Direct or strongly ADHD-related record retained for later screening; typically narrower treatment, biomarker, mechanistic, or single-comorbidity focus.</x:v>
      </x:c>
      <x:c r="J944" s="38" t="e">
        <x:f>HYPERLINK("https://pubmed.ncbi.nlm.nih.gov/"&amp;C944&amp;"/","Open PubMed")</x:f>
        <x:v>HYPERLINK is not implemented. linkLocation=https://pubmed.ncbi.nlm.nih.gov/20085608/, friendlyName=Open PubMed</x:v>
      </x:c>
    </x:row>
    <x:row r="945">
      <x:c r="A945" s="26" t="str">
        <x:v>PUBMED-20084452</x:v>
      </x:c>
      <x:c r="B945" s="26" t="n">
        <x:v>2010</x:v>
      </x:c>
      <x:c r="C945" s="26" t="str">
        <x:v>20084452</x:v>
      </x:c>
      <x:c r="D945" s="28" t="str">
        <x:v>Direct and indirect measures of social perception, behavior, and emotional functioning in children with Asperger's disorder, nonverbal learning disability, or ADHD.</x:v>
      </x:c>
      <x:c r="E945" s="28" t="str">
        <x:v>Primary/contextual journal article</x:v>
      </x:c>
      <x:c r="F945" s="28" t="str">
        <x:v>Development &amp; presentation; Recognition &amp; diagnosis; Family &amp; education; Social &amp; structural; Treatment &amp; support; Life outcomes &amp; lived experience</x:v>
      </x:c>
      <x:c r="G945" s="28" t="str">
        <x:v>Childhood; Adolescence</x:v>
      </x:c>
      <x:c r="H945" s="28" t="str">
        <x:v>Later specialized</x:v>
      </x:c>
      <x:c r="I945" s="28" t="str">
        <x:v>Direct or strongly ADHD-related record retained for later screening; typically narrower treatment, biomarker, mechanistic, or single-comorbidity focus.</x:v>
      </x:c>
      <x:c r="J945" s="38" t="e">
        <x:f>HYPERLINK("https://pubmed.ncbi.nlm.nih.gov/"&amp;C945&amp;"/","Open PubMed")</x:f>
        <x:v>HYPERLINK is not implemented. linkLocation=https://pubmed.ncbi.nlm.nih.gov/20084452/, friendlyName=Open PubMed</x:v>
      </x:c>
    </x:row>
    <x:row r="946">
      <x:c r="A946" s="26" t="str">
        <x:v>PUBMED-20081434</x:v>
      </x:c>
      <x:c r="B946" s="26" t="n">
        <x:v>2010</x:v>
      </x:c>
      <x:c r="C946" s="26" t="str">
        <x:v>20081434</x:v>
      </x:c>
      <x:c r="D946" s="28" t="str">
        <x:v>Actual motor performance and self-perceived motor competence in children with attention-deficit hyperactivity disorder compared with healthy siblings and peers.</x:v>
      </x:c>
      <x:c r="E946" s="28" t="str">
        <x:v>Primary study - cross-sectional</x:v>
      </x:c>
      <x:c r="F946" s="28" t="str">
        <x:v>Development &amp; presentation; Recognition &amp; diagnosis; Family &amp; education; Social &amp; structural; Life outcomes &amp; lived experience</x:v>
      </x:c>
      <x:c r="G946" s="28" t="str">
        <x:v>Childhood; Adolescence</x:v>
      </x:c>
      <x:c r="H946" s="28" t="str">
        <x:v>Later specialized</x:v>
      </x:c>
      <x:c r="I946" s="28" t="str">
        <x:v>Direct or strongly ADHD-related record retained for later screening; typically narrower treatment, biomarker, mechanistic, or single-comorbidity focus.</x:v>
      </x:c>
      <x:c r="J946" s="38" t="e">
        <x:f>HYPERLINK("https://pubmed.ncbi.nlm.nih.gov/"&amp;C946&amp;"/","Open PubMed")</x:f>
        <x:v>HYPERLINK is not implemented. linkLocation=https://pubmed.ncbi.nlm.nih.gov/20081434/, friendlyName=Open PubMed</x:v>
      </x:c>
    </x:row>
    <x:row r="947">
      <x:c r="A947" s="26" t="str">
        <x:v>PUBMED-20081430</x:v>
      </x:c>
      <x:c r="B947" s="26" t="n">
        <x:v>2010</x:v>
      </x:c>
      <x:c r="C947" s="26" t="str">
        <x:v>20081430</x:v>
      </x:c>
      <x:c r="D947" s="28" t="str">
        <x:v>Bullying and ostracism experiences in children with special health care needs.</x:v>
      </x:c>
      <x:c r="E947" s="28" t="str">
        <x:v>Primary/contextual journal article</x:v>
      </x:c>
      <x:c r="F947" s="28" t="str">
        <x:v>Development &amp; presentation; Recognition &amp; diagnosis; Family &amp; education; Social &amp; structural; Treatment &amp; support; Life outcomes &amp; lived experience</x:v>
      </x:c>
      <x:c r="G947" s="28" t="str">
        <x:v>Childhood; Adolescence</x:v>
      </x:c>
      <x:c r="H947" s="28" t="str">
        <x:v>Exclude/incidental</x:v>
      </x:c>
      <x:c r="I947" s="28" t="str">
        <x:v>ADHD appears peripheral or insufficiently aligned with the requested corpus scope based on accessible metadata/abstract.</x:v>
      </x:c>
      <x:c r="J947" s="38" t="e">
        <x:f>HYPERLINK("https://pubmed.ncbi.nlm.nih.gov/"&amp;C947&amp;"/","Open PubMed")</x:f>
        <x:v>HYPERLINK is not implemented. linkLocation=https://pubmed.ncbi.nlm.nih.gov/20081430/, friendlyName=Open PubMed</x:v>
      </x:c>
    </x:row>
    <x:row r="948">
      <x:c r="A948" s="26" t="str">
        <x:v>PUBMED-20080984</x:v>
      </x:c>
      <x:c r="B948" s="26" t="n">
        <x:v>2010</x:v>
      </x:c>
      <x:c r="C948" s="26" t="str">
        <x:v>20080984</x:v>
      </x:c>
      <x:c r="D948" s="28" t="str">
        <x:v>Adult psychiatric outcomes of girls with attention deficit hyperactivity disorder: 11-year follow-up in a longitudinal case-control study.</x:v>
      </x:c>
      <x:c r="E948" s="28" t="str">
        <x:v>Primary study - case-control</x:v>
      </x:c>
      <x:c r="F948" s="28" t="str">
        <x:v>Development &amp; presentation; Recognition &amp; diagnosis; Social &amp; structural; Treatment &amp; support; Life outcomes &amp; lived experience</x:v>
      </x:c>
      <x:c r="G948" s="28" t="str">
        <x:v>Childhood; Adolescence; Adulthood</x:v>
      </x:c>
      <x:c r="H948" s="28" t="str">
        <x:v>Batch 1 core</x:v>
      </x:c>
      <x:c r="I948" s="28" t="str">
        <x:v>Direct ADHD primary study on diagnosis, family/education, structural conditions, lived experience/outcomes, or environment/lifestyle.</x:v>
      </x:c>
      <x:c r="J948" s="38" t="e">
        <x:f>HYPERLINK("https://pubmed.ncbi.nlm.nih.gov/"&amp;C948&amp;"/","Open PubMed")</x:f>
        <x:v>HYPERLINK is not implemented. linkLocation=https://pubmed.ncbi.nlm.nih.gov/20080984/, friendlyName=Open PubMed</x:v>
      </x:c>
    </x:row>
    <x:row r="949">
      <x:c r="A949" s="26" t="str">
        <x:v>PUBMED-20080982</x:v>
      </x:c>
      <x:c r="B949" s="26" t="n">
        <x:v>2010</x:v>
      </x:c>
      <x:c r="C949" s="26" t="str">
        <x:v>20080982</x:v>
      </x:c>
      <x:c r="D949" s="28" t="str">
        <x:v>Psychiatric disorders in preschool offspring of parents with bipolar disorder: the Pittsburgh Bipolar Offspring Study (BIOS).</x:v>
      </x:c>
      <x:c r="E949" s="28" t="str">
        <x:v>Primary study - case-control</x:v>
      </x:c>
      <x:c r="F949" s="28" t="str">
        <x:v>Development &amp; presentation; Recognition &amp; diagnosis; Family &amp; education; Social &amp; structural</x:v>
      </x:c>
      <x:c r="G949" s="28" t="str">
        <x:v>Childhood; Adulthood</x:v>
      </x:c>
      <x:c r="H949" s="28" t="str">
        <x:v>Later specialized</x:v>
      </x:c>
      <x:c r="I949" s="28" t="str">
        <x:v>Direct or strongly ADHD-related record retained for later screening; typically narrower treatment, biomarker, mechanistic, or single-comorbidity focus.</x:v>
      </x:c>
      <x:c r="J949" s="38" t="e">
        <x:f>HYPERLINK("https://pubmed.ncbi.nlm.nih.gov/"&amp;C949&amp;"/","Open PubMed")</x:f>
        <x:v>HYPERLINK is not implemented. linkLocation=https://pubmed.ncbi.nlm.nih.gov/20080982/, friendlyName=Open PubMed</x:v>
      </x:c>
    </x:row>
    <x:row r="950">
      <x:c r="A950" s="26" t="str">
        <x:v>PUBMED-20080521</x:v>
      </x:c>
      <x:c r="B950" s="26" t="n">
        <x:v>2010</x:v>
      </x:c>
      <x:c r="C950" s="26" t="str">
        <x:v>20080521</x:v>
      </x:c>
      <x:c r="D950" s="28" t="str">
        <x:v>Information needs of parents of children with attention-deficit/hyperactivity disorder.</x:v>
      </x:c>
      <x:c r="E950" s="28" t="str">
        <x:v>Primary study - cohort</x:v>
      </x:c>
      <x:c r="F950" s="28" t="str">
        <x:v>Development &amp; presentation; Recognition &amp; diagnosis; Family &amp; education; Social &amp; structural; Treatment &amp; support; Historical &amp; contemporary context</x:v>
      </x:c>
      <x:c r="G950" s="28" t="str">
        <x:v>Childhood; Adolescence; Adulthood</x:v>
      </x:c>
      <x:c r="H950" s="28" t="str">
        <x:v>Batch 1 core</x:v>
      </x:c>
      <x:c r="I950" s="28" t="str">
        <x:v>Direct ADHD primary study on diagnosis, family/education, structural conditions, lived experience/outcomes, or environment/lifestyle.</x:v>
      </x:c>
      <x:c r="J950" s="38" t="e">
        <x:f>HYPERLINK("https://pubmed.ncbi.nlm.nih.gov/"&amp;C950&amp;"/","Open PubMed")</x:f>
        <x:v>HYPERLINK is not implemented. linkLocation=https://pubmed.ncbi.nlm.nih.gov/20080521/, friendlyName=Open PubMed</x:v>
      </x:c>
    </x:row>
    <x:row r="951">
      <x:c r="A951" s="26" t="str">
        <x:v>PUBMED-20080053</x:v>
      </x:c>
      <x:c r="B951" s="26" t="n">
        <x:v>2010</x:v>
      </x:c>
      <x:c r="C951" s="26" t="str">
        <x:v>20080053</x:v>
      </x:c>
      <x:c r="D951" s="28" t="str">
        <x:v>Dyslexia: a deficit in visuo-spatial attention, not in phonological processing.</x:v>
      </x:c>
      <x:c r="E951" s="28" t="str">
        <x:v>Primary/contextual journal article</x:v>
      </x:c>
      <x:c r="F951" s="28" t="str">
        <x:v>Development &amp; presentation; Recognition &amp; diagnosis; Social &amp; structural; Treatment &amp; support</x:v>
      </x:c>
      <x:c r="G951" s="28" t="str">
        <x:v>Not specified</x:v>
      </x:c>
      <x:c r="H951" s="28" t="str">
        <x:v>Later specialized</x:v>
      </x:c>
      <x:c r="I951" s="28" t="str">
        <x:v>Direct or strongly ADHD-related record retained for later screening; typically narrower treatment, biomarker, mechanistic, or single-comorbidity focus.</x:v>
      </x:c>
      <x:c r="J951" s="38" t="e">
        <x:f>HYPERLINK("https://pubmed.ncbi.nlm.nih.gov/"&amp;C951&amp;"/","Open PubMed")</x:f>
        <x:v>HYPERLINK is not implemented. linkLocation=https://pubmed.ncbi.nlm.nih.gov/20080053/, friendlyName=Open PubMed</x:v>
      </x:c>
    </x:row>
    <x:row r="952">
      <x:c r="A952" s="26" t="str">
        <x:v>PUBMED-20077795</x:v>
      </x:c>
      <x:c r="B952" s="26" t="n">
        <x:v>2010</x:v>
      </x:c>
      <x:c r="C952" s="26" t="str">
        <x:v>20077795</x:v>
      </x:c>
      <x:c r="D952" s="28" t="str">
        <x:v>[Care continuity for patients with attention deficit hyperactivity disorder (ADHD) during transition from childhood to adulthood].</x:v>
      </x:c>
      <x:c r="E952" s="28" t="str">
        <x:v>Evidence synthesis - review</x:v>
      </x:c>
      <x:c r="F952" s="28" t="str">
        <x:v>Development &amp; presentation; Social &amp; structural; Treatment &amp; support</x:v>
      </x:c>
      <x:c r="G952" s="28" t="str">
        <x:v>Childhood; Adolescence; Adulthood</x:v>
      </x:c>
      <x:c r="H952" s="28" t="str">
        <x:v>Later specialized</x:v>
      </x:c>
      <x:c r="I952" s="28" t="str">
        <x:v>Direct or strongly ADHD-related record retained for later screening; typically narrower treatment, biomarker, mechanistic, or single-comorbidity focus.</x:v>
      </x:c>
      <x:c r="J952" s="38" t="e">
        <x:f>HYPERLINK("https://pubmed.ncbi.nlm.nih.gov/"&amp;C952&amp;"/","Open PubMed")</x:f>
        <x:v>HYPERLINK is not implemented. linkLocation=https://pubmed.ncbi.nlm.nih.gov/20077795/, friendlyName=Open PubMed</x:v>
      </x:c>
    </x:row>
    <x:row r="953">
      <x:c r="A953" s="26" t="str">
        <x:v>PUBMED-20068119</x:v>
      </x:c>
      <x:c r="B953" s="26" t="n">
        <x:v>2010</x:v>
      </x:c>
      <x:c r="C953" s="26" t="str">
        <x:v>20068119</x:v>
      </x:c>
      <x:c r="D953" s="28" t="str">
        <x:v>Coming of age? Neuroimaging biomarkers in youth.</x:v>
      </x:c>
      <x:c r="E953" s="28" t="str">
        <x:v>Contextual - editorial/comment</x:v>
      </x:c>
      <x:c r="F953" s="28" t="str">
        <x:v>Development &amp; presentation; Recognition &amp; diagnosis; Social &amp; structural</x:v>
      </x:c>
      <x:c r="G953" s="28" t="str">
        <x:v>Childhood; Adolescence</x:v>
      </x:c>
      <x:c r="H953" s="28" t="str">
        <x:v>Exclude/incidental</x:v>
      </x:c>
      <x:c r="I953" s="28" t="str">
        <x:v>ADHD appears peripheral or insufficiently aligned with the requested corpus scope based on accessible metadata/abstract.</x:v>
      </x:c>
      <x:c r="J953" s="38" t="e">
        <x:f>HYPERLINK("https://pubmed.ncbi.nlm.nih.gov/"&amp;C953&amp;"/","Open PubMed")</x:f>
        <x:v>HYPERLINK is not implemented. linkLocation=https://pubmed.ncbi.nlm.nih.gov/20068119/, friendlyName=Open PubMed</x:v>
      </x:c>
    </x:row>
    <x:row r="954">
      <x:c r="A954" s="26" t="str">
        <x:v>PUBMED-20065071</x:v>
      </x:c>
      <x:c r="B954" s="26" t="n">
        <x:v>2010</x:v>
      </x:c>
      <x:c r="C954" s="26" t="str">
        <x:v>20065071</x:v>
      </x:c>
      <x:c r="D954" s="28" t="str">
        <x:v>An examination of shared variance in self-report and objective measures of attention in the incarcerated adult population.</x:v>
      </x:c>
      <x:c r="E954" s="28" t="str">
        <x:v>Primary/contextual journal article</x:v>
      </x:c>
      <x:c r="F954" s="28" t="str">
        <x:v>Development &amp; presentation; Recognition &amp; diagnosis; Social &amp; structural</x:v>
      </x:c>
      <x:c r="G954" s="28" t="str">
        <x:v>Adulthood</x:v>
      </x:c>
      <x:c r="H954" s="28" t="str">
        <x:v>Later specialized</x:v>
      </x:c>
      <x:c r="I954" s="28" t="str">
        <x:v>Direct or strongly ADHD-related record retained for later screening; typically narrower treatment, biomarker, mechanistic, or single-comorbidity focus.</x:v>
      </x:c>
      <x:c r="J954" s="38" t="e">
        <x:f>HYPERLINK("https://pubmed.ncbi.nlm.nih.gov/"&amp;C954&amp;"/","Open PubMed")</x:f>
        <x:v>HYPERLINK is not implemented. linkLocation=https://pubmed.ncbi.nlm.nih.gov/20065071/, friendlyName=Open PubMed</x:v>
      </x:c>
    </x:row>
    <x:row r="955">
      <x:c r="A955" s="26" t="str">
        <x:v>PUBMED-20054798</x:v>
      </x:c>
      <x:c r="B955" s="26" t="n">
        <x:v>2010</x:v>
      </x:c>
      <x:c r="C955" s="26" t="str">
        <x:v>20054798</x:v>
      </x:c>
      <x:c r="D955" s="28" t="str">
        <x:v>[Antipsychotic agents and stimulants: a judicious combination?].</x:v>
      </x:c>
      <x:c r="E955" s="28" t="str">
        <x:v>Primary/contextual journal article</x:v>
      </x:c>
      <x:c r="F955" s="28" t="str">
        <x:v>Development &amp; presentation; Recognition &amp; diagnosis; Social &amp; structural; Treatment &amp; support; Life outcomes &amp; lived experience</x:v>
      </x:c>
      <x:c r="G955" s="28" t="str">
        <x:v>Adulthood</x:v>
      </x:c>
      <x:c r="H955" s="28" t="str">
        <x:v>Later specialized</x:v>
      </x:c>
      <x:c r="I955" s="28" t="str">
        <x:v>Direct or strongly ADHD-related record retained for later screening; typically narrower treatment, biomarker, mechanistic, or single-comorbidity focus.</x:v>
      </x:c>
      <x:c r="J955" s="38" t="e">
        <x:f>HYPERLINK("https://pubmed.ncbi.nlm.nih.gov/"&amp;C955&amp;"/","Open PubMed")</x:f>
        <x:v>HYPERLINK is not implemented. linkLocation=https://pubmed.ncbi.nlm.nih.gov/20054798/, friendlyName=Open PubMed</x:v>
      </x:c>
    </x:row>
    <x:row r="956">
      <x:c r="A956" s="26" t="str">
        <x:v>PUBMED-20051220</x:v>
      </x:c>
      <x:c r="B956" s="26" t="n">
        <x:v>2010</x:v>
      </x:c>
      <x:c r="C956" s="26" t="str">
        <x:v>20051220</x:v>
      </x:c>
      <x:c r="D956" s="28" t="str">
        <x:v>A comparison of the efficacy of medications for adult attention-deficit/hyperactivity disorder using meta-analysis of effect sizes.</x:v>
      </x:c>
      <x:c r="E956" s="28" t="str">
        <x:v>Evidence synthesis - meta-analysis</x:v>
      </x:c>
      <x:c r="F956" s="28" t="str">
        <x:v>Development &amp; presentation; Recognition &amp; diagnosis; Social &amp; structural; Treatment &amp; support; Life outcomes &amp; lived experience</x:v>
      </x:c>
      <x:c r="G956" s="28" t="str">
        <x:v>Childhood; Adolescence; Adulthood</x:v>
      </x:c>
      <x:c r="H956" s="28" t="str">
        <x:v>Batch 1 core</x:v>
      </x:c>
      <x:c r="I956" s="28" t="str">
        <x:v>Direct ADHD evidence synthesis/guideline with broad multi-topic relevance.</x:v>
      </x:c>
      <x:c r="J956" s="38" t="e">
        <x:f>HYPERLINK("https://pubmed.ncbi.nlm.nih.gov/"&amp;C956&amp;"/","Open PubMed")</x:f>
        <x:v>HYPERLINK is not implemented. linkLocation=https://pubmed.ncbi.nlm.nih.gov/20051220/, friendlyName=Open PubMed</x:v>
      </x:c>
    </x:row>
    <x:row r="957">
      <x:c r="A957" s="26" t="str">
        <x:v>PUBMED-20049490</x:v>
      </x:c>
      <x:c r="B957" s="26" t="n">
        <x:v>2010</x:v>
      </x:c>
      <x:c r="C957" s="26" t="str">
        <x:v>20049490</x:v>
      </x:c>
      <x:c r="D957" s="28" t="str">
        <x:v>Response to methylphenidate is not influenced by DAT1 polymorphisms in a sample of Brazilian adult patients with ADHD.</x:v>
      </x:c>
      <x:c r="E957" s="28" t="str">
        <x:v>Primary/contextual journal article</x:v>
      </x:c>
      <x:c r="F957" s="28" t="str">
        <x:v>Development &amp; presentation; Recognition &amp; diagnosis; Social &amp; structural; Treatment &amp; support; Life outcomes &amp; lived experience</x:v>
      </x:c>
      <x:c r="G957" s="28" t="str">
        <x:v>Childhood; Adulthood</x:v>
      </x:c>
      <x:c r="H957" s="28" t="str">
        <x:v>Later specialized</x:v>
      </x:c>
      <x:c r="I957" s="28" t="str">
        <x:v>Direct or strongly ADHD-related record retained for later screening; typically narrower treatment, biomarker, mechanistic, or single-comorbidity focus.</x:v>
      </x:c>
      <x:c r="J957" s="38" t="e">
        <x:f>HYPERLINK("https://pubmed.ncbi.nlm.nih.gov/"&amp;C957&amp;"/","Open PubMed")</x:f>
        <x:v>HYPERLINK is not implemented. linkLocation=https://pubmed.ncbi.nlm.nih.gov/20049490/, friendlyName=Open PubMed</x:v>
      </x:c>
    </x:row>
    <x:row r="958">
      <x:c r="A958" s="26" t="str">
        <x:v>PUBMED-20041337</x:v>
      </x:c>
      <x:c r="B958" s="26" t="n">
        <x:v>2010</x:v>
      </x:c>
      <x:c r="C958" s="26" t="str">
        <x:v>20041337</x:v>
      </x:c>
      <x:c r="D958" s="28" t="str">
        <x:v>Externalizing behaviors in preadolescents: familial risk to externalizing behaviors and perceived parenting styles.</x:v>
      </x:c>
      <x:c r="E958" s="28" t="str">
        <x:v>Primary study - cohort</x:v>
      </x:c>
      <x:c r="F958" s="28" t="str">
        <x:v>Development &amp; presentation; Recognition &amp; diagnosis; Family &amp; education; Social &amp; structural; Environmental &amp; lifestyle; Life outcomes &amp; lived experience</x:v>
      </x:c>
      <x:c r="G958" s="28" t="str">
        <x:v>Childhood</x:v>
      </x:c>
      <x:c r="H958" s="28" t="str">
        <x:v>Exclude/incidental</x:v>
      </x:c>
      <x:c r="I958" s="28" t="str">
        <x:v>ADHD appears peripheral or insufficiently aligned with the requested corpus scope based on accessible metadata/abstract.</x:v>
      </x:c>
      <x:c r="J958" s="38" t="e">
        <x:f>HYPERLINK("https://pubmed.ncbi.nlm.nih.gov/"&amp;C958&amp;"/","Open PubMed")</x:f>
        <x:v>HYPERLINK is not implemented. linkLocation=https://pubmed.ncbi.nlm.nih.gov/20041337/, friendlyName=Open PubMed</x:v>
      </x:c>
    </x:row>
    <x:row r="959">
      <x:c r="A959" s="26" t="str">
        <x:v>PUBMED-20036717</x:v>
      </x:c>
      <x:c r="B959" s="26" t="n">
        <x:v>2010</x:v>
      </x:c>
      <x:c r="C959" s="26" t="str">
        <x:v>20036717</x:v>
      </x:c>
      <x:c r="D959" s="28" t="str">
        <x:v>Cerebellar neurometabolite abnormalities in pediatric attention/deficit hyperactivity disorder: a proton MR spectroscopic study.</x:v>
      </x:c>
      <x:c r="E959" s="28" t="str">
        <x:v>Primary study - case-control</x:v>
      </x:c>
      <x:c r="F959" s="28" t="str">
        <x:v>Development &amp; presentation; Treatment &amp; support</x:v>
      </x:c>
      <x:c r="G959" s="28" t="str">
        <x:v>Childhood</x:v>
      </x:c>
      <x:c r="H959" s="28" t="str">
        <x:v>Later specialized</x:v>
      </x:c>
      <x:c r="I959" s="28" t="str">
        <x:v>Direct or strongly ADHD-related record retained for later screening; typically narrower treatment, biomarker, mechanistic, or single-comorbidity focus.</x:v>
      </x:c>
      <x:c r="J959" s="38" t="e">
        <x:f>HYPERLINK("https://pubmed.ncbi.nlm.nih.gov/"&amp;C959&amp;"/","Open PubMed")</x:f>
        <x:v>HYPERLINK is not implemented. linkLocation=https://pubmed.ncbi.nlm.nih.gov/20036717/, friendlyName=Open PubMed</x:v>
      </x:c>
    </x:row>
    <x:row r="960">
      <x:c r="A960" s="26" t="str">
        <x:v>PUBMED-20032819</x:v>
      </x:c>
      <x:c r="B960" s="26" t="n">
        <x:v>2010</x:v>
      </x:c>
      <x:c r="C960" s="26" t="str">
        <x:v>20032819</x:v>
      </x:c>
      <x:c r="D960" s="28" t="str">
        <x:v>Genetic variants in SLC9A9 are associated with measures of attention-deficit/hyperactivity disorder symptoms in families.</x:v>
      </x:c>
      <x:c r="E960" s="28" t="str">
        <x:v>Primary/contextual journal article</x:v>
      </x:c>
      <x:c r="F960" s="28" t="str">
        <x:v>Development &amp; presentation; Recognition &amp; diagnosis; Family &amp; education; Social &amp; structural; Treatment &amp; support</x:v>
      </x:c>
      <x:c r="G960" s="28" t="str">
        <x:v>Childhood; Adolescence</x:v>
      </x:c>
      <x:c r="H960" s="28" t="str">
        <x:v>Later specialized</x:v>
      </x:c>
      <x:c r="I960" s="28" t="str">
        <x:v>Direct or strongly ADHD-related record retained for later screening; typically narrower treatment, biomarker, mechanistic, or single-comorbidity focus.</x:v>
      </x:c>
      <x:c r="J960" s="38" t="e">
        <x:f>HYPERLINK("https://pubmed.ncbi.nlm.nih.gov/"&amp;C960&amp;"/","Open PubMed")</x:f>
        <x:v>HYPERLINK is not implemented. linkLocation=https://pubmed.ncbi.nlm.nih.gov/20032819/, friendlyName=Open PubMed</x:v>
      </x:c>
    </x:row>
    <x:row r="961">
      <x:c r="A961" s="26" t="str">
        <x:v>PUBMED-20030421</x:v>
      </x:c>
      <x:c r="B961" s="26" t="n">
        <x:v>2010</x:v>
      </x:c>
      <x:c r="C961" s="26" t="str">
        <x:v>20030421</x:v>
      </x:c>
      <x:c r="D961" s="28" t="str">
        <x:v>Spotlight on atomoxetine in attention-deficit hyperactivity disorder in children and adolescents.</x:v>
      </x:c>
      <x:c r="E961" s="28" t="str">
        <x:v>Evidence synthesis - review</x:v>
      </x:c>
      <x:c r="F961" s="28" t="str">
        <x:v>Development &amp; presentation; Social &amp; structural; Treatment &amp; support</x:v>
      </x:c>
      <x:c r="G961" s="28" t="str">
        <x:v>Childhood; Adolescence</x:v>
      </x:c>
      <x:c r="H961" s="28" t="str">
        <x:v>Later specialized</x:v>
      </x:c>
      <x:c r="I961" s="28" t="str">
        <x:v>Direct or strongly ADHD-related record retained for later screening; typically narrower treatment, biomarker, mechanistic, or single-comorbidity focus.</x:v>
      </x:c>
      <x:c r="J961" s="38" t="e">
        <x:f>HYPERLINK("https://pubmed.ncbi.nlm.nih.gov/"&amp;C961&amp;"/","Open PubMed")</x:f>
        <x:v>HYPERLINK is not implemented. linkLocation=https://pubmed.ncbi.nlm.nih.gov/20030421/, friendlyName=Open PubMed</x:v>
      </x:c>
    </x:row>
    <x:row r="962">
      <x:c r="A962" s="26" t="str">
        <x:v>PUBMED-20026394</x:v>
      </x:c>
      <x:c r="B962" s="26" t="n">
        <x:v>2010</x:v>
      </x:c>
      <x:c r="C962" s="26" t="str">
        <x:v>20026394</x:v>
      </x:c>
      <x:c r="D962" s="28" t="str">
        <x:v>Prospective follow-up studies found no chromosomal mutagenicity of methylphenidate therapy in ADHD affected children.</x:v>
      </x:c>
      <x:c r="E962" s="28" t="str">
        <x:v>Evidence synthesis - review</x:v>
      </x:c>
      <x:c r="F962" s="28" t="str">
        <x:v>Development &amp; presentation; Social &amp; structural; Environmental &amp; lifestyle; Treatment &amp; support</x:v>
      </x:c>
      <x:c r="G962" s="28" t="str">
        <x:v>Childhood</x:v>
      </x:c>
      <x:c r="H962" s="28" t="str">
        <x:v>Later specialized</x:v>
      </x:c>
      <x:c r="I962" s="28" t="str">
        <x:v>Direct or strongly ADHD-related record retained for later screening; typically narrower treatment, biomarker, mechanistic, or single-comorbidity focus.</x:v>
      </x:c>
      <x:c r="J962" s="38" t="e">
        <x:f>HYPERLINK("https://pubmed.ncbi.nlm.nih.gov/"&amp;C962&amp;"/","Open PubMed")</x:f>
        <x:v>HYPERLINK is not implemented. linkLocation=https://pubmed.ncbi.nlm.nih.gov/20026394/, friendlyName=Open PubMed</x:v>
      </x:c>
    </x:row>
    <x:row r="963">
      <x:c r="A963" s="26" t="str">
        <x:v>PUBMED-20026227</x:v>
      </x:c>
      <x:c r="B963" s="26" t="n">
        <x:v>2010</x:v>
      </x:c>
      <x:c r="C963" s="26" t="str">
        <x:v>20026227</x:v>
      </x:c>
      <x:c r="D963" s="28" t="str">
        <x:v>Dopamine transporter gene variation modulates activation of striatum in youth with ADHD.</x:v>
      </x:c>
      <x:c r="E963" s="28" t="str">
        <x:v>Primary/contextual journal article</x:v>
      </x:c>
      <x:c r="F963" s="28" t="str">
        <x:v>Development &amp; presentation; Treatment &amp; support</x:v>
      </x:c>
      <x:c r="G963" s="28" t="str">
        <x:v>Childhood; Adolescence</x:v>
      </x:c>
      <x:c r="H963" s="28" t="str">
        <x:v>Later specialized</x:v>
      </x:c>
      <x:c r="I963" s="28" t="str">
        <x:v>Direct or strongly ADHD-related record retained for later screening; typically narrower treatment, biomarker, mechanistic, or single-comorbidity focus.</x:v>
      </x:c>
      <x:c r="J963" s="38" t="e">
        <x:f>HYPERLINK("https://pubmed.ncbi.nlm.nih.gov/"&amp;C963&amp;"/","Open PubMed")</x:f>
        <x:v>HYPERLINK is not implemented. linkLocation=https://pubmed.ncbi.nlm.nih.gov/20026227/, friendlyName=Open PubMed</x:v>
      </x:c>
    </x:row>
    <x:row r="964">
      <x:c r="A964" s="26" t="str">
        <x:v>PUBMED-20026087</x:v>
      </x:c>
      <x:c r="B964" s="26" t="n">
        <x:v>2010</x:v>
      </x:c>
      <x:c r="C964" s="26" t="str">
        <x:v>20026087</x:v>
      </x:c>
      <x:c r="D964" s="28" t="str">
        <x:v>Action monitoring in children with or without a family history of ADHD--effects of gender on an endophenotype parameter.</x:v>
      </x:c>
      <x:c r="E964" s="28" t="str">
        <x:v>Primary study - case-control</x:v>
      </x:c>
      <x:c r="F964" s="28" t="str">
        <x:v>Development &amp; presentation; Recognition &amp; diagnosis; Family &amp; education; Social &amp; structural; Treatment &amp; support; Historical &amp; contemporary context</x:v>
      </x:c>
      <x:c r="G964" s="28" t="str">
        <x:v>Childhood; Adolescence</x:v>
      </x:c>
      <x:c r="H964" s="28" t="str">
        <x:v>Batch 1 core</x:v>
      </x:c>
      <x:c r="I964" s="28" t="str">
        <x:v>Direct ADHD primary study on diagnosis, family/education, structural conditions, lived experience/outcomes, or environment/lifestyle.</x:v>
      </x:c>
      <x:c r="J964" s="38" t="e">
        <x:f>HYPERLINK("https://pubmed.ncbi.nlm.nih.gov/"&amp;C964&amp;"/","Open PubMed")</x:f>
        <x:v>HYPERLINK is not implemented. linkLocation=https://pubmed.ncbi.nlm.nih.gov/20026087/, friendlyName=Open PubMed</x:v>
      </x:c>
    </x:row>
    <x:row r="965">
      <x:c r="A965" s="26" t="str">
        <x:v>PUBMED-20019071</x:v>
      </x:c>
      <x:c r="B965" s="26" t="n">
        <x:v>2010</x:v>
      </x:c>
      <x:c r="C965" s="26" t="str">
        <x:v>20019071</x:v>
      </x:c>
      <x:c r="D965" s="28" t="str">
        <x:v>ADHD and the DRD4 exon III 7-repeat polymorphism: an international meta-analysis.</x:v>
      </x:c>
      <x:c r="E965" s="28" t="str">
        <x:v>Evidence synthesis - meta-analysis</x:v>
      </x:c>
      <x:c r="F965" s="28" t="str">
        <x:v>Development &amp; presentation; Recognition &amp; diagnosis; Social &amp; structural; Life outcomes &amp; lived experience</x:v>
      </x:c>
      <x:c r="G965" s="28" t="str">
        <x:v>Childhood</x:v>
      </x:c>
      <x:c r="H965" s="28" t="str">
        <x:v>Later specialized</x:v>
      </x:c>
      <x:c r="I965" s="28" t="str">
        <x:v>Direct or strongly ADHD-related record retained for later screening; typically narrower treatment, biomarker, mechanistic, or single-comorbidity focus.</x:v>
      </x:c>
      <x:c r="J965" s="38" t="e">
        <x:f>HYPERLINK("https://pubmed.ncbi.nlm.nih.gov/"&amp;C965&amp;"/","Open PubMed")</x:f>
        <x:v>HYPERLINK is not implemented. linkLocation=https://pubmed.ncbi.nlm.nih.gov/20019071/, friendlyName=Open PubMed</x:v>
      </x:c>
    </x:row>
    <x:row r="966">
      <x:c r="A966" s="26" t="str">
        <x:v>PUBMED-20012877</x:v>
      </x:c>
      <x:c r="B966" s="26" t="n">
        <x:v>2010</x:v>
      </x:c>
      <x:c r="C966" s="26" t="str">
        <x:v>20012877</x:v>
      </x:c>
      <x:c r="D966" s="28" t="str">
        <x:v>Characteristics of young children with persistent conduct problems 1 year after treatment with the Incredible Years program.</x:v>
      </x:c>
      <x:c r="E966" s="28" t="str">
        <x:v>Primary study - randomized controlled trial</x:v>
      </x:c>
      <x:c r="F966" s="28" t="str">
        <x:v>Development &amp; presentation; Recognition &amp; diagnosis; Family &amp; education; Social &amp; structural; Treatment &amp; support</x:v>
      </x:c>
      <x:c r="G966" s="28" t="str">
        <x:v>Childhood</x:v>
      </x:c>
      <x:c r="H966" s="28" t="str">
        <x:v>Exclude/incidental</x:v>
      </x:c>
      <x:c r="I966" s="28" t="str">
        <x:v>ADHD appears peripheral or insufficiently aligned with the requested corpus scope based on accessible metadata/abstract.</x:v>
      </x:c>
      <x:c r="J966" s="38" t="e">
        <x:f>HYPERLINK("https://pubmed.ncbi.nlm.nih.gov/"&amp;C966&amp;"/","Open PubMed")</x:f>
        <x:v>HYPERLINK is not implemented. linkLocation=https://pubmed.ncbi.nlm.nih.gov/20012877/, friendlyName=Open PubMed</x:v>
      </x:c>
    </x:row>
    <x:row r="967">
      <x:c r="A967" s="26" t="str">
        <x:v>PUBMED-20006344</x:v>
      </x:c>
      <x:c r="B967" s="26" t="n">
        <x:v>2010</x:v>
      </x:c>
      <x:c r="C967" s="26" t="str">
        <x:v>20006344</x:v>
      </x:c>
      <x:c r="D967" s="28" t="str">
        <x:v>ADHD familial loading and abnormal EEG alpha asymmetry in children with ADHD.</x:v>
      </x:c>
      <x:c r="E967" s="28" t="str">
        <x:v>Primary/contextual journal article</x:v>
      </x:c>
      <x:c r="F967" s="28" t="str">
        <x:v>Development &amp; presentation; Family &amp; education; Social &amp; structural</x:v>
      </x:c>
      <x:c r="G967" s="28" t="str">
        <x:v>Childhood; Adolescence</x:v>
      </x:c>
      <x:c r="H967" s="28" t="str">
        <x:v>Later specialized</x:v>
      </x:c>
      <x:c r="I967" s="28" t="str">
        <x:v>Direct or strongly ADHD-related record retained for later screening; typically narrower treatment, biomarker, mechanistic, or single-comorbidity focus.</x:v>
      </x:c>
      <x:c r="J967" s="38" t="e">
        <x:f>HYPERLINK("https://pubmed.ncbi.nlm.nih.gov/"&amp;C967&amp;"/","Open PubMed")</x:f>
        <x:v>HYPERLINK is not implemented. linkLocation=https://pubmed.ncbi.nlm.nih.gov/20006344/, friendlyName=Open PubMed</x:v>
      </x:c>
    </x:row>
    <x:row r="968">
      <x:c r="A968" s="26" t="str">
        <x:v>PUBMED-20002117</x:v>
      </x:c>
      <x:c r="B968" s="26" t="n">
        <x:v>2010</x:v>
      </x:c>
      <x:c r="C968" s="26" t="str">
        <x:v>20002117</x:v>
      </x:c>
      <x:c r="D968" s="28" t="str">
        <x:v>Attentional and executive impairments in children with spastic cerebral palsy.</x:v>
      </x:c>
      <x:c r="E968" s="28" t="str">
        <x:v>Primary/contextual journal article</x:v>
      </x:c>
      <x:c r="F968" s="28" t="str">
        <x:v>Development &amp; presentation; Social &amp; structural; Life outcomes &amp; lived experience</x:v>
      </x:c>
      <x:c r="G968" s="28" t="str">
        <x:v>Childhood; Adolescence</x:v>
      </x:c>
      <x:c r="H968" s="28" t="str">
        <x:v>Exclude/incidental</x:v>
      </x:c>
      <x:c r="I968" s="28" t="str">
        <x:v>ADHD appears peripheral or insufficiently aligned with the requested corpus scope based on accessible metadata/abstract.</x:v>
      </x:c>
      <x:c r="J968" s="38" t="e">
        <x:f>HYPERLINK("https://pubmed.ncbi.nlm.nih.gov/"&amp;C968&amp;"/","Open PubMed")</x:f>
        <x:v>HYPERLINK is not implemented. linkLocation=https://pubmed.ncbi.nlm.nih.gov/20002117/, friendlyName=Open PubMed</x:v>
      </x:c>
    </x:row>
    <x:row r="969">
      <x:c r="A969" s="26" t="str">
        <x:v>PUBMED-19997858</x:v>
      </x:c>
      <x:c r="B969" s="26" t="n">
        <x:v>2010</x:v>
      </x:c>
      <x:c r="C969" s="26" t="str">
        <x:v>19997858</x:v>
      </x:c>
      <x:c r="D969" s="28" t="str">
        <x:v>Association of a functional variant of neuronal nitric oxide synthase gene with self-reported impulsiveness, venturesomeness and empathy in male offenders.</x:v>
      </x:c>
      <x:c r="E969" s="28" t="str">
        <x:v>Primary/contextual journal article</x:v>
      </x:c>
      <x:c r="F969" s="28" t="str">
        <x:v>Development &amp; presentation; Social &amp; structural; Treatment &amp; support; Life outcomes &amp; lived experience</x:v>
      </x:c>
      <x:c r="G969" s="28" t="str">
        <x:v>Adulthood</x:v>
      </x:c>
      <x:c r="H969" s="28" t="str">
        <x:v>Exclude/incidental</x:v>
      </x:c>
      <x:c r="I969" s="28" t="str">
        <x:v>ADHD appears peripheral or insufficiently aligned with the requested corpus scope based on accessible metadata/abstract.</x:v>
      </x:c>
      <x:c r="J969" s="38" t="e">
        <x:f>HYPERLINK("https://pubmed.ncbi.nlm.nih.gov/"&amp;C969&amp;"/","Open PubMed")</x:f>
        <x:v>HYPERLINK is not implemented. linkLocation=https://pubmed.ncbi.nlm.nih.gov/19997858/, friendlyName=Open PubMed</x:v>
      </x:c>
    </x:row>
    <x:row r="970">
      <x:c r="A970" s="26" t="str">
        <x:v>PUBMED-19996811</x:v>
      </x:c>
      <x:c r="B970" s="26" t="n">
        <x:v>2010</x:v>
      </x:c>
      <x:c r="C970" s="26" t="str">
        <x:v>19996811</x:v>
      </x:c>
      <x:c r="D970" s="28" t="str">
        <x:v>Poor reading skills may involve a failure to focus attention.</x:v>
      </x:c>
      <x:c r="E970" s="28" t="str">
        <x:v>Primary/contextual journal article</x:v>
      </x:c>
      <x:c r="F970" s="28" t="str">
        <x:v>Development &amp; presentation; Recognition &amp; diagnosis; Social &amp; structural</x:v>
      </x:c>
      <x:c r="G970" s="28" t="str">
        <x:v>Childhood</x:v>
      </x:c>
      <x:c r="H970" s="28" t="str">
        <x:v>Later specialized</x:v>
      </x:c>
      <x:c r="I970" s="28" t="str">
        <x:v>Direct or strongly ADHD-related record retained for later screening; typically narrower treatment, biomarker, mechanistic, or single-comorbidity focus.</x:v>
      </x:c>
      <x:c r="J970" s="38" t="e">
        <x:f>HYPERLINK("https://pubmed.ncbi.nlm.nih.gov/"&amp;C970&amp;"/","Open PubMed")</x:f>
        <x:v>HYPERLINK is not implemented. linkLocation=https://pubmed.ncbi.nlm.nih.gov/19996811/, friendlyName=Open PubMed</x:v>
      </x:c>
    </x:row>
    <x:row r="971">
      <x:c r="A971" s="26" t="str">
        <x:v>PUBMED-19995467</x:v>
      </x:c>
      <x:c r="B971" s="26" t="n">
        <x:v>2010</x:v>
      </x:c>
      <x:c r="C971" s="26" t="str">
        <x:v>19995467</x:v>
      </x:c>
      <x:c r="D971" s="28" t="str">
        <x:v>Detecting effects of the indicated prevention Programme for Externalizing Problem behaviour (PEP) on child symptoms, parenting, and parental quality of life in a randomized controlled trial.</x:v>
      </x:c>
      <x:c r="E971" s="28" t="str">
        <x:v>Primary study - randomized controlled trial</x:v>
      </x:c>
      <x:c r="F971" s="28" t="str">
        <x:v>Development &amp; presentation; Recognition &amp; diagnosis; Family &amp; education; Social &amp; structural; Environmental &amp; lifestyle; Treatment &amp; support; Life outcomes &amp; lived experience</x:v>
      </x:c>
      <x:c r="G971" s="28" t="str">
        <x:v>Childhood</x:v>
      </x:c>
      <x:c r="H971" s="28" t="str">
        <x:v>Exclude/incidental</x:v>
      </x:c>
      <x:c r="I971" s="28" t="str">
        <x:v>ADHD appears peripheral or insufficiently aligned with the requested corpus scope based on accessible metadata/abstract.</x:v>
      </x:c>
      <x:c r="J971" s="38" t="e">
        <x:f>HYPERLINK("https://pubmed.ncbi.nlm.nih.gov/"&amp;C971&amp;"/","Open PubMed")</x:f>
        <x:v>HYPERLINK is not implemented. linkLocation=https://pubmed.ncbi.nlm.nih.gov/19995467/, friendlyName=Open PubMed</x:v>
      </x:c>
    </x:row>
    <x:row r="972">
      <x:c r="A972" s="26" t="str">
        <x:v>PUBMED-19948390</x:v>
      </x:c>
      <x:c r="B972" s="26" t="n">
        <x:v>2010</x:v>
      </x:c>
      <x:c r="C972" s="26" t="str">
        <x:v>19948390</x:v>
      </x:c>
      <x:c r="D972" s="28" t="str">
        <x:v>Pervasive developmental disorder behavior in adolescents with intellectual disability and co-occurring somatic chronic diseases.</x:v>
      </x:c>
      <x:c r="E972" s="28" t="str">
        <x:v>Primary/contextual journal article</x:v>
      </x:c>
      <x:c r="F972" s="28" t="str">
        <x:v>Development &amp; presentation; Recognition &amp; diagnosis; Family &amp; education; Social &amp; structural; Life outcomes &amp; lived experience</x:v>
      </x:c>
      <x:c r="G972" s="28" t="str">
        <x:v>Childhood; Adolescence</x:v>
      </x:c>
      <x:c r="H972" s="28" t="str">
        <x:v>Later specialized</x:v>
      </x:c>
      <x:c r="I972" s="28" t="str">
        <x:v>Direct or strongly ADHD-related record retained for later screening; typically narrower treatment, biomarker, mechanistic, or single-comorbidity focus.</x:v>
      </x:c>
      <x:c r="J972" s="38" t="e">
        <x:f>HYPERLINK("https://pubmed.ncbi.nlm.nih.gov/"&amp;C972&amp;"/","Open PubMed")</x:f>
        <x:v>HYPERLINK is not implemented. linkLocation=https://pubmed.ncbi.nlm.nih.gov/19948390/, friendlyName=Open PubMed</x:v>
      </x:c>
    </x:row>
    <x:row r="973">
      <x:c r="A973" s="26" t="str">
        <x:v>PUBMED-19946713</x:v>
      </x:c>
      <x:c r="B973" s="26" t="n">
        <x:v>2010</x:v>
      </x:c>
      <x:c r="C973" s="26" t="str">
        <x:v>19946713</x:v>
      </x:c>
      <x:c r="D973" s="28" t="str">
        <x:v>Attention-deficit/hyperactivity disorder phenotype is influenced by a functional catechol-O-methyltransferase variant.</x:v>
      </x:c>
      <x:c r="E973" s="28" t="str">
        <x:v>Primary/contextual journal article</x:v>
      </x:c>
      <x:c r="F973" s="28" t="str">
        <x:v>Development &amp; presentation; Recognition &amp; diagnosis; Family &amp; education; Social &amp; structural; Environmental &amp; lifestyle; Treatment &amp; support</x:v>
      </x:c>
      <x:c r="G973" s="28" t="str">
        <x:v>Childhood; Adolescence</x:v>
      </x:c>
      <x:c r="H973" s="28" t="str">
        <x:v>Later specialized</x:v>
      </x:c>
      <x:c r="I973" s="28" t="str">
        <x:v>Direct or strongly ADHD-related record retained for later screening; typically narrower treatment, biomarker, mechanistic, or single-comorbidity focus.</x:v>
      </x:c>
      <x:c r="J973" s="38" t="e">
        <x:f>HYPERLINK("https://pubmed.ncbi.nlm.nih.gov/"&amp;C973&amp;"/","Open PubMed")</x:f>
        <x:v>HYPERLINK is not implemented. linkLocation=https://pubmed.ncbi.nlm.nih.gov/19946713/, friendlyName=Open PubMed</x:v>
      </x:c>
    </x:row>
    <x:row r="974">
      <x:c r="A974" s="26" t="str">
        <x:v>PUBMED-19941049</x:v>
      </x:c>
      <x:c r="B974" s="26" t="n">
        <x:v>2010</x:v>
      </x:c>
      <x:c r="C974" s="26" t="str">
        <x:v>19941049</x:v>
      </x:c>
      <x:c r="D974" s="28" t="str">
        <x:v>Gene-gene interaction between COMT and MAOA potentially predicts the intelligence of attention-deficit hyperactivity disorder boys in China.</x:v>
      </x:c>
      <x:c r="E974" s="28" t="str">
        <x:v>Primary/contextual journal article</x:v>
      </x:c>
      <x:c r="F974" s="28" t="str">
        <x:v>Development &amp; presentation; Social &amp; structural; Life outcomes &amp; lived experience</x:v>
      </x:c>
      <x:c r="G974" s="28" t="str">
        <x:v>Childhood; Adolescence</x:v>
      </x:c>
      <x:c r="H974" s="28" t="str">
        <x:v>Later specialized</x:v>
      </x:c>
      <x:c r="I974" s="28" t="str">
        <x:v>Direct or strongly ADHD-related record retained for later screening; typically narrower treatment, biomarker, mechanistic, or single-comorbidity focus.</x:v>
      </x:c>
      <x:c r="J974" s="38" t="e">
        <x:f>HYPERLINK("https://pubmed.ncbi.nlm.nih.gov/"&amp;C974&amp;"/","Open PubMed")</x:f>
        <x:v>HYPERLINK is not implemented. linkLocation=https://pubmed.ncbi.nlm.nih.gov/19941049/, friendlyName=Open PubMed</x:v>
      </x:c>
    </x:row>
    <x:row r="975">
      <x:c r="A975" s="26" t="str">
        <x:v>PUBMED-19929943</x:v>
      </x:c>
      <x:c r="B975" s="26" t="n">
        <x:v>2010</x:v>
      </x:c>
      <x:c r="C975" s="26" t="str">
        <x:v>19929943</x:v>
      </x:c>
      <x:c r="D975" s="28" t="str">
        <x:v>Performance variability, impulsivity errors and the impact of incentives as gender-independent endophenotypes for ADHD.</x:v>
      </x:c>
      <x:c r="E975" s="28" t="str">
        <x:v>Primary/contextual journal article</x:v>
      </x:c>
      <x:c r="F975" s="28" t="str">
        <x:v>Development &amp; presentation; Recognition &amp; diagnosis; Family &amp; education; Social &amp; structural; Environmental &amp; lifestyle; Treatment &amp; support; Historical &amp; contemporary context</x:v>
      </x:c>
      <x:c r="G975" s="28" t="str">
        <x:v>Childhood; Adolescence</x:v>
      </x:c>
      <x:c r="H975" s="28" t="str">
        <x:v>Later specialized</x:v>
      </x:c>
      <x:c r="I975" s="28" t="str">
        <x:v>Direct or strongly ADHD-related record retained for later screening; typically narrower treatment, biomarker, mechanistic, or single-comorbidity focus.</x:v>
      </x:c>
      <x:c r="J975" s="38" t="e">
        <x:f>HYPERLINK("https://pubmed.ncbi.nlm.nih.gov/"&amp;C975&amp;"/","Open PubMed")</x:f>
        <x:v>HYPERLINK is not implemented. linkLocation=https://pubmed.ncbi.nlm.nih.gov/19929943/, friendlyName=Open PubMed</x:v>
      </x:c>
    </x:row>
    <x:row r="976">
      <x:c r="A976" s="26" t="str">
        <x:v>PUBMED-19915886</x:v>
      </x:c>
      <x:c r="B976" s="26" t="n">
        <x:v>2010</x:v>
      </x:c>
      <x:c r="C976" s="26" t="str">
        <x:v>19915886</x:v>
      </x:c>
      <x:c r="D976" s="28" t="str">
        <x:v>The severely impaired do profit most: short-term and long-term predictors of therapeutic change for a parent management training under routine care conditions for children with externalizing problem behavior.</x:v>
      </x:c>
      <x:c r="E976" s="28" t="str">
        <x:v>Primary/contextual journal article</x:v>
      </x:c>
      <x:c r="F976" s="28" t="str">
        <x:v>Development &amp; presentation; Recognition &amp; diagnosis; Family &amp; education; Social &amp; structural; Treatment &amp; support; Life outcomes &amp; lived experience</x:v>
      </x:c>
      <x:c r="G976" s="28" t="str">
        <x:v>Childhood; Adulthood</x:v>
      </x:c>
      <x:c r="H976" s="28" t="str">
        <x:v>Exclude/incidental</x:v>
      </x:c>
      <x:c r="I976" s="28" t="str">
        <x:v>ADHD appears peripheral or insufficiently aligned with the requested corpus scope based on accessible metadata/abstract.</x:v>
      </x:c>
      <x:c r="J976" s="38" t="e">
        <x:f>HYPERLINK("https://pubmed.ncbi.nlm.nih.gov/"&amp;C976&amp;"/","Open PubMed")</x:f>
        <x:v>HYPERLINK is not implemented. linkLocation=https://pubmed.ncbi.nlm.nih.gov/19915886/, friendlyName=Open PubMed</x:v>
      </x:c>
    </x:row>
    <x:row r="977">
      <x:c r="A977" s="26" t="str">
        <x:v>PUBMED-19912555</x:v>
      </x:c>
      <x:c r="B977" s="26" t="n">
        <x:v>2010</x:v>
      </x:c>
      <x:c r="C977" s="26" t="str">
        <x:v>19912555</x:v>
      </x:c>
      <x:c r="D977" s="28" t="str">
        <x:v>Predictive familial risk factors and pharmacological responses in ADHD with comorbid disruptive behavior disorders.</x:v>
      </x:c>
      <x:c r="E977" s="28" t="str">
        <x:v>Primary/contextual journal article</x:v>
      </x:c>
      <x:c r="F977" s="28" t="str">
        <x:v>Development &amp; presentation; Recognition &amp; diagnosis; Family &amp; education; Social &amp; structural; Treatment &amp; support; Life outcomes &amp; lived experience</x:v>
      </x:c>
      <x:c r="G977" s="28" t="str">
        <x:v>Childhood; Adolescence</x:v>
      </x:c>
      <x:c r="H977" s="28" t="str">
        <x:v>Later specialized</x:v>
      </x:c>
      <x:c r="I977" s="28" t="str">
        <x:v>Direct or strongly ADHD-related record retained for later screening; typically narrower treatment, biomarker, mechanistic, or single-comorbidity focus.</x:v>
      </x:c>
      <x:c r="J977" s="38" t="e">
        <x:f>HYPERLINK("https://pubmed.ncbi.nlm.nih.gov/"&amp;C977&amp;"/","Open PubMed")</x:f>
        <x:v>HYPERLINK is not implemented. linkLocation=https://pubmed.ncbi.nlm.nih.gov/19912555/, friendlyName=Open PubMed</x:v>
      </x:c>
    </x:row>
    <x:row r="978">
      <x:c r="A978" s="26" t="str">
        <x:v>PUBMED-19910158</x:v>
      </x:c>
      <x:c r="B978" s="26" t="n">
        <x:v>2010</x:v>
      </x:c>
      <x:c r="C978" s="26" t="str">
        <x:v>19910158</x:v>
      </x:c>
      <x:c r="D978" s="28" t="str">
        <x:v>Developmental coordination disorder and other motor control problems in girls with autism spectrum disorder and/or attention-deficit/hyperactivity disorder.</x:v>
      </x:c>
      <x:c r="E978" s="28" t="str">
        <x:v>Primary/contextual journal article</x:v>
      </x:c>
      <x:c r="F978" s="28" t="str">
        <x:v>Development &amp; presentation; Recognition &amp; diagnosis; Family &amp; education; Social &amp; structural</x:v>
      </x:c>
      <x:c r="G978" s="28" t="str">
        <x:v>Childhood; Adolescence</x:v>
      </x:c>
      <x:c r="H978" s="28" t="str">
        <x:v>Later specialized</x:v>
      </x:c>
      <x:c r="I978" s="28" t="str">
        <x:v>Direct or strongly ADHD-related record retained for later screening; typically narrower treatment, biomarker, mechanistic, or single-comorbidity focus.</x:v>
      </x:c>
      <x:c r="J978" s="38" t="e">
        <x:f>HYPERLINK("https://pubmed.ncbi.nlm.nih.gov/"&amp;C978&amp;"/","Open PubMed")</x:f>
        <x:v>HYPERLINK is not implemented. linkLocation=https://pubmed.ncbi.nlm.nih.gov/19910158/, friendlyName=Open PubMed</x:v>
      </x:c>
    </x:row>
    <x:row r="979">
      <x:c r="A979" s="26" t="str">
        <x:v>PUBMED-19907927</x:v>
      </x:c>
      <x:c r="B979" s="26" t="n">
        <x:v>2010</x:v>
      </x:c>
      <x:c r="C979" s="26" t="str">
        <x:v>19907927</x:v>
      </x:c>
      <x:c r="D979" s="28" t="str">
        <x:v>Neural correlates (ERP/fMRI) of voluntary selection in adult ADHD patients.</x:v>
      </x:c>
      <x:c r="E979" s="28" t="str">
        <x:v>Primary/contextual journal article</x:v>
      </x:c>
      <x:c r="F979" s="28" t="str">
        <x:v>Development &amp; presentation</x:v>
      </x:c>
      <x:c r="G979" s="28" t="str">
        <x:v>Adulthood</x:v>
      </x:c>
      <x:c r="H979" s="28" t="str">
        <x:v>Later specialized</x:v>
      </x:c>
      <x:c r="I979" s="28" t="str">
        <x:v>Direct or strongly ADHD-related record retained for later screening; typically narrower treatment, biomarker, mechanistic, or single-comorbidity focus.</x:v>
      </x:c>
      <x:c r="J979" s="38" t="e">
        <x:f>HYPERLINK("https://pubmed.ncbi.nlm.nih.gov/"&amp;C979&amp;"/","Open PubMed")</x:f>
        <x:v>HYPERLINK is not implemented. linkLocation=https://pubmed.ncbi.nlm.nih.gov/19907927/, friendlyName=Open PubMed</x:v>
      </x:c>
    </x:row>
    <x:row r="980">
      <x:c r="A980" s="26" t="str">
        <x:v>PUBMED-19897008</x:v>
      </x:c>
      <x:c r="B980" s="26" t="n">
        <x:v>2010</x:v>
      </x:c>
      <x:c r="C980" s="26" t="str">
        <x:v>19897008</x:v>
      </x:c>
      <x:c r="D980" s="28" t="str">
        <x:v>EEG theta/beta ratio in relation to fear-modulated response-inhibition, attentional control, and affective traits.</x:v>
      </x:c>
      <x:c r="E980" s="28" t="str">
        <x:v>Primary/contextual journal article</x:v>
      </x:c>
      <x:c r="F980" s="28" t="str">
        <x:v>Development &amp; presentation; Recognition &amp; diagnosis; Social &amp; structural; Life outcomes &amp; lived experience</x:v>
      </x:c>
      <x:c r="G980" s="28" t="str">
        <x:v>Adulthood</x:v>
      </x:c>
      <x:c r="H980" s="28" t="str">
        <x:v>Exclude/incidental</x:v>
      </x:c>
      <x:c r="I980" s="28" t="str">
        <x:v>ADHD appears peripheral or insufficiently aligned with the requested corpus scope based on accessible metadata/abstract.</x:v>
      </x:c>
      <x:c r="J980" s="38" t="e">
        <x:f>HYPERLINK("https://pubmed.ncbi.nlm.nih.gov/"&amp;C980&amp;"/","Open PubMed")</x:f>
        <x:v>HYPERLINK is not implemented. linkLocation=https://pubmed.ncbi.nlm.nih.gov/19897008/, friendlyName=Open PubMed</x:v>
      </x:c>
    </x:row>
    <x:row r="981">
      <x:c r="A981" s="26" t="str">
        <x:v>PUBMED-19891803</x:v>
      </x:c>
      <x:c r="B981" s="26" t="n">
        <x:v>2010</x:v>
      </x:c>
      <x:c r="C981" s="26" t="str">
        <x:v>19891803</x:v>
      </x:c>
      <x:c r="D981" s="28" t="str">
        <x:v>A controlled family study of children with DSM-IV bipolar-I disorder and psychiatric co-morbidity.</x:v>
      </x:c>
      <x:c r="E981" s="28" t="str">
        <x:v>Primary study - randomized controlled trial</x:v>
      </x:c>
      <x:c r="F981" s="28" t="str">
        <x:v>Development &amp; presentation; Recognition &amp; diagnosis; Family &amp; education; Social &amp; structural; Life outcomes &amp; lived experience</x:v>
      </x:c>
      <x:c r="G981" s="28" t="str">
        <x:v>Childhood</x:v>
      </x:c>
      <x:c r="H981" s="28" t="str">
        <x:v>Later specialized</x:v>
      </x:c>
      <x:c r="I981" s="28" t="str">
        <x:v>Direct or strongly ADHD-related record retained for later screening; typically narrower treatment, biomarker, mechanistic, or single-comorbidity focus.</x:v>
      </x:c>
      <x:c r="J981" s="38" t="e">
        <x:f>HYPERLINK("https://pubmed.ncbi.nlm.nih.gov/"&amp;C981&amp;"/","Open PubMed")</x:f>
        <x:v>HYPERLINK is not implemented. linkLocation=https://pubmed.ncbi.nlm.nih.gov/19891803/, friendlyName=Open PubMed</x:v>
      </x:c>
    </x:row>
    <x:row r="982">
      <x:c r="A982" s="26" t="str">
        <x:v>PUBMED-19887517</x:v>
      </x:c>
      <x:c r="B982" s="26" t="n">
        <x:v>2010</x:v>
      </x:c>
      <x:c r="C982" s="26" t="str">
        <x:v>19887517</x:v>
      </x:c>
      <x:c r="D982" s="28" t="str">
        <x:v>Mental health problems of Dutch adolescents: the association with adolescents' and their parents' educational level.</x:v>
      </x:c>
      <x:c r="E982" s="28" t="str">
        <x:v>Primary study - cross-sectional</x:v>
      </x:c>
      <x:c r="F982" s="28" t="str">
        <x:v>Development &amp; presentation; Family &amp; education; Social &amp; structural</x:v>
      </x:c>
      <x:c r="G982" s="28" t="str">
        <x:v>Adolescence</x:v>
      </x:c>
      <x:c r="H982" s="28" t="str">
        <x:v>Exclude/incidental</x:v>
      </x:c>
      <x:c r="I982" s="28" t="str">
        <x:v>ADHD appears peripheral or insufficiently aligned with the requested corpus scope based on accessible metadata/abstract.</x:v>
      </x:c>
      <x:c r="J982" s="38" t="e">
        <x:f>HYPERLINK("https://pubmed.ncbi.nlm.nih.gov/"&amp;C982&amp;"/","Open PubMed")</x:f>
        <x:v>HYPERLINK is not implemented. linkLocation=https://pubmed.ncbi.nlm.nih.gov/19887517/, friendlyName=Open PubMed</x:v>
      </x:c>
    </x:row>
    <x:row r="983">
      <x:c r="A983" s="26" t="str">
        <x:v>PUBMED-19884224</x:v>
      </x:c>
      <x:c r="B983" s="26" t="n">
        <x:v>2010</x:v>
      </x:c>
      <x:c r="C983" s="26" t="str">
        <x:v>19884224</x:v>
      </x:c>
      <x:c r="D983" s="28" t="str">
        <x:v>Sex differences in the functional neuroanatomy of working memory in adults with ADHD.</x:v>
      </x:c>
      <x:c r="E983" s="28" t="str">
        <x:v>Primary/contextual journal article</x:v>
      </x:c>
      <x:c r="F983" s="28" t="str">
        <x:v>Development &amp; presentation; Recognition &amp; diagnosis; Social &amp; structural; Life outcomes &amp; lived experience</x:v>
      </x:c>
      <x:c r="G983" s="28" t="str">
        <x:v>Adolescence; Adulthood</x:v>
      </x:c>
      <x:c r="H983" s="28" t="str">
        <x:v>Later specialized</x:v>
      </x:c>
      <x:c r="I983" s="28" t="str">
        <x:v>Direct or strongly ADHD-related record retained for later screening; typically narrower treatment, biomarker, mechanistic, or single-comorbidity focus.</x:v>
      </x:c>
      <x:c r="J983" s="38" t="e">
        <x:f>HYPERLINK("https://pubmed.ncbi.nlm.nih.gov/"&amp;C983&amp;"/","Open PubMed")</x:f>
        <x:v>HYPERLINK is not implemented. linkLocation=https://pubmed.ncbi.nlm.nih.gov/19884224/, friendlyName=Open PubMed</x:v>
      </x:c>
    </x:row>
    <x:row r="984">
      <x:c r="A984" s="26" t="str">
        <x:v>PUBMED-19852946</x:v>
      </x:c>
      <x:c r="B984" s="26" t="n">
        <x:v>2010</x:v>
      </x:c>
      <x:c r="C984" s="26" t="str">
        <x:v>19852946</x:v>
      </x:c>
      <x:c r="D984" s="28" t="str">
        <x:v>The macrostructural and microstructural abnormalities of corpus callosum in children with attention deficit/hyperactivity disorder: a combined morphometric and diffusion tensor MRI study.</x:v>
      </x:c>
      <x:c r="E984" s="28" t="str">
        <x:v>Primary/contextual journal article</x:v>
      </x:c>
      <x:c r="F984" s="28" t="str">
        <x:v>Development &amp; presentation; Social &amp; structural</x:v>
      </x:c>
      <x:c r="G984" s="28" t="str">
        <x:v>Childhood; Adolescence</x:v>
      </x:c>
      <x:c r="H984" s="28" t="str">
        <x:v>Later specialized</x:v>
      </x:c>
      <x:c r="I984" s="28" t="str">
        <x:v>Direct or strongly ADHD-related record retained for later screening; typically narrower treatment, biomarker, mechanistic, or single-comorbidity focus.</x:v>
      </x:c>
      <x:c r="J984" s="38" t="e">
        <x:f>HYPERLINK("https://pubmed.ncbi.nlm.nih.gov/"&amp;C984&amp;"/","Open PubMed")</x:f>
        <x:v>HYPERLINK is not implemented. linkLocation=https://pubmed.ncbi.nlm.nih.gov/19852946/, friendlyName=Open PubMed</x:v>
      </x:c>
    </x:row>
    <x:row r="985">
      <x:c r="A985" s="26" t="str">
        <x:v>PUBMED-19850394</x:v>
      </x:c>
      <x:c r="B985" s="26" t="n">
        <x:v>2010</x:v>
      </x:c>
      <x:c r="C985" s="26" t="str">
        <x:v>19850394</x:v>
      </x:c>
      <x:c r="D985" s="28" t="str">
        <x:v>Evidence for specificity of ERP abnormalities during response inhibition in ADHD children: a comparison with reading disorder children without ADHD.</x:v>
      </x:c>
      <x:c r="E985" s="28" t="str">
        <x:v>Primary/contextual journal article</x:v>
      </x:c>
      <x:c r="F985" s="28" t="str">
        <x:v>Development &amp; presentation</x:v>
      </x:c>
      <x:c r="G985" s="28" t="str">
        <x:v>Childhood; Adolescence</x:v>
      </x:c>
      <x:c r="H985" s="28" t="str">
        <x:v>Later specialized</x:v>
      </x:c>
      <x:c r="I985" s="28" t="str">
        <x:v>Direct or strongly ADHD-related record retained for later screening; typically narrower treatment, biomarker, mechanistic, or single-comorbidity focus.</x:v>
      </x:c>
      <x:c r="J985" s="38" t="e">
        <x:f>HYPERLINK("https://pubmed.ncbi.nlm.nih.gov/"&amp;C985&amp;"/","Open PubMed")</x:f>
        <x:v>HYPERLINK is not implemented. linkLocation=https://pubmed.ncbi.nlm.nih.gov/19850394/, friendlyName=Open PubMed</x:v>
      </x:c>
    </x:row>
    <x:row r="986">
      <x:c r="A986" s="26" t="str">
        <x:v>PUBMED-19849881</x:v>
      </x:c>
      <x:c r="B986" s="26" t="n">
        <x:v>2010</x:v>
      </x:c>
      <x:c r="C986" s="26" t="str">
        <x:v>19849881</x:v>
      </x:c>
      <x:c r="D986" s="28" t="str">
        <x:v>Attentional networks efficiency in preterm children.</x:v>
      </x:c>
      <x:c r="E986" s="28" t="str">
        <x:v>Primary/contextual journal article</x:v>
      </x:c>
      <x:c r="F986" s="28" t="str">
        <x:v>Development &amp; presentation; Family &amp; education; Environmental &amp; lifestyle</x:v>
      </x:c>
      <x:c r="G986" s="28" t="str">
        <x:v>Childhood</x:v>
      </x:c>
      <x:c r="H986" s="28" t="str">
        <x:v>Exclude/incidental</x:v>
      </x:c>
      <x:c r="I986" s="28" t="str">
        <x:v>ADHD appears peripheral or insufficiently aligned with the requested corpus scope based on accessible metadata/abstract.</x:v>
      </x:c>
      <x:c r="J986" s="38" t="e">
        <x:f>HYPERLINK("https://pubmed.ncbi.nlm.nih.gov/"&amp;C986&amp;"/","Open PubMed")</x:f>
        <x:v>HYPERLINK is not implemented. linkLocation=https://pubmed.ncbi.nlm.nih.gov/19849881/, friendlyName=Open PubMed</x:v>
      </x:c>
    </x:row>
    <x:row r="987">
      <x:c r="A987" s="26" t="str">
        <x:v>PUBMED-19844792</x:v>
      </x:c>
      <x:c r="B987" s="26" t="n">
        <x:v>2010</x:v>
      </x:c>
      <x:c r="C987" s="26" t="str">
        <x:v>19844792</x:v>
      </x:c>
      <x:c r="D987" s="28" t="str">
        <x:v>Sleep duration and regularity are associated with behavioral problems in 8-year-old children.</x:v>
      </x:c>
      <x:c r="E987" s="28" t="str">
        <x:v>Primary/contextual journal article</x:v>
      </x:c>
      <x:c r="F987" s="28" t="str">
        <x:v>Development &amp; presentation; Recognition &amp; diagnosis; Social &amp; structural; Environmental &amp; lifestyle; Treatment &amp; support</x:v>
      </x:c>
      <x:c r="G987" s="28" t="str">
        <x:v>Childhood; Adulthood</x:v>
      </x:c>
      <x:c r="H987" s="28" t="str">
        <x:v>Exclude/incidental</x:v>
      </x:c>
      <x:c r="I987" s="28" t="str">
        <x:v>ADHD appears peripheral or insufficiently aligned with the requested corpus scope based on accessible metadata/abstract.</x:v>
      </x:c>
      <x:c r="J987" s="38" t="e">
        <x:f>HYPERLINK("https://pubmed.ncbi.nlm.nih.gov/"&amp;C987&amp;"/","Open PubMed")</x:f>
        <x:v>HYPERLINK is not implemented. linkLocation=https://pubmed.ncbi.nlm.nih.gov/19844792/, friendlyName=Open PubMed</x:v>
      </x:c>
    </x:row>
    <x:row r="988">
      <x:c r="A988" s="26" t="str">
        <x:v>PUBMED-19840852</x:v>
      </x:c>
      <x:c r="B988" s="26" t="n">
        <x:v>2010</x:v>
      </x:c>
      <x:c r="C988" s="26" t="str">
        <x:v>19840852</x:v>
      </x:c>
      <x:c r="D988" s="28" t="str">
        <x:v>D2 dopamine receptor subtype-mediated hyperactivity and amphetamine responses in a model of ADHD.</x:v>
      </x:c>
      <x:c r="E988" s="28" t="str">
        <x:v>Primary/contextual journal article</x:v>
      </x:c>
      <x:c r="F988" s="28" t="str">
        <x:v>Development &amp; presentation; Social &amp; structural; Treatment &amp; support</x:v>
      </x:c>
      <x:c r="G988" s="28" t="str">
        <x:v>Not specified</x:v>
      </x:c>
      <x:c r="H988" s="28" t="str">
        <x:v>Exclude/incidental</x:v>
      </x:c>
      <x:c r="I988" s="28" t="str">
        <x:v>Animal-only record; retained outside the human-focused core corpus.</x:v>
      </x:c>
      <x:c r="J988" s="38" t="e">
        <x:f>HYPERLINK("https://pubmed.ncbi.nlm.nih.gov/"&amp;C988&amp;"/","Open PubMed")</x:f>
        <x:v>HYPERLINK is not implemented. linkLocation=https://pubmed.ncbi.nlm.nih.gov/19840852/, friendlyName=Open PubMed</x:v>
      </x:c>
    </x:row>
    <x:row r="989">
      <x:c r="A989" s="26" t="str">
        <x:v>PUBMED-19838594</x:v>
      </x:c>
      <x:c r="B989" s="26" t="n">
        <x:v>2010</x:v>
      </x:c>
      <x:c r="C989" s="26" t="str">
        <x:v>19838594</x:v>
      </x:c>
      <x:c r="D989" s="28" t="str">
        <x:v>Food intake and serum levels of iron in children and adolescents with attention-deficit/hyperactivity disorder.</x:v>
      </x:c>
      <x:c r="E989" s="28" t="str">
        <x:v>Primary study - cross-sectional</x:v>
      </x:c>
      <x:c r="F989" s="28" t="str">
        <x:v>Development &amp; presentation; Recognition &amp; diagnosis; Social &amp; structural; Environmental &amp; lifestyle; Treatment &amp; support</x:v>
      </x:c>
      <x:c r="G989" s="28" t="str">
        <x:v>Childhood; Adolescence</x:v>
      </x:c>
      <x:c r="H989" s="28" t="str">
        <x:v>Later specialized</x:v>
      </x:c>
      <x:c r="I989" s="28" t="str">
        <x:v>Direct or strongly ADHD-related record retained for later screening; typically narrower treatment, biomarker, mechanistic, or single-comorbidity focus.</x:v>
      </x:c>
      <x:c r="J989" s="38" t="e">
        <x:f>HYPERLINK("https://pubmed.ncbi.nlm.nih.gov/"&amp;C989&amp;"/","Open PubMed")</x:f>
        <x:v>HYPERLINK is not implemented. linkLocation=https://pubmed.ncbi.nlm.nih.gov/19838594/, friendlyName=Open PubMed</x:v>
      </x:c>
    </x:row>
    <x:row r="990">
      <x:c r="A990" s="26" t="str">
        <x:v>PUBMED-19833866</x:v>
      </x:c>
      <x:c r="B990" s="26" t="n">
        <x:v>2010</x:v>
      </x:c>
      <x:c r="C990" s="26" t="str">
        <x:v>19833866</x:v>
      </x:c>
      <x:c r="D990" s="28" t="str">
        <x:v>Order of Conners' CPT-II administration within a cognitive test battery influences ADHD indices.</x:v>
      </x:c>
      <x:c r="E990" s="28" t="str">
        <x:v>Primary/contextual journal article</x:v>
      </x:c>
      <x:c r="F990" s="28" t="str">
        <x:v>Development &amp; presentation; Recognition &amp; diagnosis; Social &amp; structural</x:v>
      </x:c>
      <x:c r="G990" s="28" t="str">
        <x:v>Childhood; Adolescence; Adulthood</x:v>
      </x:c>
      <x:c r="H990" s="28" t="str">
        <x:v>Later specialized</x:v>
      </x:c>
      <x:c r="I990" s="28" t="str">
        <x:v>Direct or strongly ADHD-related record retained for later screening; typically narrower treatment, biomarker, mechanistic, or single-comorbidity focus.</x:v>
      </x:c>
      <x:c r="J990" s="38" t="e">
        <x:f>HYPERLINK("https://pubmed.ncbi.nlm.nih.gov/"&amp;C990&amp;"/","Open PubMed")</x:f>
        <x:v>HYPERLINK is not implemented. linkLocation=https://pubmed.ncbi.nlm.nih.gov/19833866/, friendlyName=Open PubMed</x:v>
      </x:c>
    </x:row>
    <x:row r="991">
      <x:c r="A991" s="26" t="str">
        <x:v>PUBMED-19828270</x:v>
      </x:c>
      <x:c r="B991" s="26" t="n">
        <x:v>2010</x:v>
      </x:c>
      <x:c r="C991" s="26" t="str">
        <x:v>19828270</x:v>
      </x:c>
      <x:c r="D991" s="28" t="str">
        <x:v>Comparison of the strengths and difficulties questionnaire (SDQ) scores between children with high-functioning autism spectrum disorder (HFASD) and attention-deficit/hyperactivity disorder (AD/HD).</x:v>
      </x:c>
      <x:c r="E991" s="28" t="str">
        <x:v>Primary/contextual journal article</x:v>
      </x:c>
      <x:c r="F991" s="28" t="str">
        <x:v>Development &amp; presentation; Recognition &amp; diagnosis; Family &amp; education; Social &amp; structural; Treatment &amp; support; Life outcomes &amp; lived experience</x:v>
      </x:c>
      <x:c r="G991" s="28" t="str">
        <x:v>Childhood</x:v>
      </x:c>
      <x:c r="H991" s="28" t="str">
        <x:v>Later specialized</x:v>
      </x:c>
      <x:c r="I991" s="28" t="str">
        <x:v>Direct or strongly ADHD-related record retained for later screening; typically narrower treatment, biomarker, mechanistic, or single-comorbidity focus.</x:v>
      </x:c>
      <x:c r="J991" s="38" t="e">
        <x:f>HYPERLINK("https://pubmed.ncbi.nlm.nih.gov/"&amp;C991&amp;"/","Open PubMed")</x:f>
        <x:v>HYPERLINK is not implemented. linkLocation=https://pubmed.ncbi.nlm.nih.gov/19828270/, friendlyName=Open PubMed</x:v>
      </x:c>
    </x:row>
    <x:row r="992">
      <x:c r="A992" s="26" t="str">
        <x:v>PUBMED-19826946</x:v>
      </x:c>
      <x:c r="B992" s="26" t="n">
        <x:v>2010</x:v>
      </x:c>
      <x:c r="C992" s="26" t="str">
        <x:v>19826946</x:v>
      </x:c>
      <x:c r="D992" s="28" t="str">
        <x:v>Prefrontal dysfunction in attention-deficit/hyperactivity disorder as measured by near-infrared spectroscopy.</x:v>
      </x:c>
      <x:c r="E992" s="28" t="str">
        <x:v>Primary study - case-control</x:v>
      </x:c>
      <x:c r="F992" s="28" t="str">
        <x:v>Development &amp; presentation; Recognition &amp; diagnosis; Social &amp; structural; Treatment &amp; support</x:v>
      </x:c>
      <x:c r="G992" s="28" t="str">
        <x:v>Childhood; Adolescence</x:v>
      </x:c>
      <x:c r="H992" s="28" t="str">
        <x:v>Later specialized</x:v>
      </x:c>
      <x:c r="I992" s="28" t="str">
        <x:v>Direct or strongly ADHD-related record retained for later screening; typically narrower treatment, biomarker, mechanistic, or single-comorbidity focus.</x:v>
      </x:c>
      <x:c r="J992" s="38" t="e">
        <x:f>HYPERLINK("https://pubmed.ncbi.nlm.nih.gov/"&amp;C992&amp;"/","Open PubMed")</x:f>
        <x:v>HYPERLINK is not implemented. linkLocation=https://pubmed.ncbi.nlm.nih.gov/19826946/, friendlyName=Open PubMed</x:v>
      </x:c>
    </x:row>
    <x:row r="993">
      <x:c r="A993" s="26" t="str">
        <x:v>PUBMED-19815700</x:v>
      </x:c>
      <x:c r="B993" s="26" t="n">
        <x:v>2010</x:v>
      </x:c>
      <x:c r="C993" s="26" t="str">
        <x:v>19815700</x:v>
      </x:c>
      <x:c r="D993" s="28" t="str">
        <x:v>Getting clued in: inferential processing and comprehension monitoring in boys with ADHD.</x:v>
      </x:c>
      <x:c r="E993" s="28" t="str">
        <x:v>Primary/contextual journal article</x:v>
      </x:c>
      <x:c r="F993" s="28" t="str">
        <x:v>Development &amp; presentation; Family &amp; education; Social &amp; structural</x:v>
      </x:c>
      <x:c r="G993" s="28" t="str">
        <x:v>Childhood</x:v>
      </x:c>
      <x:c r="H993" s="28" t="str">
        <x:v>Later specialized</x:v>
      </x:c>
      <x:c r="I993" s="28" t="str">
        <x:v>Direct or strongly ADHD-related record retained for later screening; typically narrower treatment, biomarker, mechanistic, or single-comorbidity focus.</x:v>
      </x:c>
      <x:c r="J993" s="38" t="e">
        <x:f>HYPERLINK("https://pubmed.ncbi.nlm.nih.gov/"&amp;C993&amp;"/","Open PubMed")</x:f>
        <x:v>HYPERLINK is not implemented. linkLocation=https://pubmed.ncbi.nlm.nih.gov/19815700/, friendlyName=Open PubMed</x:v>
      </x:c>
    </x:row>
    <x:row r="994">
      <x:c r="A994" s="26" t="str">
        <x:v>PUBMED-19815699</x:v>
      </x:c>
      <x:c r="B994" s="26" t="n">
        <x:v>2010</x:v>
      </x:c>
      <x:c r="C994" s="26" t="str">
        <x:v>19815699</x:v>
      </x:c>
      <x:c r="D994" s="28" t="str">
        <x:v>A verbal planning impairment in adult ADHD indexed by script generation tasks.</x:v>
      </x:c>
      <x:c r="E994" s="28" t="str">
        <x:v>Primary study - cohort</x:v>
      </x:c>
      <x:c r="F994" s="28" t="str">
        <x:v>Development &amp; presentation; Family &amp; education; Social &amp; structural</x:v>
      </x:c>
      <x:c r="G994" s="28" t="str">
        <x:v>Adulthood</x:v>
      </x:c>
      <x:c r="H994" s="28" t="str">
        <x:v>Later specialized</x:v>
      </x:c>
      <x:c r="I994" s="28" t="str">
        <x:v>Direct or strongly ADHD-related record retained for later screening; typically narrower treatment, biomarker, mechanistic, or single-comorbidity focus.</x:v>
      </x:c>
      <x:c r="J994" s="38" t="e">
        <x:f>HYPERLINK("https://pubmed.ncbi.nlm.nih.gov/"&amp;C994&amp;"/","Open PubMed")</x:f>
        <x:v>HYPERLINK is not implemented. linkLocation=https://pubmed.ncbi.nlm.nih.gov/19815699/, friendlyName=Open PubMed</x:v>
      </x:c>
    </x:row>
    <x:row r="995">
      <x:c r="A995" s="26" t="str">
        <x:v>PUBMED-19805623</x:v>
      </x:c>
      <x:c r="B995" s="26" t="n">
        <x:v>2010</x:v>
      </x:c>
      <x:c r="C995" s="26" t="str">
        <x:v>19805623</x:v>
      </x:c>
      <x:c r="D995" s="28" t="str">
        <x:v>Shared and nonshared symptoms in youth-onset psychosis and ADHD.</x:v>
      </x:c>
      <x:c r="E995" s="28" t="str">
        <x:v>Primary/contextual journal article</x:v>
      </x:c>
      <x:c r="F995" s="28" t="str">
        <x:v>Development &amp; presentation; Recognition &amp; diagnosis; Family &amp; education; Social &amp; structural; Treatment &amp; support</x:v>
      </x:c>
      <x:c r="G995" s="28" t="str">
        <x:v>Childhood; Adolescence; Adulthood</x:v>
      </x:c>
      <x:c r="H995" s="28" t="str">
        <x:v>Later specialized</x:v>
      </x:c>
      <x:c r="I995" s="28" t="str">
        <x:v>Direct or strongly ADHD-related record retained for later screening; typically narrower treatment, biomarker, mechanistic, or single-comorbidity focus.</x:v>
      </x:c>
      <x:c r="J995" s="38" t="e">
        <x:f>HYPERLINK("https://pubmed.ncbi.nlm.nih.gov/"&amp;C995&amp;"/","Open PubMed")</x:f>
        <x:v>HYPERLINK is not implemented. linkLocation=https://pubmed.ncbi.nlm.nih.gov/19805623/, friendlyName=Open PubMed</x:v>
      </x:c>
    </x:row>
    <x:row r="996">
      <x:c r="A996" s="26" t="str">
        <x:v>PUBMED-19777552</x:v>
      </x:c>
      <x:c r="B996" s="26" t="n">
        <x:v>2010</x:v>
      </x:c>
      <x:c r="C996" s="26" t="str">
        <x:v>19777552</x:v>
      </x:c>
      <x:c r="D996" s="28" t="str">
        <x:v>Disorder-specific dysfunction in right inferior prefrontal cortex during two inhibition tasks in boys with attention-deficit hyperactivity disorder compared to boys with obsessive-compulsive disorder.</x:v>
      </x:c>
      <x:c r="E996" s="28" t="str">
        <x:v>Primary/contextual journal article</x:v>
      </x:c>
      <x:c r="F996" s="28" t="str">
        <x:v>Development &amp; presentation; Social &amp; structural; Treatment &amp; support</x:v>
      </x:c>
      <x:c r="G996" s="28" t="str">
        <x:v>Childhood; Adolescence</x:v>
      </x:c>
      <x:c r="H996" s="28" t="str">
        <x:v>Later specialized</x:v>
      </x:c>
      <x:c r="I996" s="28" t="str">
        <x:v>Direct or strongly ADHD-related record retained for later screening; typically narrower treatment, biomarker, mechanistic, or single-comorbidity focus.</x:v>
      </x:c>
      <x:c r="J996" s="38" t="e">
        <x:f>HYPERLINK("https://pubmed.ncbi.nlm.nih.gov/"&amp;C996&amp;"/","Open PubMed")</x:f>
        <x:v>HYPERLINK is not implemented. linkLocation=https://pubmed.ncbi.nlm.nih.gov/19777552/, friendlyName=Open PubMed</x:v>
      </x:c>
    </x:row>
    <x:row r="997">
      <x:c r="A997" s="26" t="str">
        <x:v>PUBMED-19777220</x:v>
      </x:c>
      <x:c r="B997" s="26" t="n">
        <x:v>2010</x:v>
      </x:c>
      <x:c r="C997" s="26" t="str">
        <x:v>19777220</x:v>
      </x:c>
      <x:c r="D997" s="28" t="str">
        <x:v>Timing of conditioned eyeblink responses is impaired in children with attention-deficit/hyperactivity disorder.</x:v>
      </x:c>
      <x:c r="E997" s="28" t="str">
        <x:v>Primary/contextual journal article</x:v>
      </x:c>
      <x:c r="F997" s="28" t="str">
        <x:v>Development &amp; presentation; Recognition &amp; diagnosis; Treatment &amp; support</x:v>
      </x:c>
      <x:c r="G997" s="28" t="str">
        <x:v>Childhood; Adolescence</x:v>
      </x:c>
      <x:c r="H997" s="28" t="str">
        <x:v>Later specialized</x:v>
      </x:c>
      <x:c r="I997" s="28" t="str">
        <x:v>Direct or strongly ADHD-related record retained for later screening; typically narrower treatment, biomarker, mechanistic, or single-comorbidity focus.</x:v>
      </x:c>
      <x:c r="J997" s="38" t="e">
        <x:f>HYPERLINK("https://pubmed.ncbi.nlm.nih.gov/"&amp;C997&amp;"/","Open PubMed")</x:f>
        <x:v>HYPERLINK is not implemented. linkLocation=https://pubmed.ncbi.nlm.nih.gov/19777220/, friendlyName=Open PubMed</x:v>
      </x:c>
    </x:row>
    <x:row r="998">
      <x:c r="A998" s="26" t="str">
        <x:v>PUBMED-19773601</x:v>
      </x:c>
      <x:c r="B998" s="26" t="n">
        <x:v>2010</x:v>
      </x:c>
      <x:c r="C998" s="26" t="str">
        <x:v>19773601</x:v>
      </x:c>
      <x:c r="D998" s="28" t="str">
        <x:v>Childhood attention deficit hyperactivity disorder, substance use, and adult functioning among incarcerated women.</x:v>
      </x:c>
      <x:c r="E998" s="28" t="str">
        <x:v>Primary/contextual journal article</x:v>
      </x:c>
      <x:c r="F998" s="28" t="str">
        <x:v>Development &amp; presentation; Recognition &amp; diagnosis; Social &amp; structural; Life outcomes &amp; lived experience</x:v>
      </x:c>
      <x:c r="G998" s="28" t="str">
        <x:v>Childhood; Adolescence; Adulthood</x:v>
      </x:c>
      <x:c r="H998" s="28" t="str">
        <x:v>Later specialized</x:v>
      </x:c>
      <x:c r="I998" s="28" t="str">
        <x:v>Direct or strongly ADHD-related record retained for later screening; typically narrower treatment, biomarker, mechanistic, or single-comorbidity focus.</x:v>
      </x:c>
      <x:c r="J998" s="38" t="e">
        <x:f>HYPERLINK("https://pubmed.ncbi.nlm.nih.gov/"&amp;C998&amp;"/","Open PubMed")</x:f>
        <x:v>HYPERLINK is not implemented. linkLocation=https://pubmed.ncbi.nlm.nih.gov/19773601/, friendlyName=Open PubMed</x:v>
      </x:c>
    </x:row>
    <x:row r="999">
      <x:c r="A999" s="26" t="str">
        <x:v>PUBMED-19769586</x:v>
      </x:c>
      <x:c r="B999" s="26" t="n">
        <x:v>2010</x:v>
      </x:c>
      <x:c r="C999" s="26" t="str">
        <x:v>19769586</x:v>
      </x:c>
      <x:c r="D999" s="28" t="str">
        <x:v>The influence of sex on the course and psychiatric correlates of ADHD from childhood to adolescence: a longitudinal study.</x:v>
      </x:c>
      <x:c r="E999" s="28" t="str">
        <x:v>Primary study - case-control</x:v>
      </x:c>
      <x:c r="F999" s="28" t="str">
        <x:v>Development &amp; presentation; Recognition &amp; diagnosis; Family &amp; education; Social &amp; structural; Life outcomes &amp; lived experience; Historical &amp; contemporary context</x:v>
      </x:c>
      <x:c r="G999" s="28" t="str">
        <x:v>Childhood; Adolescence</x:v>
      </x:c>
      <x:c r="H999" s="28" t="str">
        <x:v>Later specialized</x:v>
      </x:c>
      <x:c r="I999" s="28" t="str">
        <x:v>Direct or strongly ADHD-related record retained for later screening; typically narrower treatment, biomarker, mechanistic, or single-comorbidity focus.</x:v>
      </x:c>
      <x:c r="J999" s="38" t="e">
        <x:f>HYPERLINK("https://pubmed.ncbi.nlm.nih.gov/"&amp;C999&amp;"/","Open PubMed")</x:f>
        <x:v>HYPERLINK is not implemented. linkLocation=https://pubmed.ncbi.nlm.nih.gov/19769586/, friendlyName=Open PubMed</x:v>
      </x:c>
    </x:row>
    <x:row r="1000">
      <x:c r="A1000" s="26" t="str">
        <x:v>PUBMED-19757024</x:v>
      </x:c>
      <x:c r="B1000" s="26" t="n">
        <x:v>2010</x:v>
      </x:c>
      <x:c r="C1000" s="26" t="str">
        <x:v>19757024</x:v>
      </x:c>
      <x:c r="D1000" s="28" t="str">
        <x:v>Study on DBH genetic polymorphisms and plasma activity in attention deficit hyperactivity disorder patients from Eastern India.</x:v>
      </x:c>
      <x:c r="E1000" s="28" t="str">
        <x:v>Primary study - case-control</x:v>
      </x:c>
      <x:c r="F1000" s="28" t="str">
        <x:v>Development &amp; presentation; Recognition &amp; diagnosis; Family &amp; education; Social &amp; structural; Treatment &amp; support</x:v>
      </x:c>
      <x:c r="G1000" s="28" t="str">
        <x:v>Childhood</x:v>
      </x:c>
      <x:c r="H1000" s="28" t="str">
        <x:v>Later specialized</x:v>
      </x:c>
      <x:c r="I1000" s="28" t="str">
        <x:v>Direct or strongly ADHD-related record retained for later screening; typically narrower treatment, biomarker, mechanistic, or single-comorbidity focus.</x:v>
      </x:c>
      <x:c r="J1000" s="38" t="e">
        <x:f>HYPERLINK("https://pubmed.ncbi.nlm.nih.gov/"&amp;C1000&amp;"/","Open PubMed")</x:f>
        <x:v>HYPERLINK is not implemented. linkLocation=https://pubmed.ncbi.nlm.nih.gov/19757024/, friendlyName=Open PubMed</x:v>
      </x:c>
    </x:row>
    <x:row r="1001">
      <x:c r="A1001" s="26" t="str">
        <x:v>PUBMED-19747928</x:v>
      </x:c>
      <x:c r="B1001" s="26" t="n">
        <x:v>2010</x:v>
      </x:c>
      <x:c r="C1001" s="26" t="str">
        <x:v>19747928</x:v>
      </x:c>
      <x:c r="D1001" s="28" t="str">
        <x:v>Atrophy in two attention networks is associated with performance on a Flanker task in neurodegenerative disease.</x:v>
      </x:c>
      <x:c r="E1001" s="28" t="str">
        <x:v>Primary/contextual journal article</x:v>
      </x:c>
      <x:c r="F1001" s="28" t="str">
        <x:v>Development &amp; presentation; Social &amp; structural; Life outcomes &amp; lived experience</x:v>
      </x:c>
      <x:c r="G1001" s="28" t="str">
        <x:v>Adulthood</x:v>
      </x:c>
      <x:c r="H1001" s="28" t="str">
        <x:v>Later specialized</x:v>
      </x:c>
      <x:c r="I1001" s="28" t="str">
        <x:v>Direct or strongly ADHD-related record retained for later screening; typically narrower treatment, biomarker, mechanistic, or single-comorbidity focus.</x:v>
      </x:c>
      <x:c r="J1001" s="38" t="e">
        <x:f>HYPERLINK("https://pubmed.ncbi.nlm.nih.gov/"&amp;C1001&amp;"/","Open PubMed")</x:f>
        <x:v>HYPERLINK is not implemented. linkLocation=https://pubmed.ncbi.nlm.nih.gov/19747928/, friendlyName=Open PubMed</x:v>
      </x:c>
    </x:row>
    <x:row r="1002">
      <x:c r="A1002" s="26" t="str">
        <x:v>PUBMED-19732250</x:v>
      </x:c>
      <x:c r="B1002" s="26" t="n">
        <x:v>2010</x:v>
      </x:c>
      <x:c r="C1002" s="26" t="str">
        <x:v>19732250</x:v>
      </x:c>
      <x:c r="D1002" s="28" t="str">
        <x:v>Randomised controlled trial of parent groups for child antisocial behaviour targeting multiple risk factors: the SPOKES project.</x:v>
      </x:c>
      <x:c r="E1002" s="28" t="str">
        <x:v>Primary study - randomized controlled trial</x:v>
      </x:c>
      <x:c r="F1002" s="28" t="str">
        <x:v>Development &amp; presentation; Recognition &amp; diagnosis; Family &amp; education; Social &amp; structural; Treatment &amp; support; Life outcomes &amp; lived experience</x:v>
      </x:c>
      <x:c r="G1002" s="28" t="str">
        <x:v>Childhood; Adulthood</x:v>
      </x:c>
      <x:c r="H1002" s="28" t="str">
        <x:v>Later specialized</x:v>
      </x:c>
      <x:c r="I1002" s="28" t="str">
        <x:v>Direct or strongly ADHD-related record retained for later screening; typically narrower treatment, biomarker, mechanistic, or single-comorbidity focus.</x:v>
      </x:c>
      <x:c r="J1002" s="38" t="e">
        <x:f>HYPERLINK("https://pubmed.ncbi.nlm.nih.gov/"&amp;C1002&amp;"/","Open PubMed")</x:f>
        <x:v>HYPERLINK is not implemented. linkLocation=https://pubmed.ncbi.nlm.nih.gov/19732250/, friendlyName=Open PubMed</x:v>
      </x:c>
    </x:row>
    <x:row r="1003">
      <x:c r="A1003" s="26" t="str">
        <x:v>PUBMED-19723980</x:v>
      </x:c>
      <x:c r="B1003" s="26" t="n">
        <x:v>2010</x:v>
      </x:c>
      <x:c r="C1003" s="26" t="str">
        <x:v>19723980</x:v>
      </x:c>
      <x:c r="D1003" s="28" t="str">
        <x:v>Project DyAdd: phonological processing, reading, spelling, and arithmetic in adults with dyslexia or ADHD.</x:v>
      </x:c>
      <x:c r="E1003" s="28" t="str">
        <x:v>Primary/contextual journal article</x:v>
      </x:c>
      <x:c r="F1003" s="28" t="str">
        <x:v>Development &amp; presentation; Family &amp; education; Social &amp; structural</x:v>
      </x:c>
      <x:c r="G1003" s="28" t="str">
        <x:v>Adolescence; Adulthood</x:v>
      </x:c>
      <x:c r="H1003" s="28" t="str">
        <x:v>Later specialized</x:v>
      </x:c>
      <x:c r="I1003" s="28" t="str">
        <x:v>Direct or strongly ADHD-related record retained for later screening; typically narrower treatment, biomarker, mechanistic, or single-comorbidity focus.</x:v>
      </x:c>
      <x:c r="J1003" s="38" t="e">
        <x:f>HYPERLINK("https://pubmed.ncbi.nlm.nih.gov/"&amp;C1003&amp;"/","Open PubMed")</x:f>
        <x:v>HYPERLINK is not implemented. linkLocation=https://pubmed.ncbi.nlm.nih.gov/19723980/, friendlyName=Open PubMed</x:v>
      </x:c>
    </x:row>
    <x:row r="1004">
      <x:c r="A1004" s="26" t="str">
        <x:v>PUBMED-19673861</x:v>
      </x:c>
      <x:c r="B1004" s="26" t="n">
        <x:v>2010</x:v>
      </x:c>
      <x:c r="C1004" s="26" t="str">
        <x:v>19673861</x:v>
      </x:c>
      <x:c r="D1004" s="28" t="str">
        <x:v>Longitudinal studies of binary response data following case-control and stratified case-control sampling: design and analysis.</x:v>
      </x:c>
      <x:c r="E1004" s="28" t="str">
        <x:v>Primary study - case-control</x:v>
      </x:c>
      <x:c r="F1004" s="28" t="str">
        <x:v>Development &amp; presentation; Life outcomes &amp; lived experience</x:v>
      </x:c>
      <x:c r="G1004" s="28" t="str">
        <x:v>Not specified</x:v>
      </x:c>
      <x:c r="H1004" s="28" t="str">
        <x:v>Exclude/incidental</x:v>
      </x:c>
      <x:c r="I1004" s="28" t="str">
        <x:v>ADHD appears peripheral or insufficiently aligned with the requested corpus scope based on accessible metadata/abstract.</x:v>
      </x:c>
      <x:c r="J1004" s="38" t="e">
        <x:f>HYPERLINK("https://pubmed.ncbi.nlm.nih.gov/"&amp;C1004&amp;"/","Open PubMed")</x:f>
        <x:v>HYPERLINK is not implemented. linkLocation=https://pubmed.ncbi.nlm.nih.gov/19673861/, friendlyName=Open PubMed</x:v>
      </x:c>
    </x:row>
    <x:row r="1005">
      <x:c r="A1005" s="26" t="str">
        <x:v>PUBMED-19665851</x:v>
      </x:c>
      <x:c r="B1005" s="26" t="n">
        <x:v>2010</x:v>
      </x:c>
      <x:c r="C1005" s="26" t="str">
        <x:v>19665851</x:v>
      </x:c>
      <x:c r="D1005" s="28" t="str">
        <x:v>Attention deficit hyperactivity disorder (ADHD) and obesity: two facets of the same disease?</x:v>
      </x:c>
      <x:c r="E1005" s="28" t="str">
        <x:v>Primary/contextual journal article</x:v>
      </x:c>
      <x:c r="F1005" s="28" t="str">
        <x:v>Development &amp; presentation; Recognition &amp; diagnosis; Social &amp; structural; Environmental &amp; lifestyle</x:v>
      </x:c>
      <x:c r="G1005" s="28" t="str">
        <x:v>Childhood; Adulthood</x:v>
      </x:c>
      <x:c r="H1005" s="28" t="str">
        <x:v>Later specialized</x:v>
      </x:c>
      <x:c r="I1005" s="28" t="str">
        <x:v>Direct or strongly ADHD-related record retained for later screening; typically narrower treatment, biomarker, mechanistic, or single-comorbidity focus.</x:v>
      </x:c>
      <x:c r="J1005" s="38" t="e">
        <x:f>HYPERLINK("https://pubmed.ncbi.nlm.nih.gov/"&amp;C1005&amp;"/","Open PubMed")</x:f>
        <x:v>HYPERLINK is not implemented. linkLocation=https://pubmed.ncbi.nlm.nih.gov/19665851/, friendlyName=Open PubMed</x:v>
      </x:c>
    </x:row>
    <x:row r="1006">
      <x:c r="A1006" s="26" t="str">
        <x:v>PUBMED-19659917</x:v>
      </x:c>
      <x:c r="B1006" s="26" t="n">
        <x:v>2010</x:v>
      </x:c>
      <x:c r="C1006" s="26" t="str">
        <x:v>19659917</x:v>
      </x:c>
      <x:c r="D1006" s="28" t="str">
        <x:v>Linking impulsivity to dysfunctional thought control and insomnia: a structural equation model.</x:v>
      </x:c>
      <x:c r="E1006" s="28" t="str">
        <x:v>Primary/contextual journal article</x:v>
      </x:c>
      <x:c r="F1006" s="28" t="str">
        <x:v>Development &amp; presentation; Recognition &amp; diagnosis; Social &amp; structural; Environmental &amp; lifestyle</x:v>
      </x:c>
      <x:c r="G1006" s="28" t="str">
        <x:v>Adolescence; Adulthood</x:v>
      </x:c>
      <x:c r="H1006" s="28" t="str">
        <x:v>Exclude/incidental</x:v>
      </x:c>
      <x:c r="I1006" s="28" t="str">
        <x:v>ADHD appears peripheral or insufficiently aligned with the requested corpus scope based on accessible metadata/abstract.</x:v>
      </x:c>
      <x:c r="J1006" s="38" t="e">
        <x:f>HYPERLINK("https://pubmed.ncbi.nlm.nih.gov/"&amp;C1006&amp;"/","Open PubMed")</x:f>
        <x:v>HYPERLINK is not implemented. linkLocation=https://pubmed.ncbi.nlm.nih.gov/19659917/, friendlyName=Open PubMed</x:v>
      </x:c>
    </x:row>
    <x:row r="1007">
      <x:c r="A1007" s="26" t="str">
        <x:v>PUBMED-19603419</x:v>
      </x:c>
      <x:c r="B1007" s="26" t="n">
        <x:v>2010</x:v>
      </x:c>
      <x:c r="C1007" s="26" t="str">
        <x:v>19603419</x:v>
      </x:c>
      <x:c r="D1007" s="28" t="str">
        <x:v>Meta-analysis of brain-derived neurotrophic factor p.Val66Met in adult ADHD in four European populations.</x:v>
      </x:c>
      <x:c r="E1007" s="28" t="str">
        <x:v>Evidence synthesis - meta-analysis</x:v>
      </x:c>
      <x:c r="F1007" s="28" t="str">
        <x:v>Development &amp; presentation; Family &amp; education; Social &amp; structural</x:v>
      </x:c>
      <x:c r="G1007" s="28" t="str">
        <x:v>Adolescence; Adulthood</x:v>
      </x:c>
      <x:c r="H1007" s="28" t="str">
        <x:v>Batch 1 core</x:v>
      </x:c>
      <x:c r="I1007" s="28" t="str">
        <x:v>Direct ADHD evidence synthesis/guideline with broad multi-topic relevance.</x:v>
      </x:c>
      <x:c r="J1007" s="38" t="e">
        <x:f>HYPERLINK("https://pubmed.ncbi.nlm.nih.gov/"&amp;C1007&amp;"/","Open PubMed")</x:f>
        <x:v>HYPERLINK is not implemented. linkLocation=https://pubmed.ncbi.nlm.nih.gov/19603419/, friendlyName=Open PubMed</x:v>
      </x:c>
    </x:row>
    <x:row r="1008">
      <x:c r="A1008" s="26" t="str">
        <x:v>PUBMED-19564046</x:v>
      </x:c>
      <x:c r="B1008" s="26" t="n">
        <x:v>2010</x:v>
      </x:c>
      <x:c r="C1008" s="26" t="str">
        <x:v>19564046</x:v>
      </x:c>
      <x:c r="D1008" s="28" t="str">
        <x:v>Severe affective and behavioral dysregulation in youth is associated with increased serum TSH.</x:v>
      </x:c>
      <x:c r="E1008" s="28" t="str">
        <x:v>Primary study - cross-sectional</x:v>
      </x:c>
      <x:c r="F1008" s="28" t="str">
        <x:v>Development &amp; presentation; Recognition &amp; diagnosis; Family &amp; education; Social &amp; structural; Treatment &amp; support; Life outcomes &amp; lived experience</x:v>
      </x:c>
      <x:c r="G1008" s="28" t="str">
        <x:v>Childhood; Adolescence</x:v>
      </x:c>
      <x:c r="H1008" s="28" t="str">
        <x:v>Exclude/incidental</x:v>
      </x:c>
      <x:c r="I1008" s="28" t="str">
        <x:v>ADHD appears peripheral or insufficiently aligned with the requested corpus scope based on accessible metadata/abstract.</x:v>
      </x:c>
      <x:c r="J1008" s="38" t="e">
        <x:f>HYPERLINK("https://pubmed.ncbi.nlm.nih.gov/"&amp;C1008&amp;"/","Open PubMed")</x:f>
        <x:v>HYPERLINK is not implemented. linkLocation=https://pubmed.ncbi.nlm.nih.gov/19564046/, friendlyName=Open PubMed</x:v>
      </x:c>
    </x:row>
    <x:row r="1009">
      <x:c r="A1009" s="26" t="str">
        <x:v>PUBMED-19546859</x:v>
      </x:c>
      <x:c r="B1009" s="26" t="n">
        <x:v>2010</x:v>
      </x:c>
      <x:c r="C1009" s="26" t="str">
        <x:v>19546859</x:v>
      </x:c>
      <x:c r="D1009" s="28" t="str">
        <x:v>Rare structural variants found in attention-deficit hyperactivity disorder are preferentially associated with neurodevelopmental genes.</x:v>
      </x:c>
      <x:c r="E1009" s="28" t="str">
        <x:v>Primary study - cohort</x:v>
      </x:c>
      <x:c r="F1009" s="28" t="str">
        <x:v>Development &amp; presentation; Family &amp; education; Social &amp; structural</x:v>
      </x:c>
      <x:c r="G1009" s="28" t="str">
        <x:v>Childhood; Adolescence; Adulthood</x:v>
      </x:c>
      <x:c r="H1009" s="28" t="str">
        <x:v>Later specialized</x:v>
      </x:c>
      <x:c r="I1009" s="28" t="str">
        <x:v>Direct or strongly ADHD-related record retained for later screening; typically narrower treatment, biomarker, mechanistic, or single-comorbidity focus.</x:v>
      </x:c>
      <x:c r="J1009" s="38" t="e">
        <x:f>HYPERLINK("https://pubmed.ncbi.nlm.nih.gov/"&amp;C1009&amp;"/","Open PubMed")</x:f>
        <x:v>HYPERLINK is not implemented. linkLocation=https://pubmed.ncbi.nlm.nih.gov/19546859/, friendlyName=Open PubMed</x:v>
      </x:c>
    </x:row>
    <x:row r="1010">
      <x:c r="A1010" s="26" t="str">
        <x:v>PUBMED-19543791</x:v>
      </x:c>
      <x:c r="B1010" s="26" t="n">
        <x:v>2010</x:v>
      </x:c>
      <x:c r="C1010" s="26" t="str">
        <x:v>19543791</x:v>
      </x:c>
      <x:c r="D1010" s="28" t="str">
        <x:v>ADHD in international adoptees: a national cohort study.</x:v>
      </x:c>
      <x:c r="E1010" s="28" t="str">
        <x:v>Primary study - cohort</x:v>
      </x:c>
      <x:c r="F1010" s="28" t="str">
        <x:v>Development &amp; presentation; Family &amp; education; Social &amp; structural; Environmental &amp; lifestyle; Treatment &amp; support</x:v>
      </x:c>
      <x:c r="G1010" s="28" t="str">
        <x:v>Childhood; Adolescence; Adulthood</x:v>
      </x:c>
      <x:c r="H1010" s="28" t="str">
        <x:v>Later specialized</x:v>
      </x:c>
      <x:c r="I1010" s="28" t="str">
        <x:v>Direct or strongly ADHD-related record retained for later screening; typically narrower treatment, biomarker, mechanistic, or single-comorbidity focus.</x:v>
      </x:c>
      <x:c r="J1010" s="38" t="e">
        <x:f>HYPERLINK("https://pubmed.ncbi.nlm.nih.gov/"&amp;C1010&amp;"/","Open PubMed")</x:f>
        <x:v>HYPERLINK is not implemented. linkLocation=https://pubmed.ncbi.nlm.nih.gov/19543791/, friendlyName=Open PubMed</x:v>
      </x:c>
    </x:row>
    <x:row r="1011">
      <x:c r="A1011" s="26" t="str">
        <x:v>PUBMED-19543790</x:v>
      </x:c>
      <x:c r="B1011" s="26" t="n">
        <x:v>2010</x:v>
      </x:c>
      <x:c r="C1011" s="26" t="str">
        <x:v>19543790</x:v>
      </x:c>
      <x:c r="D1011" s="28" t="str">
        <x:v>Does ADHD moderate the manifestation of anxiety disorders in children?</x:v>
      </x:c>
      <x:c r="E1011" s="28" t="str">
        <x:v>Primary/contextual journal article</x:v>
      </x:c>
      <x:c r="F1011" s="28" t="str">
        <x:v>Development &amp; presentation; Recognition &amp; diagnosis; Family &amp; education; Social &amp; structural; Treatment &amp; support; Life outcomes &amp; lived experience</x:v>
      </x:c>
      <x:c r="G1011" s="28" t="str">
        <x:v>Childhood; Adolescence</x:v>
      </x:c>
      <x:c r="H1011" s="28" t="str">
        <x:v>Later specialized</x:v>
      </x:c>
      <x:c r="I1011" s="28" t="str">
        <x:v>Direct or strongly ADHD-related record retained for later screening; typically narrower treatment, biomarker, mechanistic, or single-comorbidity focus.</x:v>
      </x:c>
      <x:c r="J1011" s="38" t="e">
        <x:f>HYPERLINK("https://pubmed.ncbi.nlm.nih.gov/"&amp;C1011&amp;"/","Open PubMed")</x:f>
        <x:v>HYPERLINK is not implemented. linkLocation=https://pubmed.ncbi.nlm.nih.gov/19543790/, friendlyName=Open PubMed</x:v>
      </x:c>
    </x:row>
    <x:row r="1012">
      <x:c r="A1012" s="26" t="str">
        <x:v>PUBMED-19508459</x:v>
      </x:c>
      <x:c r="B1012" s="26" t="n">
        <x:v>2010</x:v>
      </x:c>
      <x:c r="C1012" s="26" t="str">
        <x:v>19508459</x:v>
      </x:c>
      <x:c r="D1012" s="28" t="str">
        <x:v>Visual fields in children with attention-deficit/hyperactivity disorder before and after treatment with stimulants.</x:v>
      </x:c>
      <x:c r="E1012" s="28" t="str">
        <x:v>Contextual - editorial/comment</x:v>
      </x:c>
      <x:c r="F1012" s="28" t="str">
        <x:v>Development &amp; presentation; Social &amp; structural; Treatment &amp; support</x:v>
      </x:c>
      <x:c r="G1012" s="28" t="str">
        <x:v>Childhood</x:v>
      </x:c>
      <x:c r="H1012" s="28" t="str">
        <x:v>Later specialized</x:v>
      </x:c>
      <x:c r="I1012" s="28" t="str">
        <x:v>Direct or strongly ADHD-related record retained for later screening; typically narrower treatment, biomarker, mechanistic, or single-comorbidity focus.</x:v>
      </x:c>
      <x:c r="J1012" s="38" t="e">
        <x:f>HYPERLINK("https://pubmed.ncbi.nlm.nih.gov/"&amp;C1012&amp;"/","Open PubMed")</x:f>
        <x:v>HYPERLINK is not implemented. linkLocation=https://pubmed.ncbi.nlm.nih.gov/19508459/, friendlyName=Open PubMed</x:v>
      </x:c>
    </x:row>
    <x:row r="1013">
      <x:c r="A1013" s="26" t="str">
        <x:v>PUBMED-19505783</x:v>
      </x:c>
      <x:c r="B1013" s="26" t="n">
        <x:v>2010</x:v>
      </x:c>
      <x:c r="C1013" s="26" t="str">
        <x:v>19505783</x:v>
      </x:c>
      <x:c r="D1013" s="28" t="str">
        <x:v>Saccade eye movements as a quantitative measure of frontostriatal network in children with ADHD.</x:v>
      </x:c>
      <x:c r="E1013" s="28" t="str">
        <x:v>Primary/contextual journal article</x:v>
      </x:c>
      <x:c r="F1013" s="28" t="str">
        <x:v>Development &amp; presentation; Social &amp; structural</x:v>
      </x:c>
      <x:c r="G1013" s="28" t="str">
        <x:v>Childhood; Adolescence; Adulthood</x:v>
      </x:c>
      <x:c r="H1013" s="28" t="str">
        <x:v>Later specialized</x:v>
      </x:c>
      <x:c r="I1013" s="28" t="str">
        <x:v>Direct or strongly ADHD-related record retained for later screening; typically narrower treatment, biomarker, mechanistic, or single-comorbidity focus.</x:v>
      </x:c>
      <x:c r="J1013" s="38" t="e">
        <x:f>HYPERLINK("https://pubmed.ncbi.nlm.nih.gov/"&amp;C1013&amp;"/","Open PubMed")</x:f>
        <x:v>HYPERLINK is not implemented. linkLocation=https://pubmed.ncbi.nlm.nih.gov/19505783/, friendlyName=Open PubMed</x:v>
      </x:c>
    </x:row>
    <x:row r="1014">
      <x:c r="A1014" s="26" t="str">
        <x:v>PUBMED-19484647</x:v>
      </x:c>
      <x:c r="B1014" s="26" t="n">
        <x:v>2010</x:v>
      </x:c>
      <x:c r="C1014" s="26" t="str">
        <x:v>19484647</x:v>
      </x:c>
      <x:c r="D1014" s="28" t="str">
        <x:v>Attention in neglect and extinction: assessing the degree of correspondence between visual and auditory impairments using matched tasks.</x:v>
      </x:c>
      <x:c r="E1014" s="28" t="str">
        <x:v>Primary/contextual journal article</x:v>
      </x:c>
      <x:c r="F1014" s="28" t="str">
        <x:v>Development &amp; presentation; Family &amp; education; Social &amp; structural</x:v>
      </x:c>
      <x:c r="G1014" s="28" t="str">
        <x:v>Adulthood</x:v>
      </x:c>
      <x:c r="H1014" s="28" t="str">
        <x:v>Later specialized</x:v>
      </x:c>
      <x:c r="I1014" s="28" t="str">
        <x:v>Direct or strongly ADHD-related record retained for later screening; typically narrower treatment, biomarker, mechanistic, or single-comorbidity focus.</x:v>
      </x:c>
      <x:c r="J1014" s="38" t="e">
        <x:f>HYPERLINK("https://pubmed.ncbi.nlm.nih.gov/"&amp;C1014&amp;"/","Open PubMed")</x:f>
        <x:v>HYPERLINK is not implemented. linkLocation=https://pubmed.ncbi.nlm.nih.gov/19484647/, friendlyName=Open PubMed</x:v>
      </x:c>
    </x:row>
    <x:row r="1015">
      <x:c r="A1015" s="26" t="str">
        <x:v>PUBMED-19482837</x:v>
      </x:c>
      <x:c r="B1015" s="26" t="n">
        <x:v>2010</x:v>
      </x:c>
      <x:c r="C1015" s="26" t="str">
        <x:v>19482837</x:v>
      </x:c>
      <x:c r="D1015" s="28" t="str">
        <x:v>The presence of attention-deficit hyperactivity disorder (ADHD) and obsessive-compulsive disorder worsen psychosocial and educational problems in Tourette syndrome.</x:v>
      </x:c>
      <x:c r="E1015" s="28" t="str">
        <x:v>Primary study - cohort</x:v>
      </x:c>
      <x:c r="F1015" s="28" t="str">
        <x:v>Development &amp; presentation; Family &amp; education; Social &amp; structural</x:v>
      </x:c>
      <x:c r="G1015" s="28" t="str">
        <x:v>Childhood; Adolescence; Adulthood</x:v>
      </x:c>
      <x:c r="H1015" s="28" t="str">
        <x:v>Batch 1 core</x:v>
      </x:c>
      <x:c r="I1015" s="28" t="str">
        <x:v>Direct ADHD primary study on diagnosis, family/education, structural conditions, lived experience/outcomes, or environment/lifestyle.</x:v>
      </x:c>
      <x:c r="J1015" s="38" t="e">
        <x:f>HYPERLINK("https://pubmed.ncbi.nlm.nih.gov/"&amp;C1015&amp;"/","Open PubMed")</x:f>
        <x:v>HYPERLINK is not implemented. linkLocation=https://pubmed.ncbi.nlm.nih.gov/19482837/, friendlyName=Open PubMed</x:v>
      </x:c>
    </x:row>
    <x:row r="1016">
      <x:c r="A1016" s="26" t="str">
        <x:v>PUBMED-19465731</x:v>
      </x:c>
      <x:c r="B1016" s="26" t="n">
        <x:v>2010</x:v>
      </x:c>
      <x:c r="C1016" s="26" t="str">
        <x:v>19465731</x:v>
      </x:c>
      <x:c r="D1016" s="28" t="str">
        <x:v>Cultural proficiency: a Hispanic woman with ADHD--a case example.</x:v>
      </x:c>
      <x:c r="E1016" s="28" t="str">
        <x:v>Primary/contextual journal article</x:v>
      </x:c>
      <x:c r="F1016" s="28" t="str">
        <x:v>Development &amp; presentation; Recognition &amp; diagnosis; Family &amp; education; Social &amp; structural; Environmental &amp; lifestyle; Treatment &amp; support; Historical &amp; contemporary context</x:v>
      </x:c>
      <x:c r="G1016" s="28" t="str">
        <x:v>Adulthood</x:v>
      </x:c>
      <x:c r="H1016" s="28" t="str">
        <x:v>Later specialized</x:v>
      </x:c>
      <x:c r="I1016" s="28" t="str">
        <x:v>Direct or strongly ADHD-related record retained for later screening; typically narrower treatment, biomarker, mechanistic, or single-comorbidity focus.</x:v>
      </x:c>
      <x:c r="J1016" s="38" t="e">
        <x:f>HYPERLINK("https://pubmed.ncbi.nlm.nih.gov/"&amp;C1016&amp;"/","Open PubMed")</x:f>
        <x:v>HYPERLINK is not implemented. linkLocation=https://pubmed.ncbi.nlm.nih.gov/19465731/, friendlyName=Open PubMed</x:v>
      </x:c>
    </x:row>
    <x:row r="1017">
      <x:c r="A1017" s="26" t="str">
        <x:v>PUBMED-19462340</x:v>
      </x:c>
      <x:c r="B1017" s="26" t="n">
        <x:v>2010</x:v>
      </x:c>
      <x:c r="C1017" s="26" t="str">
        <x:v>19462340</x:v>
      </x:c>
      <x:c r="D1017" s="28" t="str">
        <x:v>Smoking in adult attention-deficit/hyperactivity disorder: interaction between 15q13 nicotinic genes and Temperament Character Inventory scores.</x:v>
      </x:c>
      <x:c r="E1017" s="28" t="str">
        <x:v>Primary/contextual journal article</x:v>
      </x:c>
      <x:c r="F1017" s="28" t="str">
        <x:v>Development &amp; presentation; Recognition &amp; diagnosis; Social &amp; structural; Environmental &amp; lifestyle; Historical &amp; contemporary context</x:v>
      </x:c>
      <x:c r="G1017" s="28" t="str">
        <x:v>Adulthood</x:v>
      </x:c>
      <x:c r="H1017" s="28" t="str">
        <x:v>Later specialized</x:v>
      </x:c>
      <x:c r="I1017" s="28" t="str">
        <x:v>Direct or strongly ADHD-related record retained for later screening; typically narrower treatment, biomarker, mechanistic, or single-comorbidity focus.</x:v>
      </x:c>
      <x:c r="J1017" s="38" t="e">
        <x:f>HYPERLINK("https://pubmed.ncbi.nlm.nih.gov/"&amp;C1017&amp;"/","Open PubMed")</x:f>
        <x:v>HYPERLINK is not implemented. linkLocation=https://pubmed.ncbi.nlm.nih.gov/19462340/, friendlyName=Open PubMed</x:v>
      </x:c>
    </x:row>
    <x:row r="1018">
      <x:c r="A1018" s="26" t="str">
        <x:v>PUBMED-19460186</x:v>
      </x:c>
      <x:c r="B1018" s="26" t="n">
        <x:v>2010</x:v>
      </x:c>
      <x:c r="C1018" s="26" t="str">
        <x:v>19460186</x:v>
      </x:c>
      <x:c r="D1018" s="28" t="str">
        <x:v>Psychiatric morbidity associated with same-sex sexual behaviour: influence of minority stress and familial factors.</x:v>
      </x:c>
      <x:c r="E1018" s="28" t="str">
        <x:v>Primary/contextual journal article</x:v>
      </x:c>
      <x:c r="F1018" s="28" t="str">
        <x:v>Development &amp; presentation; Recognition &amp; diagnosis; Social &amp; structural; Environmental &amp; lifestyle</x:v>
      </x:c>
      <x:c r="G1018" s="28" t="str">
        <x:v>Adulthood</x:v>
      </x:c>
      <x:c r="H1018" s="28" t="str">
        <x:v>Later specialized</x:v>
      </x:c>
      <x:c r="I1018" s="28" t="str">
        <x:v>Direct or strongly ADHD-related record retained for later screening; typically narrower treatment, biomarker, mechanistic, or single-comorbidity focus.</x:v>
      </x:c>
      <x:c r="J1018" s="38" t="e">
        <x:f>HYPERLINK("https://pubmed.ncbi.nlm.nih.gov/"&amp;C1018&amp;"/","Open PubMed")</x:f>
        <x:v>HYPERLINK is not implemented. linkLocation=https://pubmed.ncbi.nlm.nih.gov/19460186/, friendlyName=Open PubMed</x:v>
      </x:c>
    </x:row>
    <x:row r="1019">
      <x:c r="A1019" s="26" t="str">
        <x:v>PUBMED-19395647</x:v>
      </x:c>
      <x:c r="B1019" s="26" t="n">
        <x:v>2010</x:v>
      </x:c>
      <x:c r="C1019" s="26" t="str">
        <x:v>19395647</x:v>
      </x:c>
      <x:c r="D1019" s="28" t="str">
        <x:v>Life impairments in adults with medication-treated ADHD.</x:v>
      </x:c>
      <x:c r="E1019" s="28" t="str">
        <x:v>Primary/contextual journal article</x:v>
      </x:c>
      <x:c r="F1019" s="28" t="str">
        <x:v>Development &amp; presentation; Recognition &amp; diagnosis; Social &amp; structural; Environmental &amp; lifestyle; Treatment &amp; support; Life outcomes &amp; lived experience</x:v>
      </x:c>
      <x:c r="G1019" s="28" t="str">
        <x:v>Adolescence; Adulthood</x:v>
      </x:c>
      <x:c r="H1019" s="28" t="str">
        <x:v>Later specialized</x:v>
      </x:c>
      <x:c r="I1019" s="28" t="str">
        <x:v>Direct or strongly ADHD-related record retained for later screening; typically narrower treatment, biomarker, mechanistic, or single-comorbidity focus.</x:v>
      </x:c>
      <x:c r="J1019" s="38" t="e">
        <x:f>HYPERLINK("https://pubmed.ncbi.nlm.nih.gov/"&amp;C1019&amp;"/","Open PubMed")</x:f>
        <x:v>HYPERLINK is not implemented. linkLocation=https://pubmed.ncbi.nlm.nih.gov/19395647/, friendlyName=Open PubMed</x:v>
      </x:c>
    </x:row>
    <x:row r="1020">
      <x:c r="A1020" s="26" t="str">
        <x:v>PUBMED-19395644</x:v>
      </x:c>
      <x:c r="B1020" s="26" t="n">
        <x:v>2010</x:v>
      </x:c>
      <x:c r="C1020" s="26" t="str">
        <x:v>19395644</x:v>
      </x:c>
      <x:c r="D1020" s="28" t="str">
        <x:v>Behavioral approach in ADHD: testing a motivational dysfunction hypothesis.</x:v>
      </x:c>
      <x:c r="E1020" s="28" t="str">
        <x:v>Primary/contextual journal article</x:v>
      </x:c>
      <x:c r="F1020" s="28" t="str">
        <x:v>Development &amp; presentation; Recognition &amp; diagnosis; Social &amp; structural; Treatment &amp; support</x:v>
      </x:c>
      <x:c r="G1020" s="28" t="str">
        <x:v>Adulthood</x:v>
      </x:c>
      <x:c r="H1020" s="28" t="str">
        <x:v>Later specialized</x:v>
      </x:c>
      <x:c r="I1020" s="28" t="str">
        <x:v>Direct or strongly ADHD-related record retained for later screening; typically narrower treatment, biomarker, mechanistic, or single-comorbidity focus.</x:v>
      </x:c>
      <x:c r="J1020" s="38" t="e">
        <x:f>HYPERLINK("https://pubmed.ncbi.nlm.nih.gov/"&amp;C1020&amp;"/","Open PubMed")</x:f>
        <x:v>HYPERLINK is not implemented. linkLocation=https://pubmed.ncbi.nlm.nih.gov/19395644/, friendlyName=Open PubMed</x:v>
      </x:c>
    </x:row>
    <x:row r="1021">
      <x:c r="A1021" s="26" t="str">
        <x:v>PUBMED-19388000</x:v>
      </x:c>
      <x:c r="B1021" s="26" t="n">
        <x:v>2010</x:v>
      </x:c>
      <x:c r="C1021" s="26" t="str">
        <x:v>19388000</x:v>
      </x:c>
      <x:c r="D1021" s="28" t="str">
        <x:v>ADHD and DAT1: further evidence of paternal over-transmission of risk alleles and haplotype.</x:v>
      </x:c>
      <x:c r="E1021" s="28" t="str">
        <x:v>Primary/contextual journal article</x:v>
      </x:c>
      <x:c r="F1021" s="28" t="str">
        <x:v>Development &amp; presentation; Family &amp; education; Social &amp; structural; Life outcomes &amp; lived experience</x:v>
      </x:c>
      <x:c r="G1021" s="28" t="str">
        <x:v>Not specified</x:v>
      </x:c>
      <x:c r="H1021" s="28" t="str">
        <x:v>Later specialized</x:v>
      </x:c>
      <x:c r="I1021" s="28" t="str">
        <x:v>Direct or strongly ADHD-related record retained for later screening; typically narrower treatment, biomarker, mechanistic, or single-comorbidity focus.</x:v>
      </x:c>
      <x:c r="J1021" s="38" t="e">
        <x:f>HYPERLINK("https://pubmed.ncbi.nlm.nih.gov/"&amp;C1021&amp;"/","Open PubMed")</x:f>
        <x:v>HYPERLINK is not implemented. linkLocation=https://pubmed.ncbi.nlm.nih.gov/19388000/, friendlyName=Open PubMed</x:v>
      </x:c>
    </x:row>
    <x:row r="1022">
      <x:c r="A1022" s="26" t="str">
        <x:v>PUBMED-19369016</x:v>
      </x:c>
      <x:c r="B1022" s="26" t="n">
        <x:v>2010</x:v>
      </x:c>
      <x:c r="C1022" s="26" t="str">
        <x:v>19369016</x:v>
      </x:c>
      <x:c r="D1022" s="28" t="str">
        <x:v>Attention deficit hyperactivity disorder in children with epilepsy.</x:v>
      </x:c>
      <x:c r="E1022" s="28" t="str">
        <x:v>Evidence synthesis - review</x:v>
      </x:c>
      <x:c r="F1022" s="28" t="str">
        <x:v>Development &amp; presentation; Social &amp; structural; Treatment &amp; support</x:v>
      </x:c>
      <x:c r="G1022" s="28" t="str">
        <x:v>Childhood</x:v>
      </x:c>
      <x:c r="H1022" s="28" t="str">
        <x:v>Later specialized</x:v>
      </x:c>
      <x:c r="I1022" s="28" t="str">
        <x:v>Direct or strongly ADHD-related record retained for later screening; typically narrower treatment, biomarker, mechanistic, or single-comorbidity focus.</x:v>
      </x:c>
      <x:c r="J1022" s="38" t="e">
        <x:f>HYPERLINK("https://pubmed.ncbi.nlm.nih.gov/"&amp;C1022&amp;"/","Open PubMed")</x:f>
        <x:v>HYPERLINK is not implemented. linkLocation=https://pubmed.ncbi.nlm.nih.gov/19369016/, friendlyName=Open PubMed</x:v>
      </x:c>
    </x:row>
    <x:row r="1023">
      <x:c r="A1023" s="26" t="str">
        <x:v>PUBMED-19343578</x:v>
      </x:c>
      <x:c r="B1023" s="26" t="n">
        <x:v>2010</x:v>
      </x:c>
      <x:c r="C1023" s="26" t="str">
        <x:v>19343578</x:v>
      </x:c>
      <x:c r="D1023" s="28" t="str">
        <x:v>Reading comprehension, word decoding and spelling in girls with autism spectrum disorders (ASD) or attention-deficit/hyperactivity disorder (AD/HD): performance and predictors.</x:v>
      </x:c>
      <x:c r="E1023" s="28" t="str">
        <x:v>Primary/contextual journal article</x:v>
      </x:c>
      <x:c r="F1023" s="28" t="str">
        <x:v>Development &amp; presentation; Recognition &amp; diagnosis; Family &amp; education; Social &amp; structural; Life outcomes &amp; lived experience</x:v>
      </x:c>
      <x:c r="G1023" s="28" t="str">
        <x:v>Childhood; Adolescence</x:v>
      </x:c>
      <x:c r="H1023" s="28" t="str">
        <x:v>Later specialized</x:v>
      </x:c>
      <x:c r="I1023" s="28" t="str">
        <x:v>Direct or strongly ADHD-related record retained for later screening; typically narrower treatment, biomarker, mechanistic, or single-comorbidity focus.</x:v>
      </x:c>
      <x:c r="J1023" s="38" t="e">
        <x:f>HYPERLINK("https://pubmed.ncbi.nlm.nih.gov/"&amp;C1023&amp;"/","Open PubMed")</x:f>
        <x:v>HYPERLINK is not implemented. linkLocation=https://pubmed.ncbi.nlm.nih.gov/19343578/, friendlyName=Open PubMed</x:v>
      </x:c>
    </x:row>
    <x:row r="1024">
      <x:c r="A1024" s="26" t="str">
        <x:v>PUBMED-19250251</x:v>
      </x:c>
      <x:c r="B1024" s="26" t="n">
        <x:v>2010</x:v>
      </x:c>
      <x:c r="C1024" s="26" t="str">
        <x:v>19250251</x:v>
      </x:c>
      <x:c r="D1024" s="28" t="str">
        <x:v>Long-term behavioural outcomes of pre-school mild traumatic brain injury.</x:v>
      </x:c>
      <x:c r="E1024" s="28" t="str">
        <x:v>Primary study - cohort</x:v>
      </x:c>
      <x:c r="F1024" s="28" t="str">
        <x:v>Development &amp; presentation; Recognition &amp; diagnosis; Family &amp; education; Social &amp; structural; Environmental &amp; lifestyle; Life outcomes &amp; lived experience</x:v>
      </x:c>
      <x:c r="G1024" s="28" t="str">
        <x:v>Childhood</x:v>
      </x:c>
      <x:c r="H1024" s="28" t="str">
        <x:v>Exclude/incidental</x:v>
      </x:c>
      <x:c r="I1024" s="28" t="str">
        <x:v>ADHD appears peripheral or insufficiently aligned with the requested corpus scope based on accessible metadata/abstract.</x:v>
      </x:c>
      <x:c r="J1024" s="38" t="e">
        <x:f>HYPERLINK("https://pubmed.ncbi.nlm.nih.gov/"&amp;C1024&amp;"/","Open PubMed")</x:f>
        <x:v>HYPERLINK is not implemented. linkLocation=https://pubmed.ncbi.nlm.nih.gov/19250251/, friendlyName=Open PubMed</x:v>
      </x:c>
    </x:row>
    <x:row r="1025">
      <x:c r="A1025" s="26" t="str">
        <x:v>PUBMED-19204064</x:v>
      </x:c>
      <x:c r="B1025" s="26" t="n">
        <x:v>2010</x:v>
      </x:c>
      <x:c r="C1025" s="26" t="str">
        <x:v>19204064</x:v>
      </x:c>
      <x:c r="D1025" s="28" t="str">
        <x:v>NK1 (TACR1) receptor gene 'knockout' mouse phenotype predicts genetic association with ADHD.</x:v>
      </x:c>
      <x:c r="E1025" s="28" t="str">
        <x:v>Primary study - case-control</x:v>
      </x:c>
      <x:c r="F1025" s="28" t="str">
        <x:v>Development &amp; presentation; Recognition &amp; diagnosis; Social &amp; structural; Environmental &amp; lifestyle; Treatment &amp; support</x:v>
      </x:c>
      <x:c r="G1025" s="28" t="str">
        <x:v>Not specified</x:v>
      </x:c>
      <x:c r="H1025" s="28" t="str">
        <x:v>Later specialized</x:v>
      </x:c>
      <x:c r="I1025" s="28" t="str">
        <x:v>Direct or strongly ADHD-related record retained for later screening; typically narrower treatment, biomarker, mechanistic, or single-comorbidity focus.</x:v>
      </x:c>
      <x:c r="J1025" s="38" t="e">
        <x:f>HYPERLINK("https://pubmed.ncbi.nlm.nih.gov/"&amp;C1025&amp;"/","Open PubMed")</x:f>
        <x:v>HYPERLINK is not implemented. linkLocation=https://pubmed.ncbi.nlm.nih.gov/19204064/, friendlyName=Open PubMed</x:v>
      </x:c>
    </x:row>
    <x:row r="1026">
      <x:c r="A1026" s="26" t="str">
        <x:v>PUBMED-18974079</x:v>
      </x:c>
      <x:c r="B1026" s="26" t="n">
        <x:v>2010</x:v>
      </x:c>
      <x:c r="C1026" s="26" t="str">
        <x:v>18974079</x:v>
      </x:c>
      <x:c r="D1026" s="28" t="str">
        <x:v>Speed of language comprehension is impaired in ADHD.</x:v>
      </x:c>
      <x:c r="E1026" s="28" t="str">
        <x:v>Primary study - case-control</x:v>
      </x:c>
      <x:c r="F1026" s="28" t="str">
        <x:v>Development &amp; presentation; Recognition &amp; diagnosis; Family &amp; education; Social &amp; structural</x:v>
      </x:c>
      <x:c r="G1026" s="28" t="str">
        <x:v>Childhood; Adolescence</x:v>
      </x:c>
      <x:c r="H1026" s="28" t="str">
        <x:v>Later specialized</x:v>
      </x:c>
      <x:c r="I1026" s="28" t="str">
        <x:v>Direct or strongly ADHD-related record retained for later screening; typically narrower treatment, biomarker, mechanistic, or single-comorbidity focus.</x:v>
      </x:c>
      <x:c r="J1026" s="38" t="e">
        <x:f>HYPERLINK("https://pubmed.ncbi.nlm.nih.gov/"&amp;C1026&amp;"/","Open PubMed")</x:f>
        <x:v>HYPERLINK is not implemented. linkLocation=https://pubmed.ncbi.nlm.nih.gov/18974079/, friendlyName=Open PubMed</x:v>
      </x:c>
    </x:row>
    <x:row r="1027">
      <x:c r="A1027" s="26" t="str">
        <x:v>PUBMED-20732373</x:v>
      </x:c>
      <x:c r="B1027" s="26" t="n">
        <x:v>2010</x:v>
      </x:c>
      <x:c r="C1027" s="26" t="str">
        <x:v>20732373</x:v>
      </x:c>
      <x:c r="D1027" s="28" t="str">
        <x:v>Oxidative imbalance in child and adolescent patients with attention-deficit/hyperactivity disorder.</x:v>
      </x:c>
      <x:c r="E1027" s="28" t="str">
        <x:v>Primary/contextual journal article</x:v>
      </x:c>
      <x:c r="F1027" s="28" t="str">
        <x:v>Development &amp; presentation; Recognition &amp; diagnosis; Environmental &amp; lifestyle</x:v>
      </x:c>
      <x:c r="G1027" s="28" t="str">
        <x:v>Childhood; Adolescence</x:v>
      </x:c>
      <x:c r="H1027" s="28" t="str">
        <x:v>Later specialized</x:v>
      </x:c>
      <x:c r="I1027" s="28" t="str">
        <x:v>Direct or strongly ADHD-related record retained for later screening; typically narrower treatment, biomarker, mechanistic, or single-comorbidity focus.</x:v>
      </x:c>
      <x:c r="J1027" s="38" t="e">
        <x:f>HYPERLINK("https://pubmed.ncbi.nlm.nih.gov/"&amp;C1027&amp;"/","Open PubMed")</x:f>
        <x:v>HYPERLINK is not implemented. linkLocation=https://pubmed.ncbi.nlm.nih.gov/20732373/, friendlyName=Open PubMed</x:v>
      </x:c>
    </x:row>
    <x:row r="1028">
      <x:c r="A1028" s="26" t="str">
        <x:v>PUBMED-20731476</x:v>
      </x:c>
      <x:c r="B1028" s="26" t="n">
        <x:v>2010</x:v>
      </x:c>
      <x:c r="C1028" s="26" t="str">
        <x:v>20731476</x:v>
      </x:c>
      <x:c r="D1028" s="28" t="str">
        <x:v>Guanfacine extended-release: in attention deficit hyperactivity disorder.</x:v>
      </x:c>
      <x:c r="E1028" s="28" t="str">
        <x:v>Evidence synthesis - review</x:v>
      </x:c>
      <x:c r="F1028" s="28" t="str">
        <x:v>Development &amp; presentation; Recognition &amp; diagnosis; Social &amp; structural; Treatment &amp; support</x:v>
      </x:c>
      <x:c r="G1028" s="28" t="str">
        <x:v>Childhood; Adolescence</x:v>
      </x:c>
      <x:c r="H1028" s="28" t="str">
        <x:v>Later specialized</x:v>
      </x:c>
      <x:c r="I1028" s="28" t="str">
        <x:v>Direct or strongly ADHD-related record retained for later screening; typically narrower treatment, biomarker, mechanistic, or single-comorbidity focus.</x:v>
      </x:c>
      <x:c r="J1028" s="38" t="e">
        <x:f>HYPERLINK("https://pubmed.ncbi.nlm.nih.gov/"&amp;C1028&amp;"/","Open PubMed")</x:f>
        <x:v>HYPERLINK is not implemented. linkLocation=https://pubmed.ncbi.nlm.nih.gov/20731476/, friendlyName=Open PubMed</x:v>
      </x:c>
    </x:row>
    <x:row r="1029">
      <x:c r="A1029" s="26" t="str">
        <x:v>PUBMED-20720060</x:v>
      </x:c>
      <x:c r="B1029" s="26" t="n">
        <x:v>2010</x:v>
      </x:c>
      <x:c r="C1029" s="26" t="str">
        <x:v>20720060</x:v>
      </x:c>
      <x:c r="D1029" s="28" t="str">
        <x:v>Molecular imaging of the dopamine transporter.</x:v>
      </x:c>
      <x:c r="E1029" s="28" t="str">
        <x:v>Evidence synthesis - review</x:v>
      </x:c>
      <x:c r="F1029" s="28" t="str">
        <x:v>Development &amp; presentation; Recognition &amp; diagnosis; Treatment &amp; support</x:v>
      </x:c>
      <x:c r="G1029" s="28" t="str">
        <x:v>Not specified</x:v>
      </x:c>
      <x:c r="H1029" s="28" t="str">
        <x:v>Exclude/incidental</x:v>
      </x:c>
      <x:c r="I1029" s="28" t="str">
        <x:v>ADHD appears peripheral or insufficiently aligned with the requested corpus scope based on accessible metadata/abstract.</x:v>
      </x:c>
      <x:c r="J1029" s="38" t="e">
        <x:f>HYPERLINK("https://pubmed.ncbi.nlm.nih.gov/"&amp;C1029&amp;"/","Open PubMed")</x:f>
        <x:v>HYPERLINK is not implemented. linkLocation=https://pubmed.ncbi.nlm.nih.gov/20720060/, friendlyName=Open PubMed</x:v>
      </x:c>
    </x:row>
    <x:row r="1030">
      <x:c r="A1030" s="26" t="str">
        <x:v>PUBMED-20716084</x:v>
      </x:c>
      <x:c r="B1030" s="26" t="n">
        <x:v>2010</x:v>
      </x:c>
      <x:c r="C1030" s="26" t="str">
        <x:v>20716084</x:v>
      </x:c>
      <x:c r="D1030" s="28" t="str">
        <x:v>Comments on attention-deficit/hyperactivity disorders and anesthesia.</x:v>
      </x:c>
      <x:c r="E1030" s="28" t="str">
        <x:v>Contextual - editorial/comment</x:v>
      </x:c>
      <x:c r="F1030" s="28" t="str">
        <x:v>Development &amp; presentation; Family &amp; education; Social &amp; structural; Treatment &amp; support</x:v>
      </x:c>
      <x:c r="G1030" s="28" t="str">
        <x:v>Childhood; Adolescence</x:v>
      </x:c>
      <x:c r="H1030" s="28" t="str">
        <x:v>Later specialized</x:v>
      </x:c>
      <x:c r="I1030" s="28" t="str">
        <x:v>Direct or strongly ADHD-related record retained for later screening; typically narrower treatment, biomarker, mechanistic, or single-comorbidity focus.</x:v>
      </x:c>
      <x:c r="J1030" s="38" t="e">
        <x:f>HYPERLINK("https://pubmed.ncbi.nlm.nih.gov/"&amp;C1030&amp;"/","Open PubMed")</x:f>
        <x:v>HYPERLINK is not implemented. linkLocation=https://pubmed.ncbi.nlm.nih.gov/20716084/, friendlyName=Open PubMed</x:v>
      </x:c>
    </x:row>
    <x:row r="1031">
      <x:c r="A1031" s="26" t="str">
        <x:v>PUBMED-20705880</x:v>
      </x:c>
      <x:c r="B1031" s="26" t="n">
        <x:v>2010</x:v>
      </x:c>
      <x:c r="C1031" s="26" t="str">
        <x:v>20705880</x:v>
      </x:c>
      <x:c r="D1031" s="28" t="str">
        <x:v>ADHD documentation for students requesting accommodations at the postsecondary level: Update on standards and diagnostic concerns.</x:v>
      </x:c>
      <x:c r="E1031" s="28" t="str">
        <x:v>Evidence synthesis - systematic review</x:v>
      </x:c>
      <x:c r="F1031" s="28" t="str">
        <x:v>Development &amp; presentation; Recognition &amp; diagnosis; Family &amp; education; Social &amp; structural; Treatment &amp; support</x:v>
      </x:c>
      <x:c r="G1031" s="28" t="str">
        <x:v>Adolescence; Adulthood</x:v>
      </x:c>
      <x:c r="H1031" s="28" t="str">
        <x:v>Later specialized</x:v>
      </x:c>
      <x:c r="I1031" s="28" t="str">
        <x:v>Direct or strongly ADHD-related record retained for later screening; typically narrower treatment, biomarker, mechanistic, or single-comorbidity focus.</x:v>
      </x:c>
      <x:c r="J1031" s="38" t="e">
        <x:f>HYPERLINK("https://pubmed.ncbi.nlm.nih.gov/"&amp;C1031&amp;"/","Open PubMed")</x:f>
        <x:v>HYPERLINK is not implemented. linkLocation=https://pubmed.ncbi.nlm.nih.gov/20705880/, friendlyName=Open PubMed</x:v>
      </x:c>
    </x:row>
    <x:row r="1032">
      <x:c r="A1032" s="26" t="str">
        <x:v>PUBMED-20705424</x:v>
      </x:c>
      <x:c r="B1032" s="26" t="n">
        <x:v>2010</x:v>
      </x:c>
      <x:c r="C1032" s="26" t="str">
        <x:v>20705424</x:v>
      </x:c>
      <x:c r="D1032" s="28" t="str">
        <x:v>Participation in leisure activities among boys with attention deficit hyperactivity disorder.</x:v>
      </x:c>
      <x:c r="E1032" s="28" t="str">
        <x:v>Primary/contextual journal article</x:v>
      </x:c>
      <x:c r="F1032" s="28" t="str">
        <x:v>Development &amp; presentation; Recognition &amp; diagnosis; Family &amp; education; Social &amp; structural; Treatment &amp; support</x:v>
      </x:c>
      <x:c r="G1032" s="28" t="str">
        <x:v>Childhood</x:v>
      </x:c>
      <x:c r="H1032" s="28" t="str">
        <x:v>Later specialized</x:v>
      </x:c>
      <x:c r="I1032" s="28" t="str">
        <x:v>Direct or strongly ADHD-related record retained for later screening; typically narrower treatment, biomarker, mechanistic, or single-comorbidity focus.</x:v>
      </x:c>
      <x:c r="J1032" s="38" t="e">
        <x:f>HYPERLINK("https://pubmed.ncbi.nlm.nih.gov/"&amp;C1032&amp;"/","Open PubMed")</x:f>
        <x:v>HYPERLINK is not implemented. linkLocation=https://pubmed.ncbi.nlm.nih.gov/20705424/, friendlyName=Open PubMed</x:v>
      </x:c>
    </x:row>
    <x:row r="1033">
      <x:c r="A1033" s="26" t="str">
        <x:v>PUBMED-20698001</x:v>
      </x:c>
      <x:c r="B1033" s="26" t="n">
        <x:v>2010</x:v>
      </x:c>
      <x:c r="C1033" s="26" t="str">
        <x:v>20698001</x:v>
      </x:c>
      <x:c r="D1033" s="28" t="str">
        <x:v>[Reaction on 'Follow-up of the MTAstudy in children with ADHD: what do the data tell us, and what not?'].</x:v>
      </x:c>
      <x:c r="E1033" s="28" t="str">
        <x:v>Contextual - editorial/comment</x:v>
      </x:c>
      <x:c r="F1033" s="28" t="str">
        <x:v>Development &amp; presentation; Social &amp; structural; Treatment &amp; support; Life outcomes &amp; lived experience</x:v>
      </x:c>
      <x:c r="G1033" s="28" t="str">
        <x:v>Childhood; Adolescence</x:v>
      </x:c>
      <x:c r="H1033" s="28" t="str">
        <x:v>Later specialized</x:v>
      </x:c>
      <x:c r="I1033" s="28" t="str">
        <x:v>Direct or strongly ADHD-related record retained for later screening; typically narrower treatment, biomarker, mechanistic, or single-comorbidity focus.</x:v>
      </x:c>
      <x:c r="J1033" s="38" t="e">
        <x:f>HYPERLINK("https://pubmed.ncbi.nlm.nih.gov/"&amp;C1033&amp;"/","Open PubMed")</x:f>
        <x:v>HYPERLINK is not implemented. linkLocation=https://pubmed.ncbi.nlm.nih.gov/20698001/, friendlyName=Open PubMed</x:v>
      </x:c>
    </x:row>
    <x:row r="1034">
      <x:c r="A1034" s="26" t="str">
        <x:v>PUBMED-20691787</x:v>
      </x:c>
      <x:c r="B1034" s="26" t="n">
        <x:v>2010</x:v>
      </x:c>
      <x:c r="C1034" s="26" t="str">
        <x:v>20691787</x:v>
      </x:c>
      <x:c r="D1034" s="28" t="str">
        <x:v>Sub-chronic exposure to atomoxetine up-regulates BDNF expression and signalling in the brain of adolescent spontaneously hypertensive rats: comparison with methylphenidate.</x:v>
      </x:c>
      <x:c r="E1034" s="28" t="str">
        <x:v>Primary/contextual journal article</x:v>
      </x:c>
      <x:c r="F1034" s="28" t="str">
        <x:v>Development &amp; presentation; Social &amp; structural; Environmental &amp; lifestyle; Treatment &amp; support</x:v>
      </x:c>
      <x:c r="G1034" s="28" t="str">
        <x:v>Adolescence</x:v>
      </x:c>
      <x:c r="H1034" s="28" t="str">
        <x:v>Later specialized</x:v>
      </x:c>
      <x:c r="I1034" s="28" t="str">
        <x:v>Direct or strongly ADHD-related record retained for later screening; typically narrower treatment, biomarker, mechanistic, or single-comorbidity focus.</x:v>
      </x:c>
      <x:c r="J1034" s="38" t="e">
        <x:f>HYPERLINK("https://pubmed.ncbi.nlm.nih.gov/"&amp;C1034&amp;"/","Open PubMed")</x:f>
        <x:v>HYPERLINK is not implemented. linkLocation=https://pubmed.ncbi.nlm.nih.gov/20691787/, friendlyName=Open PubMed</x:v>
      </x:c>
    </x:row>
    <x:row r="1035">
      <x:c r="A1035" s="26" t="str">
        <x:v>PUBMED-20676944</x:v>
      </x:c>
      <x:c r="B1035" s="26" t="n">
        <x:v>2010</x:v>
      </x:c>
      <x:c r="C1035" s="26" t="str">
        <x:v>20676944</x:v>
      </x:c>
      <x:c r="D1035" s="28" t="str">
        <x:v>Treatment of preschoolers with attention-deficit/hyperactivity disorder.</x:v>
      </x:c>
      <x:c r="E1035" s="28" t="str">
        <x:v>Evidence synthesis - review</x:v>
      </x:c>
      <x:c r="F1035" s="28" t="str">
        <x:v>Development &amp; presentation; Family &amp; education; Social &amp; structural; Treatment &amp; support; Life outcomes &amp; lived experience</x:v>
      </x:c>
      <x:c r="G1035" s="28" t="str">
        <x:v>Childhood</x:v>
      </x:c>
      <x:c r="H1035" s="28" t="str">
        <x:v>Later specialized</x:v>
      </x:c>
      <x:c r="I1035" s="28" t="str">
        <x:v>Direct or strongly ADHD-related record retained for later screening; typically narrower treatment, biomarker, mechanistic, or single-comorbidity focus.</x:v>
      </x:c>
      <x:c r="J1035" s="38" t="e">
        <x:f>HYPERLINK("https://pubmed.ncbi.nlm.nih.gov/"&amp;C1035&amp;"/","Open PubMed")</x:f>
        <x:v>HYPERLINK is not implemented. linkLocation=https://pubmed.ncbi.nlm.nih.gov/20676944/, friendlyName=Open PubMed</x:v>
      </x:c>
    </x:row>
    <x:row r="1036">
      <x:c r="A1036" s="26" t="str">
        <x:v>PUBMED-20660947</x:v>
      </x:c>
      <x:c r="B1036" s="26" t="n">
        <x:v>2010</x:v>
      </x:c>
      <x:c r="C1036" s="26" t="str">
        <x:v>20660947</x:v>
      </x:c>
      <x:c r="D1036" s="28" t="str">
        <x:v>[Event-related potentials associated with error detection in adult ADHD--literature review].</x:v>
      </x:c>
      <x:c r="E1036" s="28" t="str">
        <x:v>Evidence synthesis - review</x:v>
      </x:c>
      <x:c r="F1036" s="28" t="str">
        <x:v>Development &amp; presentation; Recognition &amp; diagnosis; Social &amp; structural; Environmental &amp; lifestyle</x:v>
      </x:c>
      <x:c r="G1036" s="28" t="str">
        <x:v>Adulthood</x:v>
      </x:c>
      <x:c r="H1036" s="28" t="str">
        <x:v>Batch 1 core</x:v>
      </x:c>
      <x:c r="I1036" s="28" t="str">
        <x:v>Direct ADHD evidence synthesis/guideline with broad multi-topic relevance.</x:v>
      </x:c>
      <x:c r="J1036" s="38" t="e">
        <x:f>HYPERLINK("https://pubmed.ncbi.nlm.nih.gov/"&amp;C1036&amp;"/","Open PubMed")</x:f>
        <x:v>HYPERLINK is not implemented. linkLocation=https://pubmed.ncbi.nlm.nih.gov/20660947/, friendlyName=Open PubMed</x:v>
      </x:c>
    </x:row>
    <x:row r="1037">
      <x:c r="A1037" s="26" t="str">
        <x:v>PUBMED-20660945</x:v>
      </x:c>
      <x:c r="B1037" s="26" t="n">
        <x:v>2010</x:v>
      </x:c>
      <x:c r="C1037" s="26" t="str">
        <x:v>20660945</x:v>
      </x:c>
      <x:c r="D1037" s="28" t="str">
        <x:v>[Event-related EEG potentials associated with error detection in psychiatric disorder: literature review].</x:v>
      </x:c>
      <x:c r="E1037" s="28" t="str">
        <x:v>Evidence synthesis - review</x:v>
      </x:c>
      <x:c r="F1037" s="28" t="str">
        <x:v>Development &amp; presentation; Recognition &amp; diagnosis; Social &amp; structural</x:v>
      </x:c>
      <x:c r="G1037" s="28" t="str">
        <x:v>Not specified</x:v>
      </x:c>
      <x:c r="H1037" s="28" t="str">
        <x:v>Exclude/incidental</x:v>
      </x:c>
      <x:c r="I1037" s="28" t="str">
        <x:v>ADHD appears peripheral or insufficiently aligned with the requested corpus scope based on accessible metadata/abstract.</x:v>
      </x:c>
      <x:c r="J1037" s="38" t="e">
        <x:f>HYPERLINK("https://pubmed.ncbi.nlm.nih.gov/"&amp;C1037&amp;"/","Open PubMed")</x:f>
        <x:v>HYPERLINK is not implemented. linkLocation=https://pubmed.ncbi.nlm.nih.gov/20660945/, friendlyName=Open PubMed</x:v>
      </x:c>
    </x:row>
    <x:row r="1038">
      <x:c r="A1038" s="26" t="str">
        <x:v>PUBMED-20659781</x:v>
      </x:c>
      <x:c r="B1038" s="26" t="n">
        <x:v>2010</x:v>
      </x:c>
      <x:c r="C1038" s="26" t="str">
        <x:v>20659781</x:v>
      </x:c>
      <x:c r="D1038" s="28" t="str">
        <x:v>Self-regulation in ADHD: the role of error processing.</x:v>
      </x:c>
      <x:c r="E1038" s="28" t="str">
        <x:v>Evidence synthesis - review</x:v>
      </x:c>
      <x:c r="F1038" s="28" t="str">
        <x:v>Development &amp; presentation; Recognition &amp; diagnosis; Social &amp; structural; Treatment &amp; support</x:v>
      </x:c>
      <x:c r="G1038" s="28" t="str">
        <x:v>Childhood</x:v>
      </x:c>
      <x:c r="H1038" s="28" t="str">
        <x:v>Later specialized</x:v>
      </x:c>
      <x:c r="I1038" s="28" t="str">
        <x:v>Direct or strongly ADHD-related record retained for later screening; typically narrower treatment, biomarker, mechanistic, or single-comorbidity focus.</x:v>
      </x:c>
      <x:c r="J1038" s="38" t="e">
        <x:f>HYPERLINK("https://pubmed.ncbi.nlm.nih.gov/"&amp;C1038&amp;"/","Open PubMed")</x:f>
        <x:v>HYPERLINK is not implemented. linkLocation=https://pubmed.ncbi.nlm.nih.gov/20659781/, friendlyName=Open PubMed</x:v>
      </x:c>
    </x:row>
    <x:row r="1039">
      <x:c r="A1039" s="26" t="str">
        <x:v>PUBMED-20655060</x:v>
      </x:c>
      <x:c r="B1039" s="26" t="n">
        <x:v>2010</x:v>
      </x:c>
      <x:c r="C1039" s="26" t="str">
        <x:v>20655060</x:v>
      </x:c>
      <x:c r="D1039" s="28" t="str">
        <x:v>"Hunting with a knife and ... fork": examining central coherence in autism, attention deficit/hyperactivity disorder, and typical development with a linguistic task.</x:v>
      </x:c>
      <x:c r="E1039" s="28" t="str">
        <x:v>Primary/contextual journal article</x:v>
      </x:c>
      <x:c r="F1039" s="28" t="str">
        <x:v>Development &amp; presentation; Social &amp; structural</x:v>
      </x:c>
      <x:c r="G1039" s="28" t="str">
        <x:v>Childhood; Adolescence; Adulthood</x:v>
      </x:c>
      <x:c r="H1039" s="28" t="str">
        <x:v>Later specialized</x:v>
      </x:c>
      <x:c r="I1039" s="28" t="str">
        <x:v>Direct or strongly ADHD-related record retained for later screening; typically narrower treatment, biomarker, mechanistic, or single-comorbidity focus.</x:v>
      </x:c>
      <x:c r="J1039" s="38" t="e">
        <x:f>HYPERLINK("https://pubmed.ncbi.nlm.nih.gov/"&amp;C1039&amp;"/","Open PubMed")</x:f>
        <x:v>HYPERLINK is not implemented. linkLocation=https://pubmed.ncbi.nlm.nih.gov/20655060/, friendlyName=Open PubMed</x:v>
      </x:c>
    </x:row>
    <x:row r="1040">
      <x:c r="A1040" s="26" t="str">
        <x:v>PUBMED-20654033</x:v>
      </x:c>
      <x:c r="B1040" s="26" t="n">
        <x:v>2010</x:v>
      </x:c>
      <x:c r="C1040" s="26" t="str">
        <x:v>20654033</x:v>
      </x:c>
      <x:c r="D1040" s="28" t="str">
        <x:v>[Multiplicity analysis on the risk factors of patients with Tourette syndrome to develop the comorbidity of attention-deficit hyperactivity disorder].</x:v>
      </x:c>
      <x:c r="E1040" s="28" t="str">
        <x:v>Primary study - case-control</x:v>
      </x:c>
      <x:c r="F1040" s="28" t="str">
        <x:v>Development &amp; presentation; Recognition &amp; diagnosis; Family &amp; education; Social &amp; structural; Environmental &amp; lifestyle; Treatment &amp; support; Historical &amp; contemporary context</x:v>
      </x:c>
      <x:c r="G1040" s="28" t="str">
        <x:v>Childhood; Adolescence</x:v>
      </x:c>
      <x:c r="H1040" s="28" t="str">
        <x:v>Later specialized</x:v>
      </x:c>
      <x:c r="I1040" s="28" t="str">
        <x:v>Direct or strongly ADHD-related record retained for later screening; typically narrower treatment, biomarker, mechanistic, or single-comorbidity focus.</x:v>
      </x:c>
      <x:c r="J1040" s="38" t="e">
        <x:f>HYPERLINK("https://pubmed.ncbi.nlm.nih.gov/"&amp;C1040&amp;"/","Open PubMed")</x:f>
        <x:v>HYPERLINK is not implemented. linkLocation=https://pubmed.ncbi.nlm.nih.gov/20654033/, friendlyName=Open PubMed</x:v>
      </x:c>
    </x:row>
    <x:row r="1041">
      <x:c r="A1041" s="26" t="str">
        <x:v>PUBMED-20650370</x:v>
      </x:c>
      <x:c r="B1041" s="26" t="n">
        <x:v>2010</x:v>
      </x:c>
      <x:c r="C1041" s="26" t="str">
        <x:v>20650370</x:v>
      </x:c>
      <x:c r="D1041" s="28" t="str">
        <x:v>Explanatory models and help-seeking behavior for attention-deficit/hyperactivity disorder among a cohort of postsecondary students.</x:v>
      </x:c>
      <x:c r="E1041" s="28" t="str">
        <x:v>Primary study - cohort</x:v>
      </x:c>
      <x:c r="F1041" s="28" t="str">
        <x:v>Development &amp; presentation; Recognition &amp; diagnosis; Family &amp; education; Social &amp; structural; Treatment &amp; support; Life outcomes &amp; lived experience</x:v>
      </x:c>
      <x:c r="G1041" s="28" t="str">
        <x:v>Adolescence; Adulthood</x:v>
      </x:c>
      <x:c r="H1041" s="28" t="str">
        <x:v>Later specialized</x:v>
      </x:c>
      <x:c r="I1041" s="28" t="str">
        <x:v>Direct or strongly ADHD-related record retained for later screening; typically narrower treatment, biomarker, mechanistic, or single-comorbidity focus.</x:v>
      </x:c>
      <x:c r="J1041" s="38" t="e">
        <x:f>HYPERLINK("https://pubmed.ncbi.nlm.nih.gov/"&amp;C1041&amp;"/","Open PubMed")</x:f>
        <x:v>HYPERLINK is not implemented. linkLocation=https://pubmed.ncbi.nlm.nih.gov/20650370/, friendlyName=Open PubMed</x:v>
      </x:c>
    </x:row>
    <x:row r="1042">
      <x:c r="A1042" s="26" t="str">
        <x:v>PUBMED-20648469</x:v>
      </x:c>
      <x:c r="B1042" s="26" t="n">
        <x:v>2010</x:v>
      </x:c>
      <x:c r="C1042" s="26" t="str">
        <x:v>20648469</x:v>
      </x:c>
      <x:c r="D1042" s="28" t="str">
        <x:v>[Hallucinations caused by the introduction of methylphenidate at low doses].</x:v>
      </x:c>
      <x:c r="E1042" s="28" t="str">
        <x:v>Other/unclear</x:v>
      </x:c>
      <x:c r="F1042" s="28" t="str">
        <x:v>Development &amp; presentation; Treatment &amp; support</x:v>
      </x:c>
      <x:c r="G1042" s="28" t="str">
        <x:v>Childhood</x:v>
      </x:c>
      <x:c r="H1042" s="28" t="str">
        <x:v>Exclude/incidental</x:v>
      </x:c>
      <x:c r="I1042" s="28" t="str">
        <x:v>ADHD appears peripheral or insufficiently aligned with the requested corpus scope based on accessible metadata/abstract.</x:v>
      </x:c>
      <x:c r="J1042" s="38" t="e">
        <x:f>HYPERLINK("https://pubmed.ncbi.nlm.nih.gov/"&amp;C1042&amp;"/","Open PubMed")</x:f>
        <x:v>HYPERLINK is not implemented. linkLocation=https://pubmed.ncbi.nlm.nih.gov/20648469/, friendlyName=Open PubMed</x:v>
      </x:c>
    </x:row>
    <x:row r="1043">
      <x:c r="A1043" s="26" t="str">
        <x:v>PUBMED-20646063</x:v>
      </x:c>
      <x:c r="B1043" s="26" t="n">
        <x:v>2010</x:v>
      </x:c>
      <x:c r="C1043" s="26" t="str">
        <x:v>20646063</x:v>
      </x:c>
      <x:c r="D1043" s="28" t="str">
        <x:v>Dopamine D4 receptors modulate brain metabolic activity in the prefrontal cortex and cerebellum at rest and in response to methylphenidate.</x:v>
      </x:c>
      <x:c r="E1043" s="28" t="str">
        <x:v>Primary/contextual journal article</x:v>
      </x:c>
      <x:c r="F1043" s="28" t="str">
        <x:v>Development &amp; presentation; Recognition &amp; diagnosis; Treatment &amp; support</x:v>
      </x:c>
      <x:c r="G1043" s="28" t="str">
        <x:v>Childhood</x:v>
      </x:c>
      <x:c r="H1043" s="28" t="str">
        <x:v>Later specialized</x:v>
      </x:c>
      <x:c r="I1043" s="28" t="str">
        <x:v>Direct or strongly ADHD-related record retained for later screening; typically narrower treatment, biomarker, mechanistic, or single-comorbidity focus.</x:v>
      </x:c>
      <x:c r="J1043" s="38" t="e">
        <x:f>HYPERLINK("https://pubmed.ncbi.nlm.nih.gov/"&amp;C1043&amp;"/","Open PubMed")</x:f>
        <x:v>HYPERLINK is not implemented. linkLocation=https://pubmed.ncbi.nlm.nih.gov/20646063/, friendlyName=Open PubMed</x:v>
      </x:c>
    </x:row>
    <x:row r="1044">
      <x:c r="A1044" s="26" t="str">
        <x:v>PUBMED-20642391</x:v>
      </x:c>
      <x:c r="B1044" s="26" t="n">
        <x:v>2010</x:v>
      </x:c>
      <x:c r="C1044" s="26" t="str">
        <x:v>20642391</x:v>
      </x:c>
      <x:c r="D1044" s="28" t="str">
        <x:v>Effects of atomoxetine on self-reported high-risk behaviors and health-related quality of life in adolescents with ADHD.</x:v>
      </x:c>
      <x:c r="E1044" s="28" t="str">
        <x:v>Primary study - randomized controlled trial</x:v>
      </x:c>
      <x:c r="F1044" s="28" t="str">
        <x:v>Development &amp; presentation; Social &amp; structural; Environmental &amp; lifestyle; Treatment &amp; support; Life outcomes &amp; lived experience</x:v>
      </x:c>
      <x:c r="G1044" s="28" t="str">
        <x:v>Adolescence</x:v>
      </x:c>
      <x:c r="H1044" s="28" t="str">
        <x:v>Later specialized</x:v>
      </x:c>
      <x:c r="I1044" s="28" t="str">
        <x:v>Direct or strongly ADHD-related record retained for later screening; typically narrower treatment, biomarker, mechanistic, or single-comorbidity focus.</x:v>
      </x:c>
      <x:c r="J1044" s="38" t="e">
        <x:f>HYPERLINK("https://pubmed.ncbi.nlm.nih.gov/"&amp;C1044&amp;"/","Open PubMed")</x:f>
        <x:v>HYPERLINK is not implemented. linkLocation=https://pubmed.ncbi.nlm.nih.gov/20642391/, friendlyName=Open PubMed</x:v>
      </x:c>
    </x:row>
    <x:row r="1045">
      <x:c r="A1045" s="26" t="str">
        <x:v>PUBMED-20631685</x:v>
      </x:c>
      <x:c r="B1045" s="26" t="n">
        <x:v>2010</x:v>
      </x:c>
      <x:c r="C1045" s="26" t="str">
        <x:v>20631685</x:v>
      </x:c>
      <x:c r="D1045" s="28" t="str">
        <x:v>Dopamine transporter (SLC6A3) genotype impacts neurophysiological correlates of cognitive response control in an adult sample of patients with ADHD.</x:v>
      </x:c>
      <x:c r="E1045" s="28" t="str">
        <x:v>Primary/contextual journal article</x:v>
      </x:c>
      <x:c r="F1045" s="28" t="str">
        <x:v>Development &amp; presentation; Social &amp; structural; Life outcomes &amp; lived experience</x:v>
      </x:c>
      <x:c r="G1045" s="28" t="str">
        <x:v>Childhood; Adulthood</x:v>
      </x:c>
      <x:c r="H1045" s="28" t="str">
        <x:v>Later specialized</x:v>
      </x:c>
      <x:c r="I1045" s="28" t="str">
        <x:v>Direct or strongly ADHD-related record retained for later screening; typically narrower treatment, biomarker, mechanistic, or single-comorbidity focus.</x:v>
      </x:c>
      <x:c r="J1045" s="38" t="e">
        <x:f>HYPERLINK("https://pubmed.ncbi.nlm.nih.gov/"&amp;C1045&amp;"/","Open PubMed")</x:f>
        <x:v>HYPERLINK is not implemented. linkLocation=https://pubmed.ncbi.nlm.nih.gov/20631685/, friendlyName=Open PubMed</x:v>
      </x:c>
    </x:row>
    <x:row r="1046">
      <x:c r="A1046" s="26" t="str">
        <x:v>PUBMED-20627618</x:v>
      </x:c>
      <x:c r="B1046" s="26" t="n">
        <x:v>2010</x:v>
      </x:c>
      <x:c r="C1046" s="26" t="str">
        <x:v>20627618</x:v>
      </x:c>
      <x:c r="D1046" s="28" t="str">
        <x:v>How adolescents with substance use disorder spend research payments.</x:v>
      </x:c>
      <x:c r="E1046" s="28" t="str">
        <x:v>Primary study - randomized controlled trial</x:v>
      </x:c>
      <x:c r="F1046" s="28" t="str">
        <x:v>Development &amp; presentation; Recognition &amp; diagnosis; Social &amp; structural; Environmental &amp; lifestyle; Treatment &amp; support; Life outcomes &amp; lived experience</x:v>
      </x:c>
      <x:c r="G1046" s="28" t="str">
        <x:v>Adolescence; Adulthood</x:v>
      </x:c>
      <x:c r="H1046" s="28" t="str">
        <x:v>Later specialized</x:v>
      </x:c>
      <x:c r="I1046" s="28" t="str">
        <x:v>Direct or strongly ADHD-related record retained for later screening; typically narrower treatment, biomarker, mechanistic, or single-comorbidity focus.</x:v>
      </x:c>
      <x:c r="J1046" s="38" t="e">
        <x:f>HYPERLINK("https://pubmed.ncbi.nlm.nih.gov/"&amp;C1046&amp;"/","Open PubMed")</x:f>
        <x:v>HYPERLINK is not implemented. linkLocation=https://pubmed.ncbi.nlm.nih.gov/20627618/, friendlyName=Open PubMed</x:v>
      </x:c>
    </x:row>
    <x:row r="1047">
      <x:c r="A1047" s="26" t="str">
        <x:v>PUBMED-20625857</x:v>
      </x:c>
      <x:c r="B1047" s="26" t="n">
        <x:v>2010</x:v>
      </x:c>
      <x:c r="C1047" s="26" t="str">
        <x:v>20625857</x:v>
      </x:c>
      <x:c r="D1047" s="28" t="str">
        <x:v>Attention-deficit/hyperactivity disorder and telemental health.</x:v>
      </x:c>
      <x:c r="E1047" s="28" t="str">
        <x:v>Evidence synthesis - review</x:v>
      </x:c>
      <x:c r="F1047" s="28" t="str">
        <x:v>Development &amp; presentation; Recognition &amp; diagnosis; Social &amp; structural; Treatment &amp; support; Life outcomes &amp; lived experience</x:v>
      </x:c>
      <x:c r="G1047" s="28" t="str">
        <x:v>Childhood; Adolescence</x:v>
      </x:c>
      <x:c r="H1047" s="28" t="str">
        <x:v>Later specialized</x:v>
      </x:c>
      <x:c r="I1047" s="28" t="str">
        <x:v>Direct or strongly ADHD-related record retained for later screening; typically narrower treatment, biomarker, mechanistic, or single-comorbidity focus.</x:v>
      </x:c>
      <x:c r="J1047" s="38" t="e">
        <x:f>HYPERLINK("https://pubmed.ncbi.nlm.nih.gov/"&amp;C1047&amp;"/","Open PubMed")</x:f>
        <x:v>HYPERLINK is not implemented. linkLocation=https://pubmed.ncbi.nlm.nih.gov/20625857/, friendlyName=Open PubMed</x:v>
      </x:c>
    </x:row>
    <x:row r="1048">
      <x:c r="A1048" s="26" t="str">
        <x:v>PUBMED-20624804</x:v>
      </x:c>
      <x:c r="B1048" s="26" t="n">
        <x:v>2010</x:v>
      </x:c>
      <x:c r="C1048" s="26" t="str">
        <x:v>20624804</x:v>
      </x:c>
      <x:c r="D1048" s="28" t="str">
        <x:v>Shared decision-making in pediatrics: a national perspective.</x:v>
      </x:c>
      <x:c r="E1048" s="28" t="str">
        <x:v>Primary study - cross-sectional</x:v>
      </x:c>
      <x:c r="F1048" s="28" t="str">
        <x:v>Development &amp; presentation; Family &amp; education; Social &amp; structural; Treatment &amp; support; Life outcomes &amp; lived experience</x:v>
      </x:c>
      <x:c r="G1048" s="28" t="str">
        <x:v>Childhood</x:v>
      </x:c>
      <x:c r="H1048" s="28" t="str">
        <x:v>Later specialized</x:v>
      </x:c>
      <x:c r="I1048" s="28" t="str">
        <x:v>Direct or strongly ADHD-related record retained for later screening; typically narrower treatment, biomarker, mechanistic, or single-comorbidity focus.</x:v>
      </x:c>
      <x:c r="J1048" s="38" t="e">
        <x:f>HYPERLINK("https://pubmed.ncbi.nlm.nih.gov/"&amp;C1048&amp;"/","Open PubMed")</x:f>
        <x:v>HYPERLINK is not implemented. linkLocation=https://pubmed.ncbi.nlm.nih.gov/20624804/, friendlyName=Open PubMed</x:v>
      </x:c>
    </x:row>
    <x:row r="1049">
      <x:c r="A1049" s="26" t="str">
        <x:v>PUBMED-20621556</x:v>
      </x:c>
      <x:c r="B1049" s="26" t="n">
        <x:v>2010</x:v>
      </x:c>
      <x:c r="C1049" s="26" t="str">
        <x:v>20621556</x:v>
      </x:c>
      <x:c r="D1049" s="28" t="str">
        <x:v>Use of pharmacotherapy for insomnia in child psychiatry practice: A national survey.</x:v>
      </x:c>
      <x:c r="E1049" s="28" t="str">
        <x:v>Primary/contextual journal article</x:v>
      </x:c>
      <x:c r="F1049" s="28" t="str">
        <x:v>Development &amp; presentation; Recognition &amp; diagnosis; Family &amp; education; Social &amp; structural; Environmental &amp; lifestyle; Treatment &amp; support; Life outcomes &amp; lived experience; Historical &amp; contemporary context</x:v>
      </x:c>
      <x:c r="G1049" s="28" t="str">
        <x:v>Childhood; Adolescence</x:v>
      </x:c>
      <x:c r="H1049" s="28" t="str">
        <x:v>Exclude/incidental</x:v>
      </x:c>
      <x:c r="I1049" s="28" t="str">
        <x:v>ADHD appears peripheral or insufficiently aligned with the requested corpus scope based on accessible metadata/abstract.</x:v>
      </x:c>
      <x:c r="J1049" s="38" t="e">
        <x:f>HYPERLINK("https://pubmed.ncbi.nlm.nih.gov/"&amp;C1049&amp;"/","Open PubMed")</x:f>
        <x:v>HYPERLINK is not implemented. linkLocation=https://pubmed.ncbi.nlm.nih.gov/20621556/, friendlyName=Open PubMed</x:v>
      </x:c>
    </x:row>
    <x:row r="1050">
      <x:c r="A1050" s="26" t="str">
        <x:v>PUBMED-20620109</x:v>
      </x:c>
      <x:c r="B1050" s="26" t="n">
        <x:v>2010</x:v>
      </x:c>
      <x:c r="C1050" s="26" t="str">
        <x:v>20620109</x:v>
      </x:c>
      <x:c r="D1050" s="28" t="str">
        <x:v>Sleep and ADHD.</x:v>
      </x:c>
      <x:c r="E1050" s="28" t="str">
        <x:v>Evidence synthesis - review</x:v>
      </x:c>
      <x:c r="F1050" s="28" t="str">
        <x:v>Development &amp; presentation; Recognition &amp; diagnosis; Social &amp; structural; Environmental &amp; lifestyle; Treatment &amp; support</x:v>
      </x:c>
      <x:c r="G1050" s="28" t="str">
        <x:v>Childhood</x:v>
      </x:c>
      <x:c r="H1050" s="28" t="str">
        <x:v>Later specialized</x:v>
      </x:c>
      <x:c r="I1050" s="28" t="str">
        <x:v>Direct or strongly ADHD-related record retained for later screening; typically narrower treatment, biomarker, mechanistic, or single-comorbidity focus.</x:v>
      </x:c>
      <x:c r="J1050" s="38" t="e">
        <x:f>HYPERLINK("https://pubmed.ncbi.nlm.nih.gov/"&amp;C1050&amp;"/","Open PubMed")</x:f>
        <x:v>HYPERLINK is not implemented. linkLocation=https://pubmed.ncbi.nlm.nih.gov/20620109/, friendlyName=Open PubMed</x:v>
      </x:c>
    </x:row>
    <x:row r="1051">
      <x:c r="A1051" s="26" t="str">
        <x:v>PUBMED-20619310</x:v>
      </x:c>
      <x:c r="B1051" s="26" t="n">
        <x:v>2010</x:v>
      </x:c>
      <x:c r="C1051" s="26" t="str">
        <x:v>20619310</x:v>
      </x:c>
      <x:c r="D1051" s="28" t="str">
        <x:v>Aripiprazole for the tic symptoms in a child receiving atomoxetine treatment for ADHD.</x:v>
      </x:c>
      <x:c r="E1051" s="28" t="str">
        <x:v>Other/unclear</x:v>
      </x:c>
      <x:c r="F1051" s="28" t="str">
        <x:v>Development &amp; presentation; Social &amp; structural; Treatment &amp; support</x:v>
      </x:c>
      <x:c r="G1051" s="28" t="str">
        <x:v>Childhood</x:v>
      </x:c>
      <x:c r="H1051" s="28" t="str">
        <x:v>Later specialized</x:v>
      </x:c>
      <x:c r="I1051" s="28" t="str">
        <x:v>Direct or strongly ADHD-related record retained for later screening; typically narrower treatment, biomarker, mechanistic, or single-comorbidity focus.</x:v>
      </x:c>
      <x:c r="J1051" s="38" t="e">
        <x:f>HYPERLINK("https://pubmed.ncbi.nlm.nih.gov/"&amp;C1051&amp;"/","Open PubMed")</x:f>
        <x:v>HYPERLINK is not implemented. linkLocation=https://pubmed.ncbi.nlm.nih.gov/20619310/, friendlyName=Open PubMed</x:v>
      </x:c>
    </x:row>
    <x:row r="1052">
      <x:c r="A1052" s="26" t="str">
        <x:v>PUBMED-20616832</x:v>
      </x:c>
      <x:c r="B1052" s="26" t="n">
        <x:v>2010</x:v>
      </x:c>
      <x:c r="C1052" s="26" t="str">
        <x:v>20616832</x:v>
      </x:c>
      <x:c r="D1052" s="28" t="str">
        <x:v>General medicine and surgery for dental practitioners. Part 5--Psychiatry.</x:v>
      </x:c>
      <x:c r="E1052" s="28" t="str">
        <x:v>Primary/contextual journal article</x:v>
      </x:c>
      <x:c r="F1052" s="28" t="str">
        <x:v>Development &amp; presentation; Recognition &amp; diagnosis; Social &amp; structural; Treatment &amp; support</x:v>
      </x:c>
      <x:c r="G1052" s="28" t="str">
        <x:v>Not specified</x:v>
      </x:c>
      <x:c r="H1052" s="28" t="str">
        <x:v>Exclude/incidental</x:v>
      </x:c>
      <x:c r="I1052" s="28" t="str">
        <x:v>ADHD appears peripheral or insufficiently aligned with the requested corpus scope based on accessible metadata/abstract.</x:v>
      </x:c>
      <x:c r="J1052" s="38" t="e">
        <x:f>HYPERLINK("https://pubmed.ncbi.nlm.nih.gov/"&amp;C1052&amp;"/","Open PubMed")</x:f>
        <x:v>HYPERLINK is not implemented. linkLocation=https://pubmed.ncbi.nlm.nih.gov/20616832/, friendlyName=Open PubMed</x:v>
      </x:c>
    </x:row>
    <x:row r="1053">
      <x:c r="A1053" s="26" t="str">
        <x:v>PUBMED-20610137</x:v>
      </x:c>
      <x:c r="B1053" s="26" t="n">
        <x:v>2010</x:v>
      </x:c>
      <x:c r="C1053" s="26" t="str">
        <x:v>20610137</x:v>
      </x:c>
      <x:c r="D1053" s="28" t="str">
        <x:v>Identifying loci for the overlap between attention-deficit/hyperactivity disorder and autism spectrum disorder using a genome-wide QTL linkage approach.</x:v>
      </x:c>
      <x:c r="E1053" s="28" t="str">
        <x:v>Primary/contextual journal article</x:v>
      </x:c>
      <x:c r="F1053" s="28" t="str">
        <x:v>Development &amp; presentation; Recognition &amp; diagnosis; Social &amp; structural</x:v>
      </x:c>
      <x:c r="G1053" s="28" t="str">
        <x:v>Childhood; Adolescence</x:v>
      </x:c>
      <x:c r="H1053" s="28" t="str">
        <x:v>Later specialized</x:v>
      </x:c>
      <x:c r="I1053" s="28" t="str">
        <x:v>Direct or strongly ADHD-related record retained for later screening; typically narrower treatment, biomarker, mechanistic, or single-comorbidity focus.</x:v>
      </x:c>
      <x:c r="J1053" s="38" t="e">
        <x:f>HYPERLINK("https://pubmed.ncbi.nlm.nih.gov/"&amp;C1053&amp;"/","Open PubMed")</x:f>
        <x:v>HYPERLINK is not implemented. linkLocation=https://pubmed.ncbi.nlm.nih.gov/20610137/, friendlyName=Open PubMed</x:v>
      </x:c>
    </x:row>
    <x:row r="1054">
      <x:c r="A1054" s="26" t="str">
        <x:v>PUBMED-20609157</x:v>
      </x:c>
      <x:c r="B1054" s="26" t="n">
        <x:v>2010</x:v>
      </x:c>
      <x:c r="C1054" s="26" t="str">
        <x:v>20609157</x:v>
      </x:c>
      <x:c r="D1054" s="28" t="str">
        <x:v>Pachydermodactyly in a young girl: cutaneous manifestation of a psychiatric disorder?</x:v>
      </x:c>
      <x:c r="E1054" s="28" t="str">
        <x:v>Primary/contextual journal article</x:v>
      </x:c>
      <x:c r="F1054" s="28" t="str">
        <x:v>Development &amp; presentation; Recognition &amp; diagnosis; Social &amp; structural; Treatment &amp; support</x:v>
      </x:c>
      <x:c r="G1054" s="28" t="str">
        <x:v>Adolescence</x:v>
      </x:c>
      <x:c r="H1054" s="28" t="str">
        <x:v>Exclude/incidental</x:v>
      </x:c>
      <x:c r="I1054" s="28" t="str">
        <x:v>ADHD appears peripheral or insufficiently aligned with the requested corpus scope based on accessible metadata/abstract.</x:v>
      </x:c>
      <x:c r="J1054" s="38" t="e">
        <x:f>HYPERLINK("https://pubmed.ncbi.nlm.nih.gov/"&amp;C1054&amp;"/","Open PubMed")</x:f>
        <x:v>HYPERLINK is not implemented. linkLocation=https://pubmed.ncbi.nlm.nih.gov/20609157/, friendlyName=Open PubMed</x:v>
      </x:c>
    </x:row>
    <x:row r="1055">
      <x:c r="A1055" s="26" t="str">
        <x:v>PUBMED-20608271</x:v>
      </x:c>
      <x:c r="B1055" s="26" t="n">
        <x:v>2010</x:v>
      </x:c>
      <x:c r="C1055" s="26" t="str">
        <x:v>20608271</x:v>
      </x:c>
      <x:c r="D1055" s="28" t="str">
        <x:v>Evidence review to investigate the support for subtypes of children with difficulty processing and integrating sensory information.</x:v>
      </x:c>
      <x:c r="E1055" s="28" t="str">
        <x:v>Evidence synthesis - systematic review</x:v>
      </x:c>
      <x:c r="F1055" s="28" t="str">
        <x:v>Development &amp; presentation; Recognition &amp; diagnosis; Social &amp; structural; Treatment &amp; support; Life outcomes &amp; lived experience</x:v>
      </x:c>
      <x:c r="G1055" s="28" t="str">
        <x:v>Childhood; Adolescence</x:v>
      </x:c>
      <x:c r="H1055" s="28" t="str">
        <x:v>Exclude/incidental</x:v>
      </x:c>
      <x:c r="I1055" s="28" t="str">
        <x:v>ADHD appears peripheral or insufficiently aligned with the requested corpus scope based on accessible metadata/abstract.</x:v>
      </x:c>
      <x:c r="J1055" s="38" t="e">
        <x:f>HYPERLINK("https://pubmed.ncbi.nlm.nih.gov/"&amp;C1055&amp;"/","Open PubMed")</x:f>
        <x:v>HYPERLINK is not implemented. linkLocation=https://pubmed.ncbi.nlm.nih.gov/20608271/, friendlyName=Open PubMed</x:v>
      </x:c>
    </x:row>
    <x:row r="1056">
      <x:c r="A1056" s="26" t="str">
        <x:v>PUBMED-20603446</x:v>
      </x:c>
      <x:c r="B1056" s="26" t="n">
        <x:v>2010</x:v>
      </x:c>
      <x:c r="C1056" s="26" t="str">
        <x:v>20603446</x:v>
      </x:c>
      <x:c r="D1056" s="28" t="str">
        <x:v>Correlation of glutamate levels in the anterior cingulate cortex with self-reported impulsivity in patients with borderline personality disorder and healthy controls.</x:v>
      </x:c>
      <x:c r="E1056" s="28" t="str">
        <x:v>Primary study - cross-sectional</x:v>
      </x:c>
      <x:c r="F1056" s="28" t="str">
        <x:v>Development &amp; presentation; Recognition &amp; diagnosis; Social &amp; structural; Treatment &amp; support; Life outcomes &amp; lived experience</x:v>
      </x:c>
      <x:c r="G1056" s="28" t="str">
        <x:v>Adulthood</x:v>
      </x:c>
      <x:c r="H1056" s="28" t="str">
        <x:v>Exclude/incidental</x:v>
      </x:c>
      <x:c r="I1056" s="28" t="str">
        <x:v>ADHD appears peripheral or insufficiently aligned with the requested corpus scope based on accessible metadata/abstract.</x:v>
      </x:c>
      <x:c r="J1056" s="38" t="e">
        <x:f>HYPERLINK("https://pubmed.ncbi.nlm.nih.gov/"&amp;C1056&amp;"/","Open PubMed")</x:f>
        <x:v>HYPERLINK is not implemented. linkLocation=https://pubmed.ncbi.nlm.nih.gov/20603446/, friendlyName=Open PubMed</x:v>
      </x:c>
    </x:row>
    <x:row r="1057">
      <x:c r="A1057" s="26" t="str">
        <x:v>PUBMED-20600194</x:v>
      </x:c>
      <x:c r="B1057" s="26" t="n">
        <x:v>2010</x:v>
      </x:c>
      <x:c r="C1057" s="26" t="str">
        <x:v>20600194</x:v>
      </x:c>
      <x:c r="D1057" s="28" t="str">
        <x:v>Information processing differences and similarities in adults with dyslexia and adults with Attention Deficit Hyperactivity Disorder during a Continuous Performance Test: a study of cortical potentials.</x:v>
      </x:c>
      <x:c r="E1057" s="28" t="str">
        <x:v>Primary/contextual journal article</x:v>
      </x:c>
      <x:c r="F1057" s="28" t="str">
        <x:v>Development &amp; presentation; Social &amp; structural</x:v>
      </x:c>
      <x:c r="G1057" s="28" t="str">
        <x:v>Adulthood</x:v>
      </x:c>
      <x:c r="H1057" s="28" t="str">
        <x:v>Later specialized</x:v>
      </x:c>
      <x:c r="I1057" s="28" t="str">
        <x:v>Direct or strongly ADHD-related record retained for later screening; typically narrower treatment, biomarker, mechanistic, or single-comorbidity focus.</x:v>
      </x:c>
      <x:c r="J1057" s="38" t="e">
        <x:f>HYPERLINK("https://pubmed.ncbi.nlm.nih.gov/"&amp;C1057&amp;"/","Open PubMed")</x:f>
        <x:v>HYPERLINK is not implemented. linkLocation=https://pubmed.ncbi.nlm.nih.gov/20600194/, friendlyName=Open PubMed</x:v>
      </x:c>
    </x:row>
    <x:row r="1058">
      <x:c r="A1058" s="26" t="str">
        <x:v>PUBMED-20591126</x:v>
      </x:c>
      <x:c r="B1058" s="26" t="n">
        <x:v>2010</x:v>
      </x:c>
      <x:c r="C1058" s="26" t="str">
        <x:v>20591126</x:v>
      </x:c>
      <x:c r="D1058" s="28" t="str">
        <x:v>Women with ADHD: it is an explanation, not the excuse du jour.</x:v>
      </x:c>
      <x:c r="E1058" s="28" t="str">
        <x:v>Primary/contextual journal article</x:v>
      </x:c>
      <x:c r="F1058" s="28" t="str">
        <x:v>Development &amp; presentation; Recognition &amp; diagnosis; Family &amp; education; Social &amp; structural; Treatment &amp; support; Life outcomes &amp; lived experience</x:v>
      </x:c>
      <x:c r="G1058" s="28" t="str">
        <x:v>Childhood; Adulthood</x:v>
      </x:c>
      <x:c r="H1058" s="28" t="str">
        <x:v>Later specialized</x:v>
      </x:c>
      <x:c r="I1058" s="28" t="str">
        <x:v>Direct or strongly ADHD-related record retained for later screening; typically narrower treatment, biomarker, mechanistic, or single-comorbidity focus.</x:v>
      </x:c>
      <x:c r="J1058" s="38" t="e">
        <x:f>HYPERLINK("https://pubmed.ncbi.nlm.nih.gov/"&amp;C1058&amp;"/","Open PubMed")</x:f>
        <x:v>HYPERLINK is not implemented. linkLocation=https://pubmed.ncbi.nlm.nih.gov/20591126/, friendlyName=Open PubMed</x:v>
      </x:c>
    </x:row>
    <x:row r="1059">
      <x:c r="A1059" s="26" t="str">
        <x:v>PUBMED-20582856</x:v>
      </x:c>
      <x:c r="B1059" s="26" t="n">
        <x:v>2010</x:v>
      </x:c>
      <x:c r="C1059" s="26" t="str">
        <x:v>20582856</x:v>
      </x:c>
      <x:c r="D1059" s="28" t="str">
        <x:v>Do executive function deficits differentiate between children with attention deficit hyperactivity disorder (ADHD) and ADHD comorbid with oppositional defiant disorder? A cross-cultural study using performance-based tests and the behavior rating inventory of executive function.</x:v>
      </x:c>
      <x:c r="E1059" s="28" t="str">
        <x:v>Primary/contextual journal article</x:v>
      </x:c>
      <x:c r="F1059" s="28" t="str">
        <x:v>Development &amp; presentation; Recognition &amp; diagnosis; Family &amp; education; Social &amp; structural</x:v>
      </x:c>
      <x:c r="G1059" s="28" t="str">
        <x:v>Childhood; Adolescence</x:v>
      </x:c>
      <x:c r="H1059" s="28" t="str">
        <x:v>Later specialized</x:v>
      </x:c>
      <x:c r="I1059" s="28" t="str">
        <x:v>Direct or strongly ADHD-related record retained for later screening; typically narrower treatment, biomarker, mechanistic, or single-comorbidity focus.</x:v>
      </x:c>
      <x:c r="J1059" s="38" t="e">
        <x:f>HYPERLINK("https://pubmed.ncbi.nlm.nih.gov/"&amp;C1059&amp;"/","Open PubMed")</x:f>
        <x:v>HYPERLINK is not implemented. linkLocation=https://pubmed.ncbi.nlm.nih.gov/20582856/, friendlyName=Open PubMed</x:v>
      </x:c>
    </x:row>
    <x:row r="1060">
      <x:c r="A1060" s="26" t="str">
        <x:v>PUBMED-20581801</x:v>
      </x:c>
      <x:c r="B1060" s="26" t="n">
        <x:v>2010</x:v>
      </x:c>
      <x:c r="C1060" s="26" t="str">
        <x:v>20581801</x:v>
      </x:c>
      <x:c r="D1060" s="28" t="str">
        <x:v>Effectiveness of a brain-computer interface based programme for the treatment of ADHD: a pilot study.</x:v>
      </x:c>
      <x:c r="E1060" s="28" t="str">
        <x:v>Primary study - clinical trial</x:v>
      </x:c>
      <x:c r="F1060" s="28" t="str">
        <x:v>Development &amp; presentation; Recognition &amp; diagnosis; Family &amp; education; Social &amp; structural; Treatment &amp; support; Life outcomes &amp; lived experience</x:v>
      </x:c>
      <x:c r="G1060" s="28" t="str">
        <x:v>Childhood</x:v>
      </x:c>
      <x:c r="H1060" s="28" t="str">
        <x:v>Later specialized</x:v>
      </x:c>
      <x:c r="I1060" s="28" t="str">
        <x:v>Direct or strongly ADHD-related record retained for later screening; typically narrower treatment, biomarker, mechanistic, or single-comorbidity focus.</x:v>
      </x:c>
      <x:c r="J1060" s="38" t="e">
        <x:f>HYPERLINK("https://pubmed.ncbi.nlm.nih.gov/"&amp;C1060&amp;"/","Open PubMed")</x:f>
        <x:v>HYPERLINK is not implemented. linkLocation=https://pubmed.ncbi.nlm.nih.gov/20581801/, friendlyName=Open PubMed</x:v>
      </x:c>
    </x:row>
    <x:row r="1061">
      <x:c r="A1061" s="26" t="str">
        <x:v>PUBMED-20578938</x:v>
      </x:c>
      <x:c r="B1061" s="26" t="n">
        <x:v>2010</x:v>
      </x:c>
      <x:c r="C1061" s="26" t="str">
        <x:v>20578938</x:v>
      </x:c>
      <x:c r="D1061" s="28" t="str">
        <x:v>Pulmonary arterial hypertension in an adolescent treated with methylphenidate.</x:v>
      </x:c>
      <x:c r="E1061" s="28" t="str">
        <x:v>Other/unclear</x:v>
      </x:c>
      <x:c r="F1061" s="28" t="str">
        <x:v>Development &amp; presentation; Treatment &amp; support</x:v>
      </x:c>
      <x:c r="G1061" s="28" t="str">
        <x:v>Adolescence</x:v>
      </x:c>
      <x:c r="H1061" s="28" t="str">
        <x:v>Exclude/incidental</x:v>
      </x:c>
      <x:c r="I1061" s="28" t="str">
        <x:v>ADHD appears peripheral or insufficiently aligned with the requested corpus scope based on accessible metadata/abstract.</x:v>
      </x:c>
      <x:c r="J1061" s="38" t="e">
        <x:f>HYPERLINK("https://pubmed.ncbi.nlm.nih.gov/"&amp;C1061&amp;"/","Open PubMed")</x:f>
        <x:v>HYPERLINK is not implemented. linkLocation=https://pubmed.ncbi.nlm.nih.gov/20578938/, friendlyName=Open PubMed</x:v>
      </x:c>
    </x:row>
    <x:row r="1062">
      <x:c r="A1062" s="26" t="str">
        <x:v>PUBMED-20578931</x:v>
      </x:c>
      <x:c r="B1062" s="26" t="n">
        <x:v>2010</x:v>
      </x:c>
      <x:c r="C1062" s="26" t="str">
        <x:v>20578931</x:v>
      </x:c>
      <x:c r="D1062" s="28" t="str">
        <x:v>Dose-response characteristics in adolescents with attention-deficit/hyperactivity disorder treated with OROS methylphenidate in a 4-week, open-label, dose-titration study.</x:v>
      </x:c>
      <x:c r="E1062" s="28" t="str">
        <x:v>Primary study - clinical trial</x:v>
      </x:c>
      <x:c r="F1062" s="28" t="str">
        <x:v>Development &amp; presentation; Recognition &amp; diagnosis; Social &amp; structural; Treatment &amp; support; Life outcomes &amp; lived experience</x:v>
      </x:c>
      <x:c r="G1062" s="28" t="str">
        <x:v>Childhood; Adolescence; Adulthood</x:v>
      </x:c>
      <x:c r="H1062" s="28" t="str">
        <x:v>Later specialized</x:v>
      </x:c>
      <x:c r="I1062" s="28" t="str">
        <x:v>Direct or strongly ADHD-related record retained for later screening; typically narrower treatment, biomarker, mechanistic, or single-comorbidity focus.</x:v>
      </x:c>
      <x:c r="J1062" s="38" t="e">
        <x:f>HYPERLINK("https://pubmed.ncbi.nlm.nih.gov/"&amp;C1062&amp;"/","Open PubMed")</x:f>
        <x:v>HYPERLINK is not implemented. linkLocation=https://pubmed.ncbi.nlm.nih.gov/20578931/, friendlyName=Open PubMed</x:v>
      </x:c>
    </x:row>
    <x:row r="1063">
      <x:c r="A1063" s="26" t="str">
        <x:v>PUBMED-20578930</x:v>
      </x:c>
      <x:c r="B1063" s="26" t="n">
        <x:v>2010</x:v>
      </x:c>
      <x:c r="C1063" s="26" t="str">
        <x:v>20578930</x:v>
      </x:c>
      <x:c r="D1063" s="28" t="str">
        <x:v>Sex differences in attentional performance and their modulation by methylphenidate in children with attention-deficit/hyperactivity disorder.</x:v>
      </x:c>
      <x:c r="E1063" s="28" t="str">
        <x:v>Primary study - randomized controlled trial</x:v>
      </x:c>
      <x:c r="F1063" s="28" t="str">
        <x:v>Development &amp; presentation; Social &amp; structural; Treatment &amp; support; Life outcomes &amp; lived experience</x:v>
      </x:c>
      <x:c r="G1063" s="28" t="str">
        <x:v>Childhood</x:v>
      </x:c>
      <x:c r="H1063" s="28" t="str">
        <x:v>Later specialized</x:v>
      </x:c>
      <x:c r="I1063" s="28" t="str">
        <x:v>Direct or strongly ADHD-related record retained for later screening; typically narrower treatment, biomarker, mechanistic, or single-comorbidity focus.</x:v>
      </x:c>
      <x:c r="J1063" s="38" t="e">
        <x:f>HYPERLINK("https://pubmed.ncbi.nlm.nih.gov/"&amp;C1063&amp;"/","Open PubMed")</x:f>
        <x:v>HYPERLINK is not implemented. linkLocation=https://pubmed.ncbi.nlm.nih.gov/20578930/, friendlyName=Open PubMed</x:v>
      </x:c>
    </x:row>
    <x:row r="1064">
      <x:c r="A1064" s="26" t="str">
        <x:v>PUBMED-20578185</x:v>
      </x:c>
      <x:c r="B1064" s="26" t="n">
        <x:v>2010</x:v>
      </x:c>
      <x:c r="C1064" s="26" t="str">
        <x:v>20578185</x:v>
      </x:c>
      <x:c r="D1064" s="28" t="str">
        <x:v>Parental adherence to clinical recommendations in an ADHD evaluation clinic.</x:v>
      </x:c>
      <x:c r="E1064" s="28" t="str">
        <x:v>Primary/contextual journal article</x:v>
      </x:c>
      <x:c r="F1064" s="28" t="str">
        <x:v>Development &amp; presentation; Recognition &amp; diagnosis; Family &amp; education; Social &amp; structural; Environmental &amp; lifestyle; Treatment &amp; support</x:v>
      </x:c>
      <x:c r="G1064" s="28" t="str">
        <x:v>Childhood; Adolescence; Adulthood</x:v>
      </x:c>
      <x:c r="H1064" s="28" t="str">
        <x:v>Later specialized</x:v>
      </x:c>
      <x:c r="I1064" s="28" t="str">
        <x:v>Direct or strongly ADHD-related record retained for later screening; typically narrower treatment, biomarker, mechanistic, or single-comorbidity focus.</x:v>
      </x:c>
      <x:c r="J1064" s="38" t="e">
        <x:f>HYPERLINK("https://pubmed.ncbi.nlm.nih.gov/"&amp;C1064&amp;"/","Open PubMed")</x:f>
        <x:v>HYPERLINK is not implemented. linkLocation=https://pubmed.ncbi.nlm.nih.gov/20578185/, friendlyName=Open PubMed</x:v>
      </x:c>
    </x:row>
    <x:row r="1065">
      <x:c r="A1065" s="26" t="str">
        <x:v>PUBMED-20569447</x:v>
      </x:c>
      <x:c r="B1065" s="26" t="n">
        <x:v>2010</x:v>
      </x:c>
      <x:c r="C1065" s="26" t="str">
        <x:v>20569447</x:v>
      </x:c>
      <x:c r="D1065" s="28" t="str">
        <x:v>The 5-HTTLPR polymorphism of the serotonin transporter gene and short term behavioral response to methylphenidate in children with ADHD.</x:v>
      </x:c>
      <x:c r="E1065" s="28" t="str">
        <x:v>Primary study - clinical trial</x:v>
      </x:c>
      <x:c r="F1065" s="28" t="str">
        <x:v>Development &amp; presentation; Family &amp; education; Social &amp; structural; Environmental &amp; lifestyle; Treatment &amp; support; Life outcomes &amp; lived experience</x:v>
      </x:c>
      <x:c r="G1065" s="28" t="str">
        <x:v>Childhood</x:v>
      </x:c>
      <x:c r="H1065" s="28" t="str">
        <x:v>Later specialized</x:v>
      </x:c>
      <x:c r="I1065" s="28" t="str">
        <x:v>Direct or strongly ADHD-related record retained for later screening; typically narrower treatment, biomarker, mechanistic, or single-comorbidity focus.</x:v>
      </x:c>
      <x:c r="J1065" s="38" t="e">
        <x:f>HYPERLINK("https://pubmed.ncbi.nlm.nih.gov/"&amp;C1065&amp;"/","Open PubMed")</x:f>
        <x:v>HYPERLINK is not implemented. linkLocation=https://pubmed.ncbi.nlm.nih.gov/20569447/, friendlyName=Open PubMed</x:v>
      </x:c>
    </x:row>
    <x:row r="1066">
      <x:c r="A1066" s="26" t="str">
        <x:v>PUBMED-20565435</x:v>
      </x:c>
      <x:c r="B1066" s="26" t="n">
        <x:v>2010</x:v>
      </x:c>
      <x:c r="C1066" s="26" t="str">
        <x:v>20565435</x:v>
      </x:c>
      <x:c r="D1066" s="28" t="str">
        <x:v>Impulsivity across the course of bipolar disorder.</x:v>
      </x:c>
      <x:c r="E1066" s="28" t="str">
        <x:v>Primary/contextual journal article</x:v>
      </x:c>
      <x:c r="F1066" s="28" t="str">
        <x:v>Development &amp; presentation; Recognition &amp; diagnosis; Social &amp; structural; Treatment &amp; support</x:v>
      </x:c>
      <x:c r="G1066" s="28" t="str">
        <x:v>Adulthood</x:v>
      </x:c>
      <x:c r="H1066" s="28" t="str">
        <x:v>Exclude/incidental</x:v>
      </x:c>
      <x:c r="I1066" s="28" t="str">
        <x:v>ADHD appears peripheral or insufficiently aligned with the requested corpus scope based on accessible metadata/abstract.</x:v>
      </x:c>
      <x:c r="J1066" s="38" t="e">
        <x:f>HYPERLINK("https://pubmed.ncbi.nlm.nih.gov/"&amp;C1066&amp;"/","Open PubMed")</x:f>
        <x:v>HYPERLINK is not implemented. linkLocation=https://pubmed.ncbi.nlm.nih.gov/20565435/, friendlyName=Open PubMed</x:v>
      </x:c>
    </x:row>
    <x:row r="1067">
      <x:c r="A1067" s="26" t="str">
        <x:v>PUBMED-20560842</x:v>
      </x:c>
      <x:c r="B1067" s="26" t="n">
        <x:v>2010</x:v>
      </x:c>
      <x:c r="C1067" s="26" t="str">
        <x:v>20560842</x:v>
      </x:c>
      <x:c r="D1067" s="28" t="str">
        <x:v>Behavioral effects of d-amphetamine in humans: influence of subclinical levels of inattention and hyperactivity.</x:v>
      </x:c>
      <x:c r="E1067" s="28" t="str">
        <x:v>Primary/contextual journal article</x:v>
      </x:c>
      <x:c r="F1067" s="28" t="str">
        <x:v>Development &amp; presentation; Recognition &amp; diagnosis; Environmental &amp; lifestyle; Treatment &amp; support; Life outcomes &amp; lived experience</x:v>
      </x:c>
      <x:c r="G1067" s="28" t="str">
        <x:v>Not specified</x:v>
      </x:c>
      <x:c r="H1067" s="28" t="str">
        <x:v>Later specialized</x:v>
      </x:c>
      <x:c r="I1067" s="28" t="str">
        <x:v>Direct or strongly ADHD-related record retained for later screening; typically narrower treatment, biomarker, mechanistic, or single-comorbidity focus.</x:v>
      </x:c>
      <x:c r="J1067" s="38" t="e">
        <x:f>HYPERLINK("https://pubmed.ncbi.nlm.nih.gov/"&amp;C1067&amp;"/","Open PubMed")</x:f>
        <x:v>HYPERLINK is not implemented. linkLocation=https://pubmed.ncbi.nlm.nih.gov/20560842/, friendlyName=Open PubMed</x:v>
      </x:c>
    </x:row>
    <x:row r="1068">
      <x:c r="A1068" s="26" t="str">
        <x:v>PUBMED-20560083</x:v>
      </x:c>
      <x:c r="B1068" s="26" t="n">
        <x:v>2010</x:v>
      </x:c>
      <x:c r="C1068" s="26" t="str">
        <x:v>20560083</x:v>
      </x:c>
      <x:c r="D1068" s="28" t="str">
        <x:v>Processing speed weakness in children and adolescents with non-hyperactive but inattentive ADHD (ADD).</x:v>
      </x:c>
      <x:c r="E1068" s="28" t="str">
        <x:v>Primary/contextual journal article</x:v>
      </x:c>
      <x:c r="F1068" s="28" t="str">
        <x:v>Development &amp; presentation; Recognition &amp; diagnosis; Social &amp; structural</x:v>
      </x:c>
      <x:c r="G1068" s="28" t="str">
        <x:v>Childhood; Adolescence</x:v>
      </x:c>
      <x:c r="H1068" s="28" t="str">
        <x:v>Later specialized</x:v>
      </x:c>
      <x:c r="I1068" s="28" t="str">
        <x:v>Direct or strongly ADHD-related record retained for later screening; typically narrower treatment, biomarker, mechanistic, or single-comorbidity focus.</x:v>
      </x:c>
      <x:c r="J1068" s="38" t="e">
        <x:f>HYPERLINK("https://pubmed.ncbi.nlm.nih.gov/"&amp;C1068&amp;"/","Open PubMed")</x:f>
        <x:v>HYPERLINK is not implemented. linkLocation=https://pubmed.ncbi.nlm.nih.gov/20560083/, friendlyName=Open PubMed</x:v>
      </x:c>
    </x:row>
    <x:row r="1069">
      <x:c r="A1069" s="26" t="str">
        <x:v>PUBMED-20558047</x:v>
      </x:c>
      <x:c r="B1069" s="26" t="n">
        <x:v>2010</x:v>
      </x:c>
      <x:c r="C1069" s="26" t="str">
        <x:v>20558047</x:v>
      </x:c>
      <x:c r="D1069" s="28" t="str">
        <x:v>Impairment of fronto-striatal and parietal cerebral networks correlates with attention deficit hyperactivity disorder (ADHD) psychopathology in adults - a functional magnetic resonance imaging (fMRI) study.</x:v>
      </x:c>
      <x:c r="E1069" s="28" t="str">
        <x:v>Primary/contextual journal article</x:v>
      </x:c>
      <x:c r="F1069" s="28" t="str">
        <x:v>Development &amp; presentation; Recognition &amp; diagnosis; Social &amp; structural; Historical &amp; contemporary context</x:v>
      </x:c>
      <x:c r="G1069" s="28" t="str">
        <x:v>Childhood; Adolescence; Adulthood</x:v>
      </x:c>
      <x:c r="H1069" s="28" t="str">
        <x:v>Later specialized</x:v>
      </x:c>
      <x:c r="I1069" s="28" t="str">
        <x:v>Direct or strongly ADHD-related record retained for later screening; typically narrower treatment, biomarker, mechanistic, or single-comorbidity focus.</x:v>
      </x:c>
      <x:c r="J1069" s="38" t="e">
        <x:f>HYPERLINK("https://pubmed.ncbi.nlm.nih.gov/"&amp;C1069&amp;"/","Open PubMed")</x:f>
        <x:v>HYPERLINK is not implemented. linkLocation=https://pubmed.ncbi.nlm.nih.gov/20558047/, friendlyName=Open PubMed</x:v>
      </x:c>
    </x:row>
    <x:row r="1070">
      <x:c r="A1070" s="26" t="str">
        <x:v>PUBMED-20556767</x:v>
      </x:c>
      <x:c r="B1070" s="26" t="n">
        <x:v>2010</x:v>
      </x:c>
      <x:c r="C1070" s="26" t="str">
        <x:v>20556767</x:v>
      </x:c>
      <x:c r="D1070" s="28" t="str">
        <x:v>Meditation therapies for attention-deficit/hyperactivity disorder (ADHD).</x:v>
      </x:c>
      <x:c r="E1070" s="28" t="str">
        <x:v>Evidence synthesis - meta-analysis</x:v>
      </x:c>
      <x:c r="F1070" s="28" t="str">
        <x:v>Development &amp; presentation; Recognition &amp; diagnosis; Family &amp; education; Social &amp; structural; Environmental &amp; lifestyle; Treatment &amp; support</x:v>
      </x:c>
      <x:c r="G1070" s="28" t="str">
        <x:v>Childhood; Adolescence; Adulthood</x:v>
      </x:c>
      <x:c r="H1070" s="28" t="str">
        <x:v>Later specialized</x:v>
      </x:c>
      <x:c r="I1070" s="28" t="str">
        <x:v>Direct or strongly ADHD-related record retained for later screening; typically narrower treatment, biomarker, mechanistic, or single-comorbidity focus.</x:v>
      </x:c>
      <x:c r="J1070" s="38" t="e">
        <x:f>HYPERLINK("https://pubmed.ncbi.nlm.nih.gov/"&amp;C1070&amp;"/","Open PubMed")</x:f>
        <x:v>HYPERLINK is not implemented. linkLocation=https://pubmed.ncbi.nlm.nih.gov/20556767/, friendlyName=Open PubMed</x:v>
      </x:c>
    </x:row>
    <x:row r="1071">
      <x:c r="A1071" s="26" t="str">
        <x:v>PUBMED-20556504</x:v>
      </x:c>
      <x:c r="B1071" s="26" t="n">
        <x:v>2010</x:v>
      </x:c>
      <x:c r="C1071" s="26" t="str">
        <x:v>20556504</x:v>
      </x:c>
      <x:c r="D1071" s="28" t="str">
        <x:v>The genetic association between ADHD symptoms and reading difficulties: the role of inattentiveness and IQ.</x:v>
      </x:c>
      <x:c r="E1071" s="28" t="str">
        <x:v>Primary/contextual journal article</x:v>
      </x:c>
      <x:c r="F1071" s="28" t="str">
        <x:v>Development &amp; presentation; Family &amp; education; Social &amp; structural; Environmental &amp; lifestyle</x:v>
      </x:c>
      <x:c r="G1071" s="28" t="str">
        <x:v>Childhood</x:v>
      </x:c>
      <x:c r="H1071" s="28" t="str">
        <x:v>Later specialized</x:v>
      </x:c>
      <x:c r="I1071" s="28" t="str">
        <x:v>Direct or strongly ADHD-related record retained for later screening; typically narrower treatment, biomarker, mechanistic, or single-comorbidity focus.</x:v>
      </x:c>
      <x:c r="J1071" s="38" t="e">
        <x:f>HYPERLINK("https://pubmed.ncbi.nlm.nih.gov/"&amp;C1071&amp;"/","Open PubMed")</x:f>
        <x:v>HYPERLINK is not implemented. linkLocation=https://pubmed.ncbi.nlm.nih.gov/20556504/, friendlyName=Open PubMed</x:v>
      </x:c>
    </x:row>
    <x:row r="1072">
      <x:c r="A1072" s="26" t="str">
        <x:v>PUBMED-20551341</x:v>
      </x:c>
      <x:c r="B1072" s="26" t="n">
        <x:v>2010</x:v>
      </x:c>
      <x:c r="C1072" s="26" t="str">
        <x:v>20551341</x:v>
      </x:c>
      <x:c r="D1072" s="28" t="str">
        <x:v>The role of inhibition in the production of disfluencies.</x:v>
      </x:c>
      <x:c r="E1072" s="28" t="str">
        <x:v>Primary/contextual journal article</x:v>
      </x:c>
      <x:c r="F1072" s="28" t="str">
        <x:v>Development &amp; presentation; Recognition &amp; diagnosis; Social &amp; structural</x:v>
      </x:c>
      <x:c r="G1072" s="28" t="str">
        <x:v>Adolescence; Adulthood</x:v>
      </x:c>
      <x:c r="H1072" s="28" t="str">
        <x:v>Later specialized</x:v>
      </x:c>
      <x:c r="I1072" s="28" t="str">
        <x:v>Direct or strongly ADHD-related record retained for later screening; typically narrower treatment, biomarker, mechanistic, or single-comorbidity focus.</x:v>
      </x:c>
      <x:c r="J1072" s="38" t="e">
        <x:f>HYPERLINK("https://pubmed.ncbi.nlm.nih.gov/"&amp;C1072&amp;"/","Open PubMed")</x:f>
        <x:v>HYPERLINK is not implemented. linkLocation=https://pubmed.ncbi.nlm.nih.gov/20551341/, friendlyName=Open PubMed</x:v>
      </x:c>
    </x:row>
    <x:row r="1073">
      <x:c r="A1073" s="26" t="str">
        <x:v>PUBMED-20551004</x:v>
      </x:c>
      <x:c r="B1073" s="26" t="n">
        <x:v>2010</x:v>
      </x:c>
      <x:c r="C1073" s="26" t="str">
        <x:v>20551004</x:v>
      </x:c>
      <x:c r="D1073" s="28" t="str">
        <x:v>Exposure to polyfluoroalkyl chemicals and attention deficit/hyperactivity disorder in U.S. children 12-15 years of age.</x:v>
      </x:c>
      <x:c r="E1073" s="28" t="str">
        <x:v>Primary study - cohort</x:v>
      </x:c>
      <x:c r="F1073" s="28" t="str">
        <x:v>Development &amp; presentation; Recognition &amp; diagnosis; Family &amp; education; Social &amp; structural; Environmental &amp; lifestyle; Life outcomes &amp; lived experience</x:v>
      </x:c>
      <x:c r="G1073" s="28" t="str">
        <x:v>Childhood; Adolescence</x:v>
      </x:c>
      <x:c r="H1073" s="28" t="str">
        <x:v>Later specialized</x:v>
      </x:c>
      <x:c r="I1073" s="28" t="str">
        <x:v>Direct or strongly ADHD-related record retained for later screening; typically narrower treatment, biomarker, mechanistic, or single-comorbidity focus.</x:v>
      </x:c>
      <x:c r="J1073" s="38" t="e">
        <x:f>HYPERLINK("https://pubmed.ncbi.nlm.nih.gov/"&amp;C1073&amp;"/","Open PubMed")</x:f>
        <x:v>HYPERLINK is not implemented. linkLocation=https://pubmed.ncbi.nlm.nih.gov/20551004/, friendlyName=Open PubMed</x:v>
      </x:c>
    </x:row>
    <x:row r="1074">
      <x:c r="A1074" s="26" t="str">
        <x:v>PUBMED-20545603</x:v>
      </x:c>
      <x:c r="B1074" s="26" t="n">
        <x:v>2010</x:v>
      </x:c>
      <x:c r="C1074" s="26" t="str">
        <x:v>20545603</x:v>
      </x:c>
      <x:c r="D1074" s="28" t="str">
        <x:v>Internet addiction or excessive internet use.</x:v>
      </x:c>
      <x:c r="E1074" s="28" t="str">
        <x:v>Evidence synthesis - review</x:v>
      </x:c>
      <x:c r="F1074" s="28" t="str">
        <x:v>Development &amp; presentation; Recognition &amp; diagnosis; Family &amp; education; Social &amp; structural; Environmental &amp; lifestyle; Treatment &amp; support; Life outcomes &amp; lived experience; Historical &amp; contemporary context</x:v>
      </x:c>
      <x:c r="G1074" s="28" t="str">
        <x:v>Adolescence</x:v>
      </x:c>
      <x:c r="H1074" s="28" t="str">
        <x:v>Later specialized</x:v>
      </x:c>
      <x:c r="I1074" s="28" t="str">
        <x:v>Direct or strongly ADHD-related record retained for later screening; typically narrower treatment, biomarker, mechanistic, or single-comorbidity focus.</x:v>
      </x:c>
      <x:c r="J1074" s="38" t="e">
        <x:f>HYPERLINK("https://pubmed.ncbi.nlm.nih.gov/"&amp;C1074&amp;"/","Open PubMed")</x:f>
        <x:v>HYPERLINK is not implemented. linkLocation=https://pubmed.ncbi.nlm.nih.gov/20545603/, friendlyName=Open PubMed</x:v>
      </x:c>
    </x:row>
    <x:row r="1075">
      <x:c r="A1075" s="26" t="str">
        <x:v>PUBMED-20534153</x:v>
      </x:c>
      <x:c r="B1075" s="26" t="n">
        <x:v>2010</x:v>
      </x:c>
      <x:c r="C1075" s="26" t="str">
        <x:v>20534153</x:v>
      </x:c>
      <x:c r="D1075" s="28" t="str">
        <x:v>Attention-deficit hyperactivity disorder (ADHD) and glial integrity: an exploration of associations of cytokines and kynurenine metabolites with symptoms and attention.</x:v>
      </x:c>
      <x:c r="E1075" s="28" t="str">
        <x:v>Primary study - case-control</x:v>
      </x:c>
      <x:c r="F1075" s="28" t="str">
        <x:v>Development &amp; presentation; Recognition &amp; diagnosis; Social &amp; structural; Treatment &amp; support; Life outcomes &amp; lived experience</x:v>
      </x:c>
      <x:c r="G1075" s="28" t="str">
        <x:v>Childhood; Adolescence</x:v>
      </x:c>
      <x:c r="H1075" s="28" t="str">
        <x:v>Later specialized</x:v>
      </x:c>
      <x:c r="I1075" s="28" t="str">
        <x:v>Direct or strongly ADHD-related record retained for later screening; typically narrower treatment, biomarker, mechanistic, or single-comorbidity focus.</x:v>
      </x:c>
      <x:c r="J1075" s="38" t="e">
        <x:f>HYPERLINK("https://pubmed.ncbi.nlm.nih.gov/"&amp;C1075&amp;"/","Open PubMed")</x:f>
        <x:v>HYPERLINK is not implemented. linkLocation=https://pubmed.ncbi.nlm.nih.gov/20534153/, friendlyName=Open PubMed</x:v>
      </x:c>
    </x:row>
    <x:row r="1076">
      <x:c r="A1076" s="26" t="str">
        <x:v>PUBMED-20533370</x:v>
      </x:c>
      <x:c r="B1076" s="26" t="n">
        <x:v>2010</x:v>
      </x:c>
      <x:c r="C1076" s="26" t="str">
        <x:v>20533370</x:v>
      </x:c>
      <x:c r="D1076" s="28" t="str">
        <x:v>Tic disorders: some key issues for DSM-V.</x:v>
      </x:c>
      <x:c r="E1076" s="28" t="str">
        <x:v>Evidence synthesis - review</x:v>
      </x:c>
      <x:c r="F1076" s="28" t="str">
        <x:v>Development &amp; presentation; Recognition &amp; diagnosis; Social &amp; structural; Treatment &amp; support</x:v>
      </x:c>
      <x:c r="G1076" s="28" t="str">
        <x:v>Not specified</x:v>
      </x:c>
      <x:c r="H1076" s="28" t="str">
        <x:v>Exclude/incidental</x:v>
      </x:c>
      <x:c r="I1076" s="28" t="str">
        <x:v>ADHD appears peripheral or insufficiently aligned with the requested corpus scope based on accessible metadata/abstract.</x:v>
      </x:c>
      <x:c r="J1076" s="38" t="e">
        <x:f>HYPERLINK("https://pubmed.ncbi.nlm.nih.gov/"&amp;C1076&amp;"/","Open PubMed")</x:f>
        <x:v>HYPERLINK is not implemented. linkLocation=https://pubmed.ncbi.nlm.nih.gov/20533370/, friendlyName=Open PubMed</x:v>
      </x:c>
    </x:row>
    <x:row r="1077">
      <x:c r="A1077" s="26" t="str">
        <x:v>PUBMED-20528957</x:v>
      </x:c>
      <x:c r="B1077" s="26" t="n">
        <x:v>2010</x:v>
      </x:c>
      <x:c r="C1077" s="26" t="str">
        <x:v>20528957</x:v>
      </x:c>
      <x:c r="D1077" s="28" t="str">
        <x:v>A genome-wide association study of bipolar disorder and comorbid migraine.</x:v>
      </x:c>
      <x:c r="E1077" s="28" t="str">
        <x:v>Primary/contextual journal article</x:v>
      </x:c>
      <x:c r="F1077" s="28" t="str">
        <x:v>Development &amp; presentation; Recognition &amp; diagnosis; Social &amp; structural</x:v>
      </x:c>
      <x:c r="G1077" s="28" t="str">
        <x:v>Adulthood</x:v>
      </x:c>
      <x:c r="H1077" s="28" t="str">
        <x:v>Later specialized</x:v>
      </x:c>
      <x:c r="I1077" s="28" t="str">
        <x:v>Direct or strongly ADHD-related record retained for later screening; typically narrower treatment, biomarker, mechanistic, or single-comorbidity focus.</x:v>
      </x:c>
      <x:c r="J1077" s="38" t="e">
        <x:f>HYPERLINK("https://pubmed.ncbi.nlm.nih.gov/"&amp;C1077&amp;"/","Open PubMed")</x:f>
        <x:v>HYPERLINK is not implemented. linkLocation=https://pubmed.ncbi.nlm.nih.gov/20528957/, friendlyName=Open PubMed</x:v>
      </x:c>
    </x:row>
    <x:row r="1078">
      <x:c r="A1078" s="26" t="str">
        <x:v>PUBMED-20528060</x:v>
      </x:c>
      <x:c r="B1078" s="26" t="n">
        <x:v>2010</x:v>
      </x:c>
      <x:c r="C1078" s="26" t="str">
        <x:v>20528060</x:v>
      </x:c>
      <x:c r="D1078" s="28" t="str">
        <x:v>Detection of feigned ADHD in college students.</x:v>
      </x:c>
      <x:c r="E1078" s="28" t="str">
        <x:v>Primary/contextual journal article</x:v>
      </x:c>
      <x:c r="F1078" s="28" t="str">
        <x:v>Development &amp; presentation; Recognition &amp; diagnosis; Social &amp; structural; Treatment &amp; support; Life outcomes &amp; lived experience; Historical &amp; contemporary context</x:v>
      </x:c>
      <x:c r="G1078" s="28" t="str">
        <x:v>Adulthood</x:v>
      </x:c>
      <x:c r="H1078" s="28" t="str">
        <x:v>Later specialized</x:v>
      </x:c>
      <x:c r="I1078" s="28" t="str">
        <x:v>Direct or strongly ADHD-related record retained for later screening; typically narrower treatment, biomarker, mechanistic, or single-comorbidity focus.</x:v>
      </x:c>
      <x:c r="J1078" s="38" t="e">
        <x:f>HYPERLINK("https://pubmed.ncbi.nlm.nih.gov/"&amp;C1078&amp;"/","Open PubMed")</x:f>
        <x:v>HYPERLINK is not implemented. linkLocation=https://pubmed.ncbi.nlm.nih.gov/20528060/, friendlyName=Open PubMed</x:v>
      </x:c>
    </x:row>
    <x:row r="1079">
      <x:c r="A1079" s="26" t="str">
        <x:v>PUBMED-20521183</x:v>
      </x:c>
      <x:c r="B1079" s="26" t="n">
        <x:v>2010</x:v>
      </x:c>
      <x:c r="C1079" s="26" t="str">
        <x:v>20521183</x:v>
      </x:c>
      <x:c r="D1079" s="28" t="str">
        <x:v>Cognitive profile of children with neurofibromatosis and reading disabilities.</x:v>
      </x:c>
      <x:c r="E1079" s="28" t="str">
        <x:v>Primary/contextual journal article</x:v>
      </x:c>
      <x:c r="F1079" s="28" t="str">
        <x:v>Development &amp; presentation; Recognition &amp; diagnosis; Family &amp; education; Social &amp; structural</x:v>
      </x:c>
      <x:c r="G1079" s="28" t="str">
        <x:v>Childhood; Adolescence</x:v>
      </x:c>
      <x:c r="H1079" s="28" t="str">
        <x:v>Exclude/incidental</x:v>
      </x:c>
      <x:c r="I1079" s="28" t="str">
        <x:v>ADHD appears peripheral or insufficiently aligned with the requested corpus scope based on accessible metadata/abstract.</x:v>
      </x:c>
      <x:c r="J1079" s="38" t="e">
        <x:f>HYPERLINK("https://pubmed.ncbi.nlm.nih.gov/"&amp;C1079&amp;"/","Open PubMed")</x:f>
        <x:v>HYPERLINK is not implemented. linkLocation=https://pubmed.ncbi.nlm.nih.gov/20521183/, friendlyName=Open PubMed</x:v>
      </x:c>
    </x:row>
    <x:row r="1080">
      <x:c r="A1080" s="26" t="str">
        <x:v>PUBMED-20520955</x:v>
      </x:c>
      <x:c r="B1080" s="26" t="n">
        <x:v>2010</x:v>
      </x:c>
      <x:c r="C1080" s="26" t="str">
        <x:v>20520955</x:v>
      </x:c>
      <x:c r="D1080" s="28" t="str">
        <x:v>[Attention deficit disorder and hyperactivity: does the treatment affect the statural growth?].</x:v>
      </x:c>
      <x:c r="E1080" s="28" t="str">
        <x:v>Evidence synthesis - review</x:v>
      </x:c>
      <x:c r="F1080" s="28" t="str">
        <x:v>Development &amp; presentation; Recognition &amp; diagnosis; Family &amp; education; Social &amp; structural; Treatment &amp; support; Life outcomes &amp; lived experience</x:v>
      </x:c>
      <x:c r="G1080" s="28" t="str">
        <x:v>Not specified</x:v>
      </x:c>
      <x:c r="H1080" s="28" t="str">
        <x:v>Later specialized</x:v>
      </x:c>
      <x:c r="I1080" s="28" t="str">
        <x:v>Direct or strongly ADHD-related record retained for later screening; typically narrower treatment, biomarker, mechanistic, or single-comorbidity focus.</x:v>
      </x:c>
      <x:c r="J1080" s="38" t="e">
        <x:f>HYPERLINK("https://pubmed.ncbi.nlm.nih.gov/"&amp;C1080&amp;"/","Open PubMed")</x:f>
        <x:v>HYPERLINK is not implemented. linkLocation=https://pubmed.ncbi.nlm.nih.gov/20520955/, friendlyName=Open PubMed</x:v>
      </x:c>
    </x:row>
    <x:row r="1081">
      <x:c r="A1081" s="26" t="str">
        <x:v>PUBMED-20516542</x:v>
      </x:c>
      <x:c r="B1081" s="26" t="n">
        <x:v>2010</x:v>
      </x:c>
      <x:c r="C1081" s="26" t="str">
        <x:v>20516542</x:v>
      </x:c>
      <x:c r="D1081" s="28" t="str">
        <x:v>Adult attention deficit/hyperactivity disorder: one year follow up.</x:v>
      </x:c>
      <x:c r="E1081" s="28" t="str">
        <x:v>Primary study - cross-sectional</x:v>
      </x:c>
      <x:c r="F1081" s="28" t="str">
        <x:v>Development &amp; presentation; Recognition &amp; diagnosis; Social &amp; structural; Treatment &amp; support; Life outcomes &amp; lived experience</x:v>
      </x:c>
      <x:c r="G1081" s="28" t="str">
        <x:v>Adulthood</x:v>
      </x:c>
      <x:c r="H1081" s="28" t="str">
        <x:v>Later specialized</x:v>
      </x:c>
      <x:c r="I1081" s="28" t="str">
        <x:v>Direct or strongly ADHD-related record retained for later screening; typically narrower treatment, biomarker, mechanistic, or single-comorbidity focus.</x:v>
      </x:c>
      <x:c r="J1081" s="38" t="e">
        <x:f>HYPERLINK("https://pubmed.ncbi.nlm.nih.gov/"&amp;C1081&amp;"/","Open PubMed")</x:f>
        <x:v>HYPERLINK is not implemented. linkLocation=https://pubmed.ncbi.nlm.nih.gov/20516542/, friendlyName=Open PubMed</x:v>
      </x:c>
    </x:row>
    <x:row r="1082">
      <x:c r="A1082" s="26" t="str">
        <x:v>PUBMED-20516166</x:v>
      </x:c>
      <x:c r="B1082" s="26" t="n">
        <x:v>2010</x:v>
      </x:c>
      <x:c r="C1082" s="26" t="str">
        <x:v>20516166</x:v>
      </x:c>
      <x:c r="D1082" s="28" t="str">
        <x:v>Increasing the age at onset for ADHD?</x:v>
      </x:c>
      <x:c r="E1082" s="28" t="str">
        <x:v>Contextual - editorial/comment</x:v>
      </x:c>
      <x:c r="F1082" s="28" t="str">
        <x:v>Development &amp; presentation; Social &amp; structural; Environmental &amp; lifestyle</x:v>
      </x:c>
      <x:c r="G1082" s="28" t="str">
        <x:v>Childhood</x:v>
      </x:c>
      <x:c r="H1082" s="28" t="str">
        <x:v>Later specialized</x:v>
      </x:c>
      <x:c r="I1082" s="28" t="str">
        <x:v>Direct or strongly ADHD-related record retained for later screening; typically narrower treatment, biomarker, mechanistic, or single-comorbidity focus.</x:v>
      </x:c>
      <x:c r="J1082" s="38" t="e">
        <x:f>HYPERLINK("https://pubmed.ncbi.nlm.nih.gov/"&amp;C1082&amp;"/","Open PubMed")</x:f>
        <x:v>HYPERLINK is not implemented. linkLocation=https://pubmed.ncbi.nlm.nih.gov/20516166/, friendlyName=Open PubMed</x:v>
      </x:c>
    </x:row>
    <x:row r="1083">
      <x:c r="A1083" s="26" t="str">
        <x:v>PUBMED-20514764</x:v>
      </x:c>
      <x:c r="B1083" s="26" t="n">
        <x:v>2010</x:v>
      </x:c>
      <x:c r="C1083" s="26" t="str">
        <x:v>20514764</x:v>
      </x:c>
      <x:c r="D1083" s="28" t="str">
        <x:v>[Attention deficit hyperactivity disorder (ADHD) and addiction].</x:v>
      </x:c>
      <x:c r="E1083" s="28" t="str">
        <x:v>Primary study - cross-sectional</x:v>
      </x:c>
      <x:c r="F1083" s="28" t="str">
        <x:v>Development &amp; presentation; Recognition &amp; diagnosis; Environmental &amp; lifestyle</x:v>
      </x:c>
      <x:c r="G1083" s="28" t="str">
        <x:v>Childhood; Adolescence; Adulthood</x:v>
      </x:c>
      <x:c r="H1083" s="28" t="str">
        <x:v>Later specialized</x:v>
      </x:c>
      <x:c r="I1083" s="28" t="str">
        <x:v>Direct or strongly ADHD-related record retained for later screening; typically narrower treatment, biomarker, mechanistic, or single-comorbidity focus.</x:v>
      </x:c>
      <x:c r="J1083" s="38" t="e">
        <x:f>HYPERLINK("https://pubmed.ncbi.nlm.nih.gov/"&amp;C1083&amp;"/","Open PubMed")</x:f>
        <x:v>HYPERLINK is not implemented. linkLocation=https://pubmed.ncbi.nlm.nih.gov/20514764/, friendlyName=Open PubMed</x:v>
      </x:c>
    </x:row>
    <x:row r="1084">
      <x:c r="A1084" s="26" t="str">
        <x:v>PUBMED-20513225</x:v>
      </x:c>
      <x:c r="B1084" s="26" t="n">
        <x:v>2010</x:v>
      </x:c>
      <x:c r="C1084" s="26" t="str">
        <x:v>20513225</x:v>
      </x:c>
      <x:c r="D1084" s="28" t="str">
        <x:v>Stimulant drug effects on attention deficit/hyperactivity disorder: a review of the effects of age and sex of patients.</x:v>
      </x:c>
      <x:c r="E1084" s="28" t="str">
        <x:v>Evidence synthesis - review</x:v>
      </x:c>
      <x:c r="F1084" s="28" t="str">
        <x:v>Development &amp; presentation; Family &amp; education; Social &amp; structural; Treatment &amp; support; Life outcomes &amp; lived experience</x:v>
      </x:c>
      <x:c r="G1084" s="28" t="str">
        <x:v>Childhood; Adolescence; Adulthood</x:v>
      </x:c>
      <x:c r="H1084" s="28" t="str">
        <x:v>Batch 1 core</x:v>
      </x:c>
      <x:c r="I1084" s="28" t="str">
        <x:v>Direct ADHD evidence synthesis/guideline with broad multi-topic relevance.</x:v>
      </x:c>
      <x:c r="J1084" s="38" t="e">
        <x:f>HYPERLINK("https://pubmed.ncbi.nlm.nih.gov/"&amp;C1084&amp;"/","Open PubMed")</x:f>
        <x:v>HYPERLINK is not implemented. linkLocation=https://pubmed.ncbi.nlm.nih.gov/20513225/, friendlyName=Open PubMed</x:v>
      </x:c>
    </x:row>
    <x:row r="1085">
      <x:c r="A1085" s="26" t="str">
        <x:v>PUBMED-20503170</x:v>
      </x:c>
      <x:c r="B1085" s="26" t="n">
        <x:v>2010</x:v>
      </x:c>
      <x:c r="C1085" s="26" t="str">
        <x:v>20503170</x:v>
      </x:c>
      <x:c r="D1085" s="28" t="str">
        <x:v>[Reaction on 'Neurofeedback and attention deficit hyperactivity disorder: what is it and is it working?'].</x:v>
      </x:c>
      <x:c r="E1085" s="28" t="str">
        <x:v>Contextual - editorial/comment</x:v>
      </x:c>
      <x:c r="F1085" s="28" t="str">
        <x:v>Development &amp; presentation; Treatment &amp; support</x:v>
      </x:c>
      <x:c r="G1085" s="28" t="str">
        <x:v>Childhood</x:v>
      </x:c>
      <x:c r="H1085" s="28" t="str">
        <x:v>Later specialized</x:v>
      </x:c>
      <x:c r="I1085" s="28" t="str">
        <x:v>Direct or strongly ADHD-related record retained for later screening; typically narrower treatment, biomarker, mechanistic, or single-comorbidity focus.</x:v>
      </x:c>
      <x:c r="J1085" s="38" t="e">
        <x:f>HYPERLINK("https://pubmed.ncbi.nlm.nih.gov/"&amp;C1085&amp;"/","Open PubMed")</x:f>
        <x:v>HYPERLINK is not implemented. linkLocation=https://pubmed.ncbi.nlm.nih.gov/20503170/, friendlyName=Open PubMed</x:v>
      </x:c>
    </x:row>
    <x:row r="1086">
      <x:c r="A1086" s="26" t="str">
        <x:v>PUBMED-20495473</x:v>
      </x:c>
      <x:c r="B1086" s="26" t="n">
        <x:v>2010</x:v>
      </x:c>
      <x:c r="C1086" s="26" t="str">
        <x:v>20495473</x:v>
      </x:c>
      <x:c r="D1086" s="28" t="str">
        <x:v>Conditioned placebo dose reduction: a new treatment in attention-deficit hyperactivity disorder?</x:v>
      </x:c>
      <x:c r="E1086" s="28" t="str">
        <x:v>Primary study - randomized controlled trial</x:v>
      </x:c>
      <x:c r="F1086" s="28" t="str">
        <x:v>Development &amp; presentation; Family &amp; education; Social &amp; structural; Treatment &amp; support; Life outcomes &amp; lived experience</x:v>
      </x:c>
      <x:c r="G1086" s="28" t="str">
        <x:v>Childhood</x:v>
      </x:c>
      <x:c r="H1086" s="28" t="str">
        <x:v>Later specialized</x:v>
      </x:c>
      <x:c r="I1086" s="28" t="str">
        <x:v>Direct or strongly ADHD-related record retained for later screening; typically narrower treatment, biomarker, mechanistic, or single-comorbidity focus.</x:v>
      </x:c>
      <x:c r="J1086" s="38" t="e">
        <x:f>HYPERLINK("https://pubmed.ncbi.nlm.nih.gov/"&amp;C1086&amp;"/","Open PubMed")</x:f>
        <x:v>HYPERLINK is not implemented. linkLocation=https://pubmed.ncbi.nlm.nih.gov/20495473/, friendlyName=Open PubMed</x:v>
      </x:c>
    </x:row>
    <x:row r="1087">
      <x:c r="A1087" s="26" t="str">
        <x:v>PUBMED-20494269</x:v>
      </x:c>
      <x:c r="B1087" s="26" t="n">
        <x:v>2010</x:v>
      </x:c>
      <x:c r="C1087" s="26" t="str">
        <x:v>20494269</x:v>
      </x:c>
      <x:c r="D1087" s="28" t="str">
        <x:v>Adolescent outcomes of childhood attention-deficit/hyperactivity disorder in a diverse community sample.</x:v>
      </x:c>
      <x:c r="E1087" s="28" t="str">
        <x:v>Primary study - case-control</x:v>
      </x:c>
      <x:c r="F1087" s="28" t="str">
        <x:v>Development &amp; presentation; Recognition &amp; diagnosis; Family &amp; education; Social &amp; structural; Environmental &amp; lifestyle; Treatment &amp; support; Life outcomes &amp; lived experience</x:v>
      </x:c>
      <x:c r="G1087" s="28" t="str">
        <x:v>Childhood; Adolescence</x:v>
      </x:c>
      <x:c r="H1087" s="28" t="str">
        <x:v>Later specialized</x:v>
      </x:c>
      <x:c r="I1087" s="28" t="str">
        <x:v>Direct or strongly ADHD-related record retained for later screening; typically narrower treatment, biomarker, mechanistic, or single-comorbidity focus.</x:v>
      </x:c>
      <x:c r="J1087" s="38" t="e">
        <x:f>HYPERLINK("https://pubmed.ncbi.nlm.nih.gov/"&amp;C1087&amp;"/","Open PubMed")</x:f>
        <x:v>HYPERLINK is not implemented. linkLocation=https://pubmed.ncbi.nlm.nih.gov/20494269/, friendlyName=Open PubMed</x:v>
      </x:c>
    </x:row>
    <x:row r="1088">
      <x:c r="A1088" s="26" t="str">
        <x:v>PUBMED-20490677</x:v>
      </x:c>
      <x:c r="B1088" s="26" t="n">
        <x:v>2010</x:v>
      </x:c>
      <x:c r="C1088" s="26" t="str">
        <x:v>20490677</x:v>
      </x:c>
      <x:c r="D1088" s="28" t="str">
        <x:v>The importance of friendship for youth with attention-deficit/hyperactivity disorder.</x:v>
      </x:c>
      <x:c r="E1088" s="28" t="str">
        <x:v>Evidence synthesis - review</x:v>
      </x:c>
      <x:c r="F1088" s="28" t="str">
        <x:v>Development &amp; presentation; Family &amp; education; Social &amp; structural; Treatment &amp; support; Life outcomes &amp; lived experience</x:v>
      </x:c>
      <x:c r="G1088" s="28" t="str">
        <x:v>Childhood</x:v>
      </x:c>
      <x:c r="H1088" s="28" t="str">
        <x:v>Later specialized</x:v>
      </x:c>
      <x:c r="I1088" s="28" t="str">
        <x:v>Direct or strongly ADHD-related record retained for later screening; typically narrower treatment, biomarker, mechanistic, or single-comorbidity focus.</x:v>
      </x:c>
      <x:c r="J1088" s="38" t="e">
        <x:f>HYPERLINK("https://pubmed.ncbi.nlm.nih.gov/"&amp;C1088&amp;"/","Open PubMed")</x:f>
        <x:v>HYPERLINK is not implemented. linkLocation=https://pubmed.ncbi.nlm.nih.gov/20490677/, friendlyName=Open PubMed</x:v>
      </x:c>
    </x:row>
    <x:row r="1089">
      <x:c r="A1089" s="26" t="str">
        <x:v>PUBMED-20488672</x:v>
      </x:c>
      <x:c r="B1089" s="26" t="n">
        <x:v>2010</x:v>
      </x:c>
      <x:c r="C1089" s="26" t="str">
        <x:v>20488672</x:v>
      </x:c>
      <x:c r="D1089" s="28" t="str">
        <x:v>Quantitative MR analysis of caudate abnormalities in pediatric ADHD: proposal for a diagnostic test.</x:v>
      </x:c>
      <x:c r="E1089" s="28" t="str">
        <x:v>Primary study - case-control</x:v>
      </x:c>
      <x:c r="F1089" s="28" t="str">
        <x:v>Development &amp; presentation; Recognition &amp; diagnosis; Social &amp; structural</x:v>
      </x:c>
      <x:c r="G1089" s="28" t="str">
        <x:v>Childhood; Adolescence</x:v>
      </x:c>
      <x:c r="H1089" s="28" t="str">
        <x:v>Batch 1 core</x:v>
      </x:c>
      <x:c r="I1089" s="28" t="str">
        <x:v>Direct ADHD primary study on diagnosis, family/education, structural conditions, lived experience/outcomes, or environment/lifestyle.</x:v>
      </x:c>
      <x:c r="J1089" s="38" t="e">
        <x:f>HYPERLINK("https://pubmed.ncbi.nlm.nih.gov/"&amp;C1089&amp;"/","Open PubMed")</x:f>
        <x:v>HYPERLINK is not implemented. linkLocation=https://pubmed.ncbi.nlm.nih.gov/20488672/, friendlyName=Open PubMed</x:v>
      </x:c>
    </x:row>
    <x:row r="1090">
      <x:c r="A1090" s="26" t="str">
        <x:v>PUBMED-20486482</x:v>
      </x:c>
      <x:c r="B1090" s="26" t="n">
        <x:v>2010</x:v>
      </x:c>
      <x:c r="C1090" s="26" t="str">
        <x:v>20486482</x:v>
      </x:c>
      <x:c r="D1090" s="28" t="str">
        <x:v>Improving recognition and management of ADHD.</x:v>
      </x:c>
      <x:c r="E1090" s="28" t="str">
        <x:v>Primary/contextual journal article</x:v>
      </x:c>
      <x:c r="F1090" s="28" t="str">
        <x:v>Development &amp; presentation; Recognition &amp; diagnosis; Family &amp; education; Social &amp; structural; Environmental &amp; lifestyle; Treatment &amp; support</x:v>
      </x:c>
      <x:c r="G1090" s="28" t="str">
        <x:v>Childhood; Adolescence</x:v>
      </x:c>
      <x:c r="H1090" s="28" t="str">
        <x:v>Later specialized</x:v>
      </x:c>
      <x:c r="I1090" s="28" t="str">
        <x:v>Direct or strongly ADHD-related record retained for later screening; typically narrower treatment, biomarker, mechanistic, or single-comorbidity focus.</x:v>
      </x:c>
      <x:c r="J1090" s="38" t="e">
        <x:f>HYPERLINK("https://pubmed.ncbi.nlm.nih.gov/"&amp;C1090&amp;"/","Open PubMed")</x:f>
        <x:v>HYPERLINK is not implemented. linkLocation=https://pubmed.ncbi.nlm.nih.gov/20486482/, friendlyName=Open PubMed</x:v>
      </x:c>
    </x:row>
    <x:row r="1091">
      <x:c r="A1091" s="26" t="str">
        <x:v>PUBMED-20486400</x:v>
      </x:c>
      <x:c r="B1091" s="26" t="n">
        <x:v>2010</x:v>
      </x:c>
      <x:c r="C1091" s="26" t="str">
        <x:v>20486400</x:v>
      </x:c>
      <x:c r="D1091" s="28" t="str">
        <x:v>Gender differences in risk and promotive classifications associated with adolescent delinquency.</x:v>
      </x:c>
      <x:c r="E1091" s="28" t="str">
        <x:v>Primary/contextual journal article</x:v>
      </x:c>
      <x:c r="F1091" s="28" t="str">
        <x:v>Development &amp; presentation; Recognition &amp; diagnosis; Family &amp; education; Social &amp; structural; Environmental &amp; lifestyle; Life outcomes &amp; lived experience</x:v>
      </x:c>
      <x:c r="G1091" s="28" t="str">
        <x:v>Childhood; Adolescence</x:v>
      </x:c>
      <x:c r="H1091" s="28" t="str">
        <x:v>Exclude/incidental</x:v>
      </x:c>
      <x:c r="I1091" s="28" t="str">
        <x:v>ADHD appears peripheral or insufficiently aligned with the requested corpus scope based on accessible metadata/abstract.</x:v>
      </x:c>
      <x:c r="J1091" s="38" t="e">
        <x:f>HYPERLINK("https://pubmed.ncbi.nlm.nih.gov/"&amp;C1091&amp;"/","Open PubMed")</x:f>
        <x:v>HYPERLINK is not implemented. linkLocation=https://pubmed.ncbi.nlm.nih.gov/20486400/, friendlyName=Open PubMed</x:v>
      </x:c>
    </x:row>
    <x:row r="1092">
      <x:c r="A1092" s="26" t="str">
        <x:v>PUBMED-20483462</x:v>
      </x:c>
      <x:c r="B1092" s="26" t="n">
        <x:v>2010</x:v>
      </x:c>
      <x:c r="C1092" s="26" t="str">
        <x:v>20483462</x:v>
      </x:c>
      <x:c r="D1092" s="28" t="str">
        <x:v>EEG coherence in children with attention-deficit/hyperactivity disorder: differences between good and poor responders to methylphenidate.</x:v>
      </x:c>
      <x:c r="E1092" s="28" t="str">
        <x:v>Primary/contextual journal article</x:v>
      </x:c>
      <x:c r="F1092" s="28" t="str">
        <x:v>Development &amp; presentation; Social &amp; structural; Treatment &amp; support</x:v>
      </x:c>
      <x:c r="G1092" s="28" t="str">
        <x:v>Childhood</x:v>
      </x:c>
      <x:c r="H1092" s="28" t="str">
        <x:v>Later specialized</x:v>
      </x:c>
      <x:c r="I1092" s="28" t="str">
        <x:v>Direct or strongly ADHD-related record retained for later screening; typically narrower treatment, biomarker, mechanistic, or single-comorbidity focus.</x:v>
      </x:c>
      <x:c r="J1092" s="38" t="e">
        <x:f>HYPERLINK("https://pubmed.ncbi.nlm.nih.gov/"&amp;C1092&amp;"/","Open PubMed")</x:f>
        <x:v>HYPERLINK is not implemented. linkLocation=https://pubmed.ncbi.nlm.nih.gov/20483462/, friendlyName=Open PubMed</x:v>
      </x:c>
    </x:row>
    <x:row r="1093">
      <x:c r="A1093" s="26" t="str">
        <x:v>PUBMED-20482957</x:v>
      </x:c>
      <x:c r="B1093" s="26" t="n">
        <x:v>2010</x:v>
      </x:c>
      <x:c r="C1093" s="26" t="str">
        <x:v>20482957</x:v>
      </x:c>
      <x:c r="D1093" s="28" t="str">
        <x:v>Clinical response to methylphenidate in children diagnosed with attention-deficit hyperactivity disorder and comorbid psychiatric disorders.</x:v>
      </x:c>
      <x:c r="E1093" s="28" t="str">
        <x:v>Primary study - randomized controlled trial</x:v>
      </x:c>
      <x:c r="F1093" s="28" t="str">
        <x:v>Development &amp; presentation; Recognition &amp; diagnosis; Family &amp; education; Social &amp; structural; Treatment &amp; support; Life outcomes &amp; lived experience</x:v>
      </x:c>
      <x:c r="G1093" s="28" t="str">
        <x:v>Childhood</x:v>
      </x:c>
      <x:c r="H1093" s="28" t="str">
        <x:v>Later specialized</x:v>
      </x:c>
      <x:c r="I1093" s="28" t="str">
        <x:v>Direct or strongly ADHD-related record retained for later screening; typically narrower treatment, biomarker, mechanistic, or single-comorbidity focus.</x:v>
      </x:c>
      <x:c r="J1093" s="38" t="e">
        <x:f>HYPERLINK("https://pubmed.ncbi.nlm.nih.gov/"&amp;C1093&amp;"/","Open PubMed")</x:f>
        <x:v>HYPERLINK is not implemented. linkLocation=https://pubmed.ncbi.nlm.nih.gov/20482957/, friendlyName=Open PubMed</x:v>
      </x:c>
    </x:row>
    <x:row r="1094">
      <x:c r="A1094" s="26" t="str">
        <x:v>PUBMED-20478907</x:v>
      </x:c>
      <x:c r="B1094" s="26" t="n">
        <x:v>2010</x:v>
      </x:c>
      <x:c r="C1094" s="26" t="str">
        <x:v>20478907</x:v>
      </x:c>
      <x:c r="D1094" s="28" t="str">
        <x:v>Cognition and hopelessness in association with subsyndromal orthostatic hypotension.</x:v>
      </x:c>
      <x:c r="E1094" s="28" t="str">
        <x:v>Primary/contextual journal article</x:v>
      </x:c>
      <x:c r="F1094" s="28" t="str">
        <x:v>Development &amp; presentation; Social &amp; structural; Life outcomes &amp; lived experience</x:v>
      </x:c>
      <x:c r="G1094" s="28" t="str">
        <x:v>Adulthood</x:v>
      </x:c>
      <x:c r="H1094" s="28" t="str">
        <x:v>Exclude/incidental</x:v>
      </x:c>
      <x:c r="I1094" s="28" t="str">
        <x:v>ADHD appears peripheral or insufficiently aligned with the requested corpus scope based on accessible metadata/abstract.</x:v>
      </x:c>
      <x:c r="J1094" s="38" t="e">
        <x:f>HYPERLINK("https://pubmed.ncbi.nlm.nih.gov/"&amp;C1094&amp;"/","Open PubMed")</x:f>
        <x:v>HYPERLINK is not implemented. linkLocation=https://pubmed.ncbi.nlm.nih.gov/20478907/, friendlyName=Open PubMed</x:v>
      </x:c>
    </x:row>
    <x:row r="1095">
      <x:c r="A1095" s="26" t="str">
        <x:v>PUBMED-20468072</x:v>
      </x:c>
      <x:c r="B1095" s="26" t="n">
        <x:v>2010</x:v>
      </x:c>
      <x:c r="C1095" s="26" t="str">
        <x:v>20468072</x:v>
      </x:c>
      <x:c r="D1095" s="28" t="str">
        <x:v>Meta-analysis of the heterogeneity in association of DRD4 7-repeat allele and AD/HD: stronger association with AD/HD combined type.</x:v>
      </x:c>
      <x:c r="E1095" s="28" t="str">
        <x:v>Evidence synthesis - meta-analysis</x:v>
      </x:c>
      <x:c r="F1095" s="28" t="str">
        <x:v>Development &amp; presentation; Family &amp; education</x:v>
      </x:c>
      <x:c r="G1095" s="28" t="str">
        <x:v>Not specified</x:v>
      </x:c>
      <x:c r="H1095" s="28" t="str">
        <x:v>Exclude/incidental</x:v>
      </x:c>
      <x:c r="I1095" s="28" t="str">
        <x:v>ADHD appears peripheral or insufficiently aligned with the requested corpus scope based on accessible metadata/abstract.</x:v>
      </x:c>
      <x:c r="J1095" s="38" t="e">
        <x:f>HYPERLINK("https://pubmed.ncbi.nlm.nih.gov/"&amp;C1095&amp;"/","Open PubMed")</x:f>
        <x:v>HYPERLINK is not implemented. linkLocation=https://pubmed.ncbi.nlm.nih.gov/20468072/, friendlyName=Open PubMed</x:v>
      </x:c>
    </x:row>
    <x:row r="1096">
      <x:c r="A1096" s="26" t="str">
        <x:v>PUBMED-20457690</x:v>
      </x:c>
      <x:c r="B1096" s="26" t="n">
        <x:v>2010</x:v>
      </x:c>
      <x:c r="C1096" s="26" t="str">
        <x:v>20457690</x:v>
      </x:c>
      <x:c r="D1096" s="28" t="str">
        <x:v>Eosinophilic hepatitis in an adolescent during lisdexamfetamine dimesylate treatment for ADHD.</x:v>
      </x:c>
      <x:c r="E1096" s="28" t="str">
        <x:v>Primary/contextual journal article</x:v>
      </x:c>
      <x:c r="F1096" s="28" t="str">
        <x:v>Development &amp; presentation; Recognition &amp; diagnosis; Social &amp; structural; Treatment &amp; support</x:v>
      </x:c>
      <x:c r="G1096" s="28" t="str">
        <x:v>Adolescence</x:v>
      </x:c>
      <x:c r="H1096" s="28" t="str">
        <x:v>Later specialized</x:v>
      </x:c>
      <x:c r="I1096" s="28" t="str">
        <x:v>Direct or strongly ADHD-related record retained for later screening; typically narrower treatment, biomarker, mechanistic, or single-comorbidity focus.</x:v>
      </x:c>
      <x:c r="J1096" s="38" t="e">
        <x:f>HYPERLINK("https://pubmed.ncbi.nlm.nih.gov/"&amp;C1096&amp;"/","Open PubMed")</x:f>
        <x:v>HYPERLINK is not implemented. linkLocation=https://pubmed.ncbi.nlm.nih.gov/20457690/, friendlyName=Open PubMed</x:v>
      </x:c>
    </x:row>
    <x:row r="1097">
      <x:c r="A1097" s="26" t="str">
        <x:v>PUBMED-20457171</x:v>
      </x:c>
      <x:c r="B1097" s="26" t="n">
        <x:v>2010</x:v>
      </x:c>
      <x:c r="C1097" s="26" t="str">
        <x:v>20457171</x:v>
      </x:c>
      <x:c r="D1097" s="28" t="str">
        <x:v>Developmental effects of dietary n-3 fatty acids on activity and response to novelty.</x:v>
      </x:c>
      <x:c r="E1097" s="28" t="str">
        <x:v>Primary/contextual journal article</x:v>
      </x:c>
      <x:c r="F1097" s="28" t="str">
        <x:v>Development &amp; presentation; Social &amp; structural; Environmental &amp; lifestyle; Treatment &amp; support</x:v>
      </x:c>
      <x:c r="G1097" s="28" t="str">
        <x:v>Not specified</x:v>
      </x:c>
      <x:c r="H1097" s="28" t="str">
        <x:v>Exclude/incidental</x:v>
      </x:c>
      <x:c r="I1097" s="28" t="str">
        <x:v>Animal-only record; retained outside the human-focused core corpus.</x:v>
      </x:c>
      <x:c r="J1097" s="38" t="e">
        <x:f>HYPERLINK("https://pubmed.ncbi.nlm.nih.gov/"&amp;C1097&amp;"/","Open PubMed")</x:f>
        <x:v>HYPERLINK is not implemented. linkLocation=https://pubmed.ncbi.nlm.nih.gov/20457171/, friendlyName=Open PubMed</x:v>
      </x:c>
    </x:row>
    <x:row r="1098">
      <x:c r="A1098" s="26" t="str">
        <x:v>PUBMED-20456272</x:v>
      </x:c>
      <x:c r="B1098" s="26" t="n">
        <x:v>2010</x:v>
      </x:c>
      <x:c r="C1098" s="26" t="str">
        <x:v>20456272</x:v>
      </x:c>
      <x:c r="D1098" s="28" t="str">
        <x:v>ADHD symptoms and maturity - a follow-up study in school children.</x:v>
      </x:c>
      <x:c r="E1098" s="28" t="str">
        <x:v>Primary/contextual journal article</x:v>
      </x:c>
      <x:c r="F1098" s="28" t="str">
        <x:v>Development &amp; presentation; Recognition &amp; diagnosis; Family &amp; education; Social &amp; structural</x:v>
      </x:c>
      <x:c r="G1098" s="28" t="str">
        <x:v>Childhood</x:v>
      </x:c>
      <x:c r="H1098" s="28" t="str">
        <x:v>Later specialized</x:v>
      </x:c>
      <x:c r="I1098" s="28" t="str">
        <x:v>Direct or strongly ADHD-related record retained for later screening; typically narrower treatment, biomarker, mechanistic, or single-comorbidity focus.</x:v>
      </x:c>
      <x:c r="J1098" s="38" t="e">
        <x:f>HYPERLINK("https://pubmed.ncbi.nlm.nih.gov/"&amp;C1098&amp;"/","Open PubMed")</x:f>
        <x:v>HYPERLINK is not implemented. linkLocation=https://pubmed.ncbi.nlm.nih.gov/20456272/, friendlyName=Open PubMed</x:v>
      </x:c>
    </x:row>
    <x:row r="1099">
      <x:c r="A1099" s="26" t="str">
        <x:v>PUBMED-20456266</x:v>
      </x:c>
      <x:c r="B1099" s="26" t="n">
        <x:v>2010</x:v>
      </x:c>
      <x:c r="C1099" s="26" t="str">
        <x:v>20456266</x:v>
      </x:c>
      <x:c r="D1099" s="28" t="str">
        <x:v>RE: Routine developmental screening at 5.5 and 7 years of age is not an efficient predictor of attention-deficit/hyperactivity disorder - a critical comment: author's reply.</x:v>
      </x:c>
      <x:c r="E1099" s="28" t="str">
        <x:v>Contextual - editorial/comment</x:v>
      </x:c>
      <x:c r="F1099" s="28" t="str">
        <x:v>Development &amp; presentation; Recognition &amp; diagnosis; Family &amp; education; Social &amp; structural</x:v>
      </x:c>
      <x:c r="G1099" s="28" t="str">
        <x:v>Childhood</x:v>
      </x:c>
      <x:c r="H1099" s="28" t="str">
        <x:v>Later specialized</x:v>
      </x:c>
      <x:c r="I1099" s="28" t="str">
        <x:v>Direct or strongly ADHD-related record retained for later screening; typically narrower treatment, biomarker, mechanistic, or single-comorbidity focus.</x:v>
      </x:c>
      <x:c r="J1099" s="38" t="e">
        <x:f>HYPERLINK("https://pubmed.ncbi.nlm.nih.gov/"&amp;C1099&amp;"/","Open PubMed")</x:f>
        <x:v>HYPERLINK is not implemented. linkLocation=https://pubmed.ncbi.nlm.nih.gov/20456266/, friendlyName=Open PubMed</x:v>
      </x:c>
    </x:row>
    <x:row r="1100">
      <x:c r="A1100" s="26" t="str">
        <x:v>PUBMED-20452044</x:v>
      </x:c>
      <x:c r="B1100" s="26" t="n">
        <x:v>2010</x:v>
      </x:c>
      <x:c r="C1100" s="26" t="str">
        <x:v>20452044</x:v>
      </x:c>
      <x:c r="D1100" s="28" t="str">
        <x:v>Interaction of recalled parental ADHD symptoms and rearing behavior with current attachment and emotional dysfunction in adult offspring with ADHD.</x:v>
      </x:c>
      <x:c r="E1100" s="28" t="str">
        <x:v>Primary/contextual journal article</x:v>
      </x:c>
      <x:c r="F1100" s="28" t="str">
        <x:v>Development &amp; presentation; Recognition &amp; diagnosis; Family &amp; education; Social &amp; structural; Treatment &amp; support</x:v>
      </x:c>
      <x:c r="G1100" s="28" t="str">
        <x:v>Childhood; Adolescence; Adulthood</x:v>
      </x:c>
      <x:c r="H1100" s="28" t="str">
        <x:v>Later specialized</x:v>
      </x:c>
      <x:c r="I1100" s="28" t="str">
        <x:v>Direct or strongly ADHD-related record retained for later screening; typically narrower treatment, biomarker, mechanistic, or single-comorbidity focus.</x:v>
      </x:c>
      <x:c r="J1100" s="38" t="e">
        <x:f>HYPERLINK("https://pubmed.ncbi.nlm.nih.gov/"&amp;C1100&amp;"/","Open PubMed")</x:f>
        <x:v>HYPERLINK is not implemented. linkLocation=https://pubmed.ncbi.nlm.nih.gov/20452044/, friendlyName=Open PubMed</x:v>
      </x:c>
    </x:row>
    <x:row r="1101">
      <x:c r="A1101" s="26" t="str">
        <x:v>PUBMED-20451347</x:v>
      </x:c>
      <x:c r="B1101" s="26" t="n">
        <x:v>2010</x:v>
      </x:c>
      <x:c r="C1101" s="26" t="str">
        <x:v>20451347</x:v>
      </x:c>
      <x:c r="D1101" s="28" t="str">
        <x:v>Basic reading skills in Swedish children with late developing language and with or without autism spectrum disorder or ADHD.</x:v>
      </x:c>
      <x:c r="E1101" s="28" t="str">
        <x:v>Primary/contextual journal article</x:v>
      </x:c>
      <x:c r="F1101" s="28" t="str">
        <x:v>Development &amp; presentation; Recognition &amp; diagnosis; Social &amp; structural; Life outcomes &amp; lived experience; Historical &amp; contemporary context</x:v>
      </x:c>
      <x:c r="G1101" s="28" t="str">
        <x:v>Childhood</x:v>
      </x:c>
      <x:c r="H1101" s="28" t="str">
        <x:v>Later specialized</x:v>
      </x:c>
      <x:c r="I1101" s="28" t="str">
        <x:v>Direct or strongly ADHD-related record retained for later screening; typically narrower treatment, biomarker, mechanistic, or single-comorbidity focus.</x:v>
      </x:c>
      <x:c r="J1101" s="38" t="e">
        <x:f>HYPERLINK("https://pubmed.ncbi.nlm.nih.gov/"&amp;C1101&amp;"/","Open PubMed")</x:f>
        <x:v>HYPERLINK is not implemented. linkLocation=https://pubmed.ncbi.nlm.nih.gov/20451347/, friendlyName=Open PubMed</x:v>
      </x:c>
    </x:row>
    <x:row r="1102">
      <x:c r="A1102" s="26" t="str">
        <x:v>PUBMED-20446885</x:v>
      </x:c>
      <x:c r="B1102" s="26" t="n">
        <x:v>2010</x:v>
      </x:c>
      <x:c r="C1102" s="26" t="str">
        <x:v>20446885</x:v>
      </x:c>
      <x:c r="D1102" s="28" t="str">
        <x:v>Editorial for nordic journal of psychiatry.</x:v>
      </x:c>
      <x:c r="E1102" s="28" t="str">
        <x:v>Contextual - editorial/comment</x:v>
      </x:c>
      <x:c r="F1102" s="28" t="str">
        <x:v>Development &amp; presentation; Recognition &amp; diagnosis; Social &amp; structural</x:v>
      </x:c>
      <x:c r="G1102" s="28" t="str">
        <x:v>Childhood; Adolescence</x:v>
      </x:c>
      <x:c r="H1102" s="28" t="str">
        <x:v>Exclude/incidental</x:v>
      </x:c>
      <x:c r="I1102" s="28" t="str">
        <x:v>ADHD appears peripheral or insufficiently aligned with the requested corpus scope based on accessible metadata/abstract.</x:v>
      </x:c>
      <x:c r="J1102" s="38" t="e">
        <x:f>HYPERLINK("https://pubmed.ncbi.nlm.nih.gov/"&amp;C1102&amp;"/","Open PubMed")</x:f>
        <x:v>HYPERLINK is not implemented. linkLocation=https://pubmed.ncbi.nlm.nih.gov/20446885/, friendlyName=Open PubMed</x:v>
      </x:c>
    </x:row>
    <x:row r="1103">
      <x:c r="A1103" s="26" t="str">
        <x:v>PUBMED-20446882</x:v>
      </x:c>
      <x:c r="B1103" s="26" t="n">
        <x:v>2010</x:v>
      </x:c>
      <x:c r="C1103" s="26" t="str">
        <x:v>20446882</x:v>
      </x:c>
      <x:c r="D1103" s="28" t="str">
        <x:v>Do candidate genes discriminate patients with an autism spectrum disorder from those with attention deficit/hyperactivity disorder and is there an effect of lifetime substance use disorders?</x:v>
      </x:c>
      <x:c r="E1103" s="28" t="str">
        <x:v>Primary/contextual journal article</x:v>
      </x:c>
      <x:c r="F1103" s="28" t="str">
        <x:v>Development &amp; presentation; Recognition &amp; diagnosis; Social &amp; structural; Life outcomes &amp; lived experience; Historical &amp; contemporary context</x:v>
      </x:c>
      <x:c r="G1103" s="28" t="str">
        <x:v>Childhood; Adulthood</x:v>
      </x:c>
      <x:c r="H1103" s="28" t="str">
        <x:v>Later specialized</x:v>
      </x:c>
      <x:c r="I1103" s="28" t="str">
        <x:v>Direct or strongly ADHD-related record retained for later screening; typically narrower treatment, biomarker, mechanistic, or single-comorbidity focus.</x:v>
      </x:c>
      <x:c r="J1103" s="38" t="e">
        <x:f>HYPERLINK("https://pubmed.ncbi.nlm.nih.gov/"&amp;C1103&amp;"/","Open PubMed")</x:f>
        <x:v>HYPERLINK is not implemented. linkLocation=https://pubmed.ncbi.nlm.nih.gov/20446882/, friendlyName=Open PubMed</x:v>
      </x:c>
    </x:row>
    <x:row r="1104">
      <x:c r="A1104" s="26" t="str">
        <x:v>PUBMED-20445836</x:v>
      </x:c>
      <x:c r="B1104" s="26" t="n">
        <x:v>2010</x:v>
      </x:c>
      <x:c r="C1104" s="26" t="str">
        <x:v>20445836</x:v>
      </x:c>
      <x:c r="D1104" s="28" t="str">
        <x:v>Personality disorders in ADHD Part 2: The effect of symptoms of personality disorder on response to treatment with OROS methylphenidate in adults with ADHD.</x:v>
      </x:c>
      <x:c r="E1104" s="28" t="str">
        <x:v>Primary/contextual journal article</x:v>
      </x:c>
      <x:c r="F1104" s="28" t="str">
        <x:v>Development &amp; presentation; Recognition &amp; diagnosis; Social &amp; structural; Treatment &amp; support; Life outcomes &amp; lived experience</x:v>
      </x:c>
      <x:c r="G1104" s="28" t="str">
        <x:v>Adulthood</x:v>
      </x:c>
      <x:c r="H1104" s="28" t="str">
        <x:v>Later specialized</x:v>
      </x:c>
      <x:c r="I1104" s="28" t="str">
        <x:v>Direct or strongly ADHD-related record retained for later screening; typically narrower treatment, biomarker, mechanistic, or single-comorbidity focus.</x:v>
      </x:c>
      <x:c r="J1104" s="38" t="e">
        <x:f>HYPERLINK("https://pubmed.ncbi.nlm.nih.gov/"&amp;C1104&amp;"/","Open PubMed")</x:f>
        <x:v>HYPERLINK is not implemented. linkLocation=https://pubmed.ncbi.nlm.nih.gov/20445836/, friendlyName=Open PubMed</x:v>
      </x:c>
    </x:row>
    <x:row r="1105">
      <x:c r="A1105" s="26" t="str">
        <x:v>PUBMED-20440244</x:v>
      </x:c>
      <x:c r="B1105" s="26" t="n">
        <x:v>2010</x:v>
      </x:c>
      <x:c r="C1105" s="26" t="str">
        <x:v>20440244</x:v>
      </x:c>
      <x:c r="D1105" s="28" t="str">
        <x:v>Niaprazine may improve some symptoms of attention-deficit hyperactivity disorder.</x:v>
      </x:c>
      <x:c r="E1105" s="28" t="str">
        <x:v>Other/unclear</x:v>
      </x:c>
      <x:c r="F1105" s="28" t="str">
        <x:v>Development &amp; presentation; Treatment &amp; support</x:v>
      </x:c>
      <x:c r="G1105" s="28" t="str">
        <x:v>Adolescence</x:v>
      </x:c>
      <x:c r="H1105" s="28" t="str">
        <x:v>Later specialized</x:v>
      </x:c>
      <x:c r="I1105" s="28" t="str">
        <x:v>Direct or strongly ADHD-related record retained for later screening; typically narrower treatment, biomarker, mechanistic, or single-comorbidity focus.</x:v>
      </x:c>
      <x:c r="J1105" s="38" t="e">
        <x:f>HYPERLINK("https://pubmed.ncbi.nlm.nih.gov/"&amp;C1105&amp;"/","Open PubMed")</x:f>
        <x:v>HYPERLINK is not implemented. linkLocation=https://pubmed.ncbi.nlm.nih.gov/20440244/, friendlyName=Open PubMed</x:v>
      </x:c>
    </x:row>
    <x:row r="1106">
      <x:c r="A1106" s="26" t="str">
        <x:v>PUBMED-20434321</x:v>
      </x:c>
      <x:c r="B1106" s="26" t="n">
        <x:v>2010</x:v>
      </x:c>
      <x:c r="C1106" s="26" t="str">
        <x:v>20434321</x:v>
      </x:c>
      <x:c r="D1106" s="28" t="str">
        <x:v>Involvement of omega-3 fatty acids in emotional responses and hyperactive symptoms.</x:v>
      </x:c>
      <x:c r="E1106" s="28" t="str">
        <x:v>Evidence synthesis - review</x:v>
      </x:c>
      <x:c r="F1106" s="28" t="str">
        <x:v>Development &amp; presentation; Social &amp; structural; Environmental &amp; lifestyle; Treatment &amp; support</x:v>
      </x:c>
      <x:c r="G1106" s="28" t="str">
        <x:v>Not specified</x:v>
      </x:c>
      <x:c r="H1106" s="28" t="str">
        <x:v>Later specialized</x:v>
      </x:c>
      <x:c r="I1106" s="28" t="str">
        <x:v>Direct or strongly ADHD-related record retained for later screening; typically narrower treatment, biomarker, mechanistic, or single-comorbidity focus.</x:v>
      </x:c>
      <x:c r="J1106" s="38" t="e">
        <x:f>HYPERLINK("https://pubmed.ncbi.nlm.nih.gov/"&amp;C1106&amp;"/","Open PubMed")</x:f>
        <x:v>HYPERLINK is not implemented. linkLocation=https://pubmed.ncbi.nlm.nih.gov/20434321/, friendlyName=Open PubMed</x:v>
      </x:c>
    </x:row>
    <x:row r="1107">
      <x:c r="A1107" s="26" t="str">
        <x:v>PUBMED-20431104</x:v>
      </x:c>
      <x:c r="B1107" s="26" t="n">
        <x:v>2010</x:v>
      </x:c>
      <x:c r="C1107" s="26" t="str">
        <x:v>20431104</x:v>
      </x:c>
      <x:c r="D1107" s="28" t="str">
        <x:v>Prevalence of ADHD diagnosis and nonmedical prescription stimulant use in medical students.</x:v>
      </x:c>
      <x:c r="E1107" s="28" t="str">
        <x:v>Primary/contextual journal article</x:v>
      </x:c>
      <x:c r="F1107" s="28" t="str">
        <x:v>Development &amp; presentation; Recognition &amp; diagnosis; Family &amp; education; Treatment &amp; support; Historical &amp; contemporary context</x:v>
      </x:c>
      <x:c r="G1107" s="28" t="str">
        <x:v>Childhood; Adulthood</x:v>
      </x:c>
      <x:c r="H1107" s="28" t="str">
        <x:v>Later specialized</x:v>
      </x:c>
      <x:c r="I1107" s="28" t="str">
        <x:v>Direct or strongly ADHD-related record retained for later screening; typically narrower treatment, biomarker, mechanistic, or single-comorbidity focus.</x:v>
      </x:c>
      <x:c r="J1107" s="38" t="e">
        <x:f>HYPERLINK("https://pubmed.ncbi.nlm.nih.gov/"&amp;C1107&amp;"/","Open PubMed")</x:f>
        <x:v>HYPERLINK is not implemented. linkLocation=https://pubmed.ncbi.nlm.nih.gov/20431104/, friendlyName=Open PubMed</x:v>
      </x:c>
    </x:row>
    <x:row r="1108">
      <x:c r="A1108" s="26" t="str">
        <x:v>PUBMED-20425295</x:v>
      </x:c>
      <x:c r="B1108" s="26" t="n">
        <x:v>2010</x:v>
      </x:c>
      <x:c r="C1108" s="26" t="str">
        <x:v>20425295</x:v>
      </x:c>
      <x:c r="D1108" s="28" t="str">
        <x:v>Peripheral vasculopathy associated with psychostimulant treatment in children with attention-deficit/hyperactivity disorder.</x:v>
      </x:c>
      <x:c r="E1108" s="28" t="str">
        <x:v>Primary/contextual journal article</x:v>
      </x:c>
      <x:c r="F1108" s="28" t="str">
        <x:v>Development &amp; presentation; Social &amp; structural; Treatment &amp; support; Life outcomes &amp; lived experience</x:v>
      </x:c>
      <x:c r="G1108" s="28" t="str">
        <x:v>Childhood; Adolescence</x:v>
      </x:c>
      <x:c r="H1108" s="28" t="str">
        <x:v>Later specialized</x:v>
      </x:c>
      <x:c r="I1108" s="28" t="str">
        <x:v>Direct or strongly ADHD-related record retained for later screening; typically narrower treatment, biomarker, mechanistic, or single-comorbidity focus.</x:v>
      </x:c>
      <x:c r="J1108" s="38" t="e">
        <x:f>HYPERLINK("https://pubmed.ncbi.nlm.nih.gov/"&amp;C1108&amp;"/","Open PubMed")</x:f>
        <x:v>HYPERLINK is not implemented. linkLocation=https://pubmed.ncbi.nlm.nih.gov/20425295/, friendlyName=Open PubMed</x:v>
      </x:c>
    </x:row>
    <x:row r="1109">
      <x:c r="A1109" s="26" t="str">
        <x:v>PUBMED-20422835</x:v>
      </x:c>
      <x:c r="B1109" s="26" t="n">
        <x:v>2010</x:v>
      </x:c>
      <x:c r="C1109" s="26" t="str">
        <x:v>20422835</x:v>
      </x:c>
      <x:c r="D1109" s="28" t="str">
        <x:v>[The utility of a continuous performance test embedded in virtual reality in measuring the effectiveness of MPH treatment in boys with ADHD].</x:v>
      </x:c>
      <x:c r="E1109" s="28" t="str">
        <x:v>Primary/contextual journal article</x:v>
      </x:c>
      <x:c r="F1109" s="28" t="str">
        <x:v>Development &amp; presentation; Recognition &amp; diagnosis; Family &amp; education; Social &amp; structural; Environmental &amp; lifestyle; Treatment &amp; support</x:v>
      </x:c>
      <x:c r="G1109" s="28" t="str">
        <x:v>Childhood; Adolescence; Adulthood</x:v>
      </x:c>
      <x:c r="H1109" s="28" t="str">
        <x:v>Later specialized</x:v>
      </x:c>
      <x:c r="I1109" s="28" t="str">
        <x:v>Direct or strongly ADHD-related record retained for later screening; typically narrower treatment, biomarker, mechanistic, or single-comorbidity focus.</x:v>
      </x:c>
      <x:c r="J1109" s="38" t="e">
        <x:f>HYPERLINK("https://pubmed.ncbi.nlm.nih.gov/"&amp;C1109&amp;"/","Open PubMed")</x:f>
        <x:v>HYPERLINK is not implemented. linkLocation=https://pubmed.ncbi.nlm.nih.gov/20422835/, friendlyName=Open PubMed</x:v>
      </x:c>
    </x:row>
    <x:row r="1110">
      <x:c r="A1110" s="26" t="str">
        <x:v>PUBMED-20419462</x:v>
      </x:c>
      <x:c r="B1110" s="26" t="n">
        <x:v>2010</x:v>
      </x:c>
      <x:c r="C1110" s="26" t="str">
        <x:v>20419462</x:v>
      </x:c>
      <x:c r="D1110" s="28" t="str">
        <x:v>The prevalence of SDQ-measured mental health problems at age 5-7 years and identification of predictors from birth to preschool age in a Danish birth cohort: the Copenhagen Child Cohort 2000.</x:v>
      </x:c>
      <x:c r="E1110" s="28" t="str">
        <x:v>Primary study - cohort</x:v>
      </x:c>
      <x:c r="F1110" s="28" t="str">
        <x:v>Development &amp; presentation; Recognition &amp; diagnosis; Family &amp; education; Social &amp; structural; Environmental &amp; lifestyle</x:v>
      </x:c>
      <x:c r="G1110" s="28" t="str">
        <x:v>Childhood</x:v>
      </x:c>
      <x:c r="H1110" s="28" t="str">
        <x:v>Exclude/incidental</x:v>
      </x:c>
      <x:c r="I1110" s="28" t="str">
        <x:v>ADHD appears peripheral or insufficiently aligned with the requested corpus scope based on accessible metadata/abstract.</x:v>
      </x:c>
      <x:c r="J1110" s="38" t="e">
        <x:f>HYPERLINK("https://pubmed.ncbi.nlm.nih.gov/"&amp;C1110&amp;"/","Open PubMed")</x:f>
        <x:v>HYPERLINK is not implemented. linkLocation=https://pubmed.ncbi.nlm.nih.gov/20419462/, friendlyName=Open PubMed</x:v>
      </x:c>
    </x:row>
    <x:row r="1111">
      <x:c r="A1111" s="26" t="str">
        <x:v>PUBMED-20412260</x:v>
      </x:c>
      <x:c r="B1111" s="26" t="n">
        <x:v>2010</x:v>
      </x:c>
      <x:c r="C1111" s="26" t="str">
        <x:v>20412260</x:v>
      </x:c>
      <x:c r="D1111" s="28" t="str">
        <x:v>Factor structure of paediatric timed motor examination and its relationship with IQ.</x:v>
      </x:c>
      <x:c r="E1111" s="28" t="str">
        <x:v>Primary/contextual journal article</x:v>
      </x:c>
      <x:c r="F1111" s="28" t="str">
        <x:v>Development &amp; presentation; Recognition &amp; diagnosis; Family &amp; education; Social &amp; structural; Life outcomes &amp; lived experience</x:v>
      </x:c>
      <x:c r="G1111" s="28" t="str">
        <x:v>Childhood; Adolescence</x:v>
      </x:c>
      <x:c r="H1111" s="28" t="str">
        <x:v>Exclude/incidental</x:v>
      </x:c>
      <x:c r="I1111" s="28" t="str">
        <x:v>ADHD appears peripheral or insufficiently aligned with the requested corpus scope based on accessible metadata/abstract.</x:v>
      </x:c>
      <x:c r="J1111" s="38" t="e">
        <x:f>HYPERLINK("https://pubmed.ncbi.nlm.nih.gov/"&amp;C1111&amp;"/","Open PubMed")</x:f>
        <x:v>HYPERLINK is not implemented. linkLocation=https://pubmed.ncbi.nlm.nih.gov/20412260/, friendlyName=Open PubMed</x:v>
      </x:c>
    </x:row>
    <x:row r="1112">
      <x:c r="A1112" s="26" t="str">
        <x:v>PUBMED-20410731</x:v>
      </x:c>
      <x:c r="B1112" s="26" t="n">
        <x:v>2010</x:v>
      </x:c>
      <x:c r="C1112" s="26" t="str">
        <x:v>20410731</x:v>
      </x:c>
      <x:c r="D1112" s="28" t="str">
        <x:v>Clinical, demographic, and familial correlates of bipolar spectrum disorders among offspring of parents with bipolar disorder.</x:v>
      </x:c>
      <x:c r="E1112" s="28" t="str">
        <x:v>Primary/contextual journal article</x:v>
      </x:c>
      <x:c r="F1112" s="28" t="str">
        <x:v>Development &amp; presentation; Recognition &amp; diagnosis; Family &amp; education; Social &amp; structural; Environmental &amp; lifestyle; Treatment &amp; support; Historical &amp; contemporary context</x:v>
      </x:c>
      <x:c r="G1112" s="28" t="str">
        <x:v>Childhood; Adolescence; Adulthood</x:v>
      </x:c>
      <x:c r="H1112" s="28" t="str">
        <x:v>Later specialized</x:v>
      </x:c>
      <x:c r="I1112" s="28" t="str">
        <x:v>Direct or strongly ADHD-related record retained for later screening; typically narrower treatment, biomarker, mechanistic, or single-comorbidity focus.</x:v>
      </x:c>
      <x:c r="J1112" s="38" t="e">
        <x:f>HYPERLINK("https://pubmed.ncbi.nlm.nih.gov/"&amp;C1112&amp;"/","Open PubMed")</x:f>
        <x:v>HYPERLINK is not implemented. linkLocation=https://pubmed.ncbi.nlm.nih.gov/20410731/, friendlyName=Open PubMed</x:v>
      </x:c>
    </x:row>
    <x:row r="1113">
      <x:c r="A1113" s="26" t="str">
        <x:v>PUBMED-20410727</x:v>
      </x:c>
      <x:c r="B1113" s="26" t="n">
        <x:v>2010</x:v>
      </x:c>
      <x:c r="C1113" s="26" t="str">
        <x:v>20410727</x:v>
      </x:c>
      <x:c r="D1113" s="28" t="str">
        <x:v>Beyond the dual pathway model: evidence for the dissociation of timing, inhibitory, and delay-related impairments in attention-deficit/hyperactivity disorder.</x:v>
      </x:c>
      <x:c r="E1113" s="28" t="str">
        <x:v>Primary/contextual journal article</x:v>
      </x:c>
      <x:c r="F1113" s="28" t="str">
        <x:v>Development &amp; presentation; Social &amp; structural</x:v>
      </x:c>
      <x:c r="G1113" s="28" t="str">
        <x:v>Childhood</x:v>
      </x:c>
      <x:c r="H1113" s="28" t="str">
        <x:v>Later specialized</x:v>
      </x:c>
      <x:c r="I1113" s="28" t="str">
        <x:v>Direct or strongly ADHD-related record retained for later screening; typically narrower treatment, biomarker, mechanistic, or single-comorbidity focus.</x:v>
      </x:c>
      <x:c r="J1113" s="38" t="e">
        <x:f>HYPERLINK("https://pubmed.ncbi.nlm.nih.gov/"&amp;C1113&amp;"/","Open PubMed")</x:f>
        <x:v>HYPERLINK is not implemented. linkLocation=https://pubmed.ncbi.nlm.nih.gov/20410727/, friendlyName=Open PubMed</x:v>
      </x:c>
    </x:row>
    <x:row r="1114">
      <x:c r="A1114" s="26" t="str">
        <x:v>PUBMED-20404407</x:v>
      </x:c>
      <x:c r="B1114" s="26" t="n">
        <x:v>2010</x:v>
      </x:c>
      <x:c r="C1114" s="26" t="str">
        <x:v>20404407</x:v>
      </x:c>
      <x:c r="D1114" s="28" t="str">
        <x:v>Attentional enhancements and deficits in deaf populations: an integrative review.</x:v>
      </x:c>
      <x:c r="E1114" s="28" t="str">
        <x:v>Evidence synthesis - review</x:v>
      </x:c>
      <x:c r="F1114" s="28" t="str">
        <x:v>Development &amp; presentation; Family &amp; education; Social &amp; structural; Treatment &amp; support</x:v>
      </x:c>
      <x:c r="G1114" s="28" t="str">
        <x:v>Childhood; Adulthood</x:v>
      </x:c>
      <x:c r="H1114" s="28" t="str">
        <x:v>Exclude/incidental</x:v>
      </x:c>
      <x:c r="I1114" s="28" t="str">
        <x:v>ADHD appears peripheral or insufficiently aligned with the requested corpus scope based on accessible metadata/abstract.</x:v>
      </x:c>
      <x:c r="J1114" s="38" t="e">
        <x:f>HYPERLINK("https://pubmed.ncbi.nlm.nih.gov/"&amp;C1114&amp;"/","Open PubMed")</x:f>
        <x:v>HYPERLINK is not implemented. linkLocation=https://pubmed.ncbi.nlm.nih.gov/20404407/, friendlyName=Open PubMed</x:v>
      </x:c>
    </x:row>
    <x:row r="1115">
      <x:c r="A1115" s="26" t="str">
        <x:v>PUBMED-20399344</x:v>
      </x:c>
      <x:c r="B1115" s="26" t="n">
        <x:v>2010</x:v>
      </x:c>
      <x:c r="C1115" s="26" t="str">
        <x:v>20399344</x:v>
      </x:c>
      <x:c r="D1115" s="28" t="str">
        <x:v>An aid for diagnosing attention-deficit/hyperactivity disorder at adulthood: psychometric properties of the French versions of two Wender Utah Rating Scales (WURS-25 and WURS-K).</x:v>
      </x:c>
      <x:c r="E1115" s="28" t="str">
        <x:v>Primary/contextual journal article</x:v>
      </x:c>
      <x:c r="F1115" s="28" t="str">
        <x:v>Development &amp; presentation; Recognition &amp; diagnosis; Social &amp; structural</x:v>
      </x:c>
      <x:c r="G1115" s="28" t="str">
        <x:v>Childhood; Adulthood</x:v>
      </x:c>
      <x:c r="H1115" s="28" t="str">
        <x:v>Later specialized</x:v>
      </x:c>
      <x:c r="I1115" s="28" t="str">
        <x:v>Direct or strongly ADHD-related record retained for later screening; typically narrower treatment, biomarker, mechanistic, or single-comorbidity focus.</x:v>
      </x:c>
      <x:c r="J1115" s="38" t="e">
        <x:f>HYPERLINK("https://pubmed.ncbi.nlm.nih.gov/"&amp;C1115&amp;"/","Open PubMed")</x:f>
        <x:v>HYPERLINK is not implemented. linkLocation=https://pubmed.ncbi.nlm.nih.gov/20399344/, friendlyName=Open PubMed</x:v>
      </x:c>
    </x:row>
    <x:row r="1116">
      <x:c r="A1116" s="26" t="str">
        <x:v>PUBMED-20398347</x:v>
      </x:c>
      <x:c r="B1116" s="26" t="n">
        <x:v>2010</x:v>
      </x:c>
      <x:c r="C1116" s="26" t="str">
        <x:v>20398347</x:v>
      </x:c>
      <x:c r="D1116" s="28" t="str">
        <x:v>Gene x environment interactions for ADHD: synergistic effect of 5HTTLPR genotype and youth appraisals of inter-parental conflict.</x:v>
      </x:c>
      <x:c r="E1116" s="28" t="str">
        <x:v>Primary/contextual journal article</x:v>
      </x:c>
      <x:c r="F1116" s="28" t="str">
        <x:v>Development &amp; presentation; Recognition &amp; diagnosis; Family &amp; education; Social &amp; structural; Environmental &amp; lifestyle; Treatment &amp; support; Life outcomes &amp; lived experience</x:v>
      </x:c>
      <x:c r="G1116" s="28" t="str">
        <x:v>Childhood; Adolescence</x:v>
      </x:c>
      <x:c r="H1116" s="28" t="str">
        <x:v>Later specialized</x:v>
      </x:c>
      <x:c r="I1116" s="28" t="str">
        <x:v>Direct or strongly ADHD-related record retained for later screening; typically narrower treatment, biomarker, mechanistic, or single-comorbidity focus.</x:v>
      </x:c>
      <x:c r="J1116" s="38" t="e">
        <x:f>HYPERLINK("https://pubmed.ncbi.nlm.nih.gov/"&amp;C1116&amp;"/","Open PubMed")</x:f>
        <x:v>HYPERLINK is not implemented. linkLocation=https://pubmed.ncbi.nlm.nih.gov/20398347/, friendlyName=Open PubMed</x:v>
      </x:c>
    </x:row>
    <x:row r="1117">
      <x:c r="A1117" s="26" t="str">
        <x:v>PUBMED-20385342</x:v>
      </x:c>
      <x:c r="B1117" s="26" t="n">
        <x:v>2010</x:v>
      </x:c>
      <x:c r="C1117" s="26" t="str">
        <x:v>20385342</x:v>
      </x:c>
      <x:c r="D1117" s="28" t="str">
        <x:v>Gender differences in attention-deficit/hyperactivity disorder.</x:v>
      </x:c>
      <x:c r="E1117" s="28" t="str">
        <x:v>Evidence synthesis - review</x:v>
      </x:c>
      <x:c r="F1117" s="28" t="str">
        <x:v>Development &amp; presentation; Recognition &amp; diagnosis; Social &amp; structural; Treatment &amp; support; Life outcomes &amp; lived experience</x:v>
      </x:c>
      <x:c r="G1117" s="28" t="str">
        <x:v>Childhood; Adolescence; Adulthood</x:v>
      </x:c>
      <x:c r="H1117" s="28" t="str">
        <x:v>Later specialized</x:v>
      </x:c>
      <x:c r="I1117" s="28" t="str">
        <x:v>Direct or strongly ADHD-related record retained for later screening; typically narrower treatment, biomarker, mechanistic, or single-comorbidity focus.</x:v>
      </x:c>
      <x:c r="J1117" s="38" t="e">
        <x:f>HYPERLINK("https://pubmed.ncbi.nlm.nih.gov/"&amp;C1117&amp;"/","Open PubMed")</x:f>
        <x:v>HYPERLINK is not implemented. linkLocation=https://pubmed.ncbi.nlm.nih.gov/20385342/, friendlyName=Open PubMed</x:v>
      </x:c>
    </x:row>
    <x:row r="1118">
      <x:c r="A1118" s="26" t="str">
        <x:v>PUBMED-20382071</x:v>
      </x:c>
      <x:c r="B1118" s="26" t="n">
        <x:v>2010</x:v>
      </x:c>
      <x:c r="C1118" s="26" t="str">
        <x:v>20382071</x:v>
      </x:c>
      <x:c r="D1118" s="28" t="str">
        <x:v>EEG-vigilance and response to stimulants in paediatric patients with attention deficit/hyperactivity disorder.</x:v>
      </x:c>
      <x:c r="E1118" s="28" t="str">
        <x:v>Primary study - clinical trial</x:v>
      </x:c>
      <x:c r="F1118" s="28" t="str">
        <x:v>Development &amp; presentation; Recognition &amp; diagnosis; Social &amp; structural; Environmental &amp; lifestyle; Treatment &amp; support; Life outcomes &amp; lived experience</x:v>
      </x:c>
      <x:c r="G1118" s="28" t="str">
        <x:v>Childhood; Adolescence</x:v>
      </x:c>
      <x:c r="H1118" s="28" t="str">
        <x:v>Later specialized</x:v>
      </x:c>
      <x:c r="I1118" s="28" t="str">
        <x:v>Direct or strongly ADHD-related record retained for later screening; typically narrower treatment, biomarker, mechanistic, or single-comorbidity focus.</x:v>
      </x:c>
      <x:c r="J1118" s="38" t="e">
        <x:f>HYPERLINK("https://pubmed.ncbi.nlm.nih.gov/"&amp;C1118&amp;"/","Open PubMed")</x:f>
        <x:v>HYPERLINK is not implemented. linkLocation=https://pubmed.ncbi.nlm.nih.gov/20382071/, friendlyName=Open PubMed</x:v>
      </x:c>
    </x:row>
    <x:row r="1119">
      <x:c r="A1119" s="26" t="str">
        <x:v>PUBMED-20381522</x:v>
      </x:c>
      <x:c r="B1119" s="26" t="n">
        <x:v>2010</x:v>
      </x:c>
      <x:c r="C1119" s="26" t="str">
        <x:v>20381522</x:v>
      </x:c>
      <x:c r="D1119" s="28" t="str">
        <x:v>What are the cognitive effects of stimulant medications? Emphasis on adults with attention-deficit/hyperactivity disorder (ADHD).</x:v>
      </x:c>
      <x:c r="E1119" s="28" t="str">
        <x:v>Evidence synthesis - review</x:v>
      </x:c>
      <x:c r="F1119" s="28" t="str">
        <x:v>Development &amp; presentation; Recognition &amp; diagnosis; Family &amp; education; Social &amp; structural; Treatment &amp; support</x:v>
      </x:c>
      <x:c r="G1119" s="28" t="str">
        <x:v>Childhood; Adolescence; Adulthood</x:v>
      </x:c>
      <x:c r="H1119" s="28" t="str">
        <x:v>Later specialized</x:v>
      </x:c>
      <x:c r="I1119" s="28" t="str">
        <x:v>Direct or strongly ADHD-related record retained for later screening; typically narrower treatment, biomarker, mechanistic, or single-comorbidity focus.</x:v>
      </x:c>
      <x:c r="J1119" s="38" t="e">
        <x:f>HYPERLINK("https://pubmed.ncbi.nlm.nih.gov/"&amp;C1119&amp;"/","Open PubMed")</x:f>
        <x:v>HYPERLINK is not implemented. linkLocation=https://pubmed.ncbi.nlm.nih.gov/20381522/, friendlyName=Open PubMed</x:v>
      </x:c>
    </x:row>
    <x:row r="1120">
      <x:c r="A1120" s="26" t="str">
        <x:v>PUBMED-20362016</x:v>
      </x:c>
      <x:c r="B1120" s="26" t="n">
        <x:v>2010</x:v>
      </x:c>
      <x:c r="C1120" s="26" t="str">
        <x:v>20362016</x:v>
      </x:c>
      <x:c r="D1120" s="28" t="str">
        <x:v>Varying required effort during interference control in children with AD/HD: task performance and ERPs.</x:v>
      </x:c>
      <x:c r="E1120" s="28" t="str">
        <x:v>Primary study - case-control</x:v>
      </x:c>
      <x:c r="F1120" s="28" t="str">
        <x:v>Development &amp; presentation</x:v>
      </x:c>
      <x:c r="G1120" s="28" t="str">
        <x:v>Childhood; Adolescence</x:v>
      </x:c>
      <x:c r="H1120" s="28" t="str">
        <x:v>Exclude/incidental</x:v>
      </x:c>
      <x:c r="I1120" s="28" t="str">
        <x:v>ADHD appears peripheral or insufficiently aligned with the requested corpus scope based on accessible metadata/abstract.</x:v>
      </x:c>
      <x:c r="J1120" s="38" t="e">
        <x:f>HYPERLINK("https://pubmed.ncbi.nlm.nih.gov/"&amp;C1120&amp;"/","Open PubMed")</x:f>
        <x:v>HYPERLINK is not implemented. linkLocation=https://pubmed.ncbi.nlm.nih.gov/20362016/, friendlyName=Open PubMed</x:v>
      </x:c>
    </x:row>
    <x:row r="1121">
      <x:c r="A1121" s="26" t="str">
        <x:v>PUBMED-20361900</x:v>
      </x:c>
      <x:c r="B1121" s="26" t="n">
        <x:v>2010</x:v>
      </x:c>
      <x:c r="C1121" s="26" t="str">
        <x:v>20361900</x:v>
      </x:c>
      <x:c r="D1121" s="28" t="str">
        <x:v>Moderators and mediators of symptoms and quality of life outcomes in an open-label study of adults treated for attention-deficit/hyperactivity disorder.</x:v>
      </x:c>
      <x:c r="E1121" s="28" t="str">
        <x:v>Primary/contextual journal article</x:v>
      </x:c>
      <x:c r="F1121" s="28" t="str">
        <x:v>Development &amp; presentation; Recognition &amp; diagnosis; Social &amp; structural; Treatment &amp; support; Life outcomes &amp; lived experience</x:v>
      </x:c>
      <x:c r="G1121" s="28" t="str">
        <x:v>Adulthood</x:v>
      </x:c>
      <x:c r="H1121" s="28" t="str">
        <x:v>Later specialized</x:v>
      </x:c>
      <x:c r="I1121" s="28" t="str">
        <x:v>Direct or strongly ADHD-related record retained for later screening; typically narrower treatment, biomarker, mechanistic, or single-comorbidity focus.</x:v>
      </x:c>
      <x:c r="J1121" s="38" t="e">
        <x:f>HYPERLINK("https://pubmed.ncbi.nlm.nih.gov/"&amp;C1121&amp;"/","Open PubMed")</x:f>
        <x:v>HYPERLINK is not implemented. linkLocation=https://pubmed.ncbi.nlm.nih.gov/20361900/, friendlyName=Open PubMed</x:v>
      </x:c>
    </x:row>
    <x:row r="1122">
      <x:c r="A1122" s="26" t="str">
        <x:v>PUBMED-20349365</x:v>
      </x:c>
      <x:c r="B1122" s="26" t="n">
        <x:v>2010</x:v>
      </x:c>
      <x:c r="C1122" s="26" t="str">
        <x:v>20349365</x:v>
      </x:c>
      <x:c r="D1122" s="28" t="str">
        <x:v>Improving intelligence: a literature review.</x:v>
      </x:c>
      <x:c r="E1122" s="28" t="str">
        <x:v>Evidence synthesis - review</x:v>
      </x:c>
      <x:c r="F1122" s="28" t="str">
        <x:v>Development &amp; presentation; Recognition &amp; diagnosis; Family &amp; education; Social &amp; structural; Treatment &amp; support; Life outcomes &amp; lived experience</x:v>
      </x:c>
      <x:c r="G1122" s="28" t="str">
        <x:v>Childhood; Adolescence; Adulthood</x:v>
      </x:c>
      <x:c r="H1122" s="28" t="str">
        <x:v>Exclude/incidental</x:v>
      </x:c>
      <x:c r="I1122" s="28" t="str">
        <x:v>ADHD appears peripheral or insufficiently aligned with the requested corpus scope based on accessible metadata/abstract.</x:v>
      </x:c>
      <x:c r="J1122" s="38" t="e">
        <x:f>HYPERLINK("https://pubmed.ncbi.nlm.nih.gov/"&amp;C1122&amp;"/","Open PubMed")</x:f>
        <x:v>HYPERLINK is not implemented. linkLocation=https://pubmed.ncbi.nlm.nih.gov/20349365/, friendlyName=Open PubMed</x:v>
      </x:c>
    </x:row>
    <x:row r="1123">
      <x:c r="A1123" s="26" t="str">
        <x:v>PUBMED-20348183</x:v>
      </x:c>
      <x:c r="B1123" s="26" t="n">
        <x:v>2010</x:v>
      </x:c>
      <x:c r="C1123" s="26" t="str">
        <x:v>20348183</x:v>
      </x:c>
      <x:c r="D1123" s="28" t="str">
        <x:v>Is ADHD a valid diagnosis in adults? No.</x:v>
      </x:c>
      <x:c r="E1123" s="28" t="str">
        <x:v>Contextual - editorial/comment</x:v>
      </x:c>
      <x:c r="F1123" s="28" t="str">
        <x:v>Development &amp; presentation; Recognition &amp; diagnosis; Treatment &amp; support</x:v>
      </x:c>
      <x:c r="G1123" s="28" t="str">
        <x:v>Adulthood</x:v>
      </x:c>
      <x:c r="H1123" s="28" t="str">
        <x:v>Later specialized</x:v>
      </x:c>
      <x:c r="I1123" s="28" t="str">
        <x:v>Direct or strongly ADHD-related record retained for later screening; typically narrower treatment, biomarker, mechanistic, or single-comorbidity focus.</x:v>
      </x:c>
      <x:c r="J1123" s="38" t="e">
        <x:f>HYPERLINK("https://pubmed.ncbi.nlm.nih.gov/"&amp;C1123&amp;"/","Open PubMed")</x:f>
        <x:v>HYPERLINK is not implemented. linkLocation=https://pubmed.ncbi.nlm.nih.gov/20348183/, friendlyName=Open PubMed</x:v>
      </x:c>
    </x:row>
    <x:row r="1124">
      <x:c r="A1124" s="26" t="str">
        <x:v>PUBMED-20347161</x:v>
      </x:c>
      <x:c r="B1124" s="26" t="n">
        <x:v>2010</x:v>
      </x:c>
      <x:c r="C1124" s="26" t="str">
        <x:v>20347161</x:v>
      </x:c>
      <x:c r="D1124" s="28" t="str">
        <x:v>Auditory and cognitive abilities of children suspected of auditory processing disorder (APD).</x:v>
      </x:c>
      <x:c r="E1124" s="28" t="str">
        <x:v>Primary/contextual journal article</x:v>
      </x:c>
      <x:c r="F1124" s="28" t="str">
        <x:v>Development &amp; presentation; Recognition &amp; diagnosis; Family &amp; education; Social &amp; structural; Environmental &amp; lifestyle</x:v>
      </x:c>
      <x:c r="G1124" s="28" t="str">
        <x:v>Childhood</x:v>
      </x:c>
      <x:c r="H1124" s="28" t="str">
        <x:v>Later specialized</x:v>
      </x:c>
      <x:c r="I1124" s="28" t="str">
        <x:v>Direct or strongly ADHD-related record retained for later screening; typically narrower treatment, biomarker, mechanistic, or single-comorbidity focus.</x:v>
      </x:c>
      <x:c r="J1124" s="38" t="e">
        <x:f>HYPERLINK("https://pubmed.ncbi.nlm.nih.gov/"&amp;C1124&amp;"/","Open PubMed")</x:f>
        <x:v>HYPERLINK is not implemented. linkLocation=https://pubmed.ncbi.nlm.nih.gov/20347161/, friendlyName=Open PubMed</x:v>
      </x:c>
    </x:row>
    <x:row r="1125">
      <x:c r="A1125" s="26" t="str">
        <x:v>PUBMED-20339867</x:v>
      </x:c>
      <x:c r="B1125" s="26" t="n">
        <x:v>2010</x:v>
      </x:c>
      <x:c r="C1125" s="26" t="str">
        <x:v>20339867</x:v>
      </x:c>
      <x:c r="D1125" s="28" t="str">
        <x:v>Attention-deficit hyperactive disorder in school-aged children in Saudi Arabia.</x:v>
      </x:c>
      <x:c r="E1125" s="28" t="str">
        <x:v>Primary/contextual journal article</x:v>
      </x:c>
      <x:c r="F1125" s="28" t="str">
        <x:v>Development &amp; presentation; Recognition &amp; diagnosis; Family &amp; education; Social &amp; structural</x:v>
      </x:c>
      <x:c r="G1125" s="28" t="str">
        <x:v>Childhood</x:v>
      </x:c>
      <x:c r="H1125" s="28" t="str">
        <x:v>Later specialized</x:v>
      </x:c>
      <x:c r="I1125" s="28" t="str">
        <x:v>Direct or strongly ADHD-related record retained for later screening; typically narrower treatment, biomarker, mechanistic, or single-comorbidity focus.</x:v>
      </x:c>
      <x:c r="J1125" s="38" t="e">
        <x:f>HYPERLINK("https://pubmed.ncbi.nlm.nih.gov/"&amp;C1125&amp;"/","Open PubMed")</x:f>
        <x:v>HYPERLINK is not implemented. linkLocation=https://pubmed.ncbi.nlm.nih.gov/20339867/, friendlyName=Open PubMed</x:v>
      </x:c>
    </x:row>
    <x:row r="1126">
      <x:c r="A1126" s="26" t="str">
        <x:v>PUBMED-20339804</x:v>
      </x:c>
      <x:c r="B1126" s="26" t="n">
        <x:v>2010</x:v>
      </x:c>
      <x:c r="C1126" s="26" t="str">
        <x:v>20339804</x:v>
      </x:c>
      <x:c r="D1126" s="28" t="str">
        <x:v>Hearing abilities in children with dyslexia and attention deficit hyperactivity disorder.</x:v>
      </x:c>
      <x:c r="E1126" s="28" t="str">
        <x:v>Primary study - case-control</x:v>
      </x:c>
      <x:c r="F1126" s="28" t="str">
        <x:v>Development &amp; presentation; Recognition &amp; diagnosis; Social &amp; structural; Treatment &amp; support; Life outcomes &amp; lived experience</x:v>
      </x:c>
      <x:c r="G1126" s="28" t="str">
        <x:v>Childhood</x:v>
      </x:c>
      <x:c r="H1126" s="28" t="str">
        <x:v>Later specialized</x:v>
      </x:c>
      <x:c r="I1126" s="28" t="str">
        <x:v>Direct or strongly ADHD-related record retained for later screening; typically narrower treatment, biomarker, mechanistic, or single-comorbidity focus.</x:v>
      </x:c>
      <x:c r="J1126" s="38" t="e">
        <x:f>HYPERLINK("https://pubmed.ncbi.nlm.nih.gov/"&amp;C1126&amp;"/","Open PubMed")</x:f>
        <x:v>HYPERLINK is not implemented. linkLocation=https://pubmed.ncbi.nlm.nih.gov/20339804/, friendlyName=Open PubMed</x:v>
      </x:c>
    </x:row>
    <x:row r="1127">
      <x:c r="A1127" s="26" t="str">
        <x:v>PUBMED-20336559</x:v>
      </x:c>
      <x:c r="B1127" s="26" t="n">
        <x:v>2010</x:v>
      </x:c>
      <x:c r="C1127" s="26" t="str">
        <x:v>20336559</x:v>
      </x:c>
      <x:c r="D1127" s="28" t="str">
        <x:v>Time-based prospective memory performance and time-monitoring in children with ADHD.</x:v>
      </x:c>
      <x:c r="E1127" s="28" t="str">
        <x:v>Primary/contextual journal article</x:v>
      </x:c>
      <x:c r="F1127" s="28" t="str">
        <x:v>Development &amp; presentation</x:v>
      </x:c>
      <x:c r="G1127" s="28" t="str">
        <x:v>Childhood</x:v>
      </x:c>
      <x:c r="H1127" s="28" t="str">
        <x:v>Later specialized</x:v>
      </x:c>
      <x:c r="I1127" s="28" t="str">
        <x:v>Direct or strongly ADHD-related record retained for later screening; typically narrower treatment, biomarker, mechanistic, or single-comorbidity focus.</x:v>
      </x:c>
      <x:c r="J1127" s="38" t="e">
        <x:f>HYPERLINK("https://pubmed.ncbi.nlm.nih.gov/"&amp;C1127&amp;"/","Open PubMed")</x:f>
        <x:v>HYPERLINK is not implemented. linkLocation=https://pubmed.ncbi.nlm.nih.gov/20336559/, friendlyName=Open PubMed</x:v>
      </x:c>
    </x:row>
    <x:row r="1128">
      <x:c r="A1128" s="26" t="str">
        <x:v>PUBMED-20332052</x:v>
      </x:c>
      <x:c r="B1128" s="26" t="n">
        <x:v>2010</x:v>
      </x:c>
      <x:c r="C1128" s="26" t="str">
        <x:v>20332052</x:v>
      </x:c>
      <x:c r="D1128" s="28" t="str">
        <x:v>H¹-MR-spectroscopy of cerebellum in adult attention deficit/hyperactivity disorder.</x:v>
      </x:c>
      <x:c r="E1128" s="28" t="str">
        <x:v>Primary study - case-control</x:v>
      </x:c>
      <x:c r="F1128" s="28" t="str">
        <x:v>Development &amp; presentation; Recognition &amp; diagnosis; Family &amp; education; Social &amp; structural; Treatment &amp; support</x:v>
      </x:c>
      <x:c r="G1128" s="28" t="str">
        <x:v>Adulthood</x:v>
      </x:c>
      <x:c r="H1128" s="28" t="str">
        <x:v>Later specialized</x:v>
      </x:c>
      <x:c r="I1128" s="28" t="str">
        <x:v>Direct or strongly ADHD-related record retained for later screening; typically narrower treatment, biomarker, mechanistic, or single-comorbidity focus.</x:v>
      </x:c>
      <x:c r="J1128" s="38" t="e">
        <x:f>HYPERLINK("https://pubmed.ncbi.nlm.nih.gov/"&amp;C1128&amp;"/","Open PubMed")</x:f>
        <x:v>HYPERLINK is not implemented. linkLocation=https://pubmed.ncbi.nlm.nih.gov/20332052/, friendlyName=Open PubMed</x:v>
      </x:c>
    </x:row>
    <x:row r="1129">
      <x:c r="A1129" s="26" t="str">
        <x:v>PUBMED-20331491</x:v>
      </x:c>
      <x:c r="B1129" s="26" t="n">
        <x:v>2010</x:v>
      </x:c>
      <x:c r="C1129" s="26" t="str">
        <x:v>20331491</x:v>
      </x:c>
      <x:c r="D1129" s="28" t="str">
        <x:v>Mother-child dyadic synchrony is associated with better functioning in hyperactive/inattentive preschool children.</x:v>
      </x:c>
      <x:c r="E1129" s="28" t="str">
        <x:v>Primary/contextual journal article</x:v>
      </x:c>
      <x:c r="F1129" s="28" t="str">
        <x:v>Development &amp; presentation; Recognition &amp; diagnosis; Family &amp; education; Social &amp; structural; Life outcomes &amp; lived experience</x:v>
      </x:c>
      <x:c r="G1129" s="28" t="str">
        <x:v>Childhood</x:v>
      </x:c>
      <x:c r="H1129" s="28" t="str">
        <x:v>Later specialized</x:v>
      </x:c>
      <x:c r="I1129" s="28" t="str">
        <x:v>Direct or strongly ADHD-related record retained for later screening; typically narrower treatment, biomarker, mechanistic, or single-comorbidity focus.</x:v>
      </x:c>
      <x:c r="J1129" s="38" t="e">
        <x:f>HYPERLINK("https://pubmed.ncbi.nlm.nih.gov/"&amp;C1129&amp;"/","Open PubMed")</x:f>
        <x:v>HYPERLINK is not implemented. linkLocation=https://pubmed.ncbi.nlm.nih.gov/20331491/, friendlyName=Open PubMed</x:v>
      </x:c>
    </x:row>
    <x:row r="1130">
      <x:c r="A1130" s="26" t="str">
        <x:v>PUBMED-20309624</x:v>
      </x:c>
      <x:c r="B1130" s="26" t="n">
        <x:v>2010</x:v>
      </x:c>
      <x:c r="C1130" s="26" t="str">
        <x:v>20309624</x:v>
      </x:c>
      <x:c r="D1130" s="28" t="str">
        <x:v>Inconsistent self-report of delinquency by adolescents and young adults with ADHD.</x:v>
      </x:c>
      <x:c r="E1130" s="28" t="str">
        <x:v>Primary/contextual journal article</x:v>
      </x:c>
      <x:c r="F1130" s="28" t="str">
        <x:v>Development &amp; presentation; Recognition &amp; diagnosis; Family &amp; education; Social &amp; structural; Life outcomes &amp; lived experience; Historical &amp; contemporary context</x:v>
      </x:c>
      <x:c r="G1130" s="28" t="str">
        <x:v>Childhood; Adolescence; Adulthood</x:v>
      </x:c>
      <x:c r="H1130" s="28" t="str">
        <x:v>Later specialized</x:v>
      </x:c>
      <x:c r="I1130" s="28" t="str">
        <x:v>Direct or strongly ADHD-related record retained for later screening; typically narrower treatment, biomarker, mechanistic, or single-comorbidity focus.</x:v>
      </x:c>
      <x:c r="J1130" s="38" t="e">
        <x:f>HYPERLINK("https://pubmed.ncbi.nlm.nih.gov/"&amp;C1130&amp;"/","Open PubMed")</x:f>
        <x:v>HYPERLINK is not implemented. linkLocation=https://pubmed.ncbi.nlm.nih.gov/20309624/, friendlyName=Open PubMed</x:v>
      </x:c>
    </x:row>
    <x:row r="1131">
      <x:c r="A1131" s="26" t="str">
        <x:v>PUBMED-20308681</x:v>
      </x:c>
      <x:c r="B1131" s="26" t="n">
        <x:v>2010</x:v>
      </x:c>
      <x:c r="C1131" s="26" t="str">
        <x:v>20308681</x:v>
      </x:c>
      <x:c r="D1131" s="28" t="str">
        <x:v>Hyperfamiliarity for faces.</x:v>
      </x:c>
      <x:c r="E1131" s="28" t="str">
        <x:v>Primary/contextual journal article</x:v>
      </x:c>
      <x:c r="F1131" s="28" t="str">
        <x:v>Development &amp; presentation; Recognition &amp; diagnosis; Life outcomes &amp; lived experience</x:v>
      </x:c>
      <x:c r="G1131" s="28" t="str">
        <x:v>Adulthood</x:v>
      </x:c>
      <x:c r="H1131" s="28" t="str">
        <x:v>Exclude/incidental</x:v>
      </x:c>
      <x:c r="I1131" s="28" t="str">
        <x:v>ADHD appears peripheral or insufficiently aligned with the requested corpus scope based on accessible metadata/abstract.</x:v>
      </x:c>
      <x:c r="J1131" s="38" t="e">
        <x:f>HYPERLINK("https://pubmed.ncbi.nlm.nih.gov/"&amp;C1131&amp;"/","Open PubMed")</x:f>
        <x:v>HYPERLINK is not implemented. linkLocation=https://pubmed.ncbi.nlm.nih.gov/20308681/, friendlyName=Open PubMed</x:v>
      </x:c>
    </x:row>
    <x:row r="1132">
      <x:c r="A1132" s="26" t="str">
        <x:v>PUBMED-20308353</x:v>
      </x:c>
      <x:c r="B1132" s="26" t="n">
        <x:v>2010</x:v>
      </x:c>
      <x:c r="C1132" s="26" t="str">
        <x:v>20308353</x:v>
      </x:c>
      <x:c r="D1132" s="28" t="str">
        <x:v>Endurance of multiplication fact fluency for students with attention deficit hyperactivity disorder.</x:v>
      </x:c>
      <x:c r="E1132" s="28" t="str">
        <x:v>Primary/contextual journal article</x:v>
      </x:c>
      <x:c r="F1132" s="28" t="str">
        <x:v>Development &amp; presentation; Treatment &amp; support; Life outcomes &amp; lived experience</x:v>
      </x:c>
      <x:c r="G1132" s="28" t="str">
        <x:v>Not specified</x:v>
      </x:c>
      <x:c r="H1132" s="28" t="str">
        <x:v>Later specialized</x:v>
      </x:c>
      <x:c r="I1132" s="28" t="str">
        <x:v>Direct or strongly ADHD-related record retained for later screening; typically narrower treatment, biomarker, mechanistic, or single-comorbidity focus.</x:v>
      </x:c>
      <x:c r="J1132" s="38" t="e">
        <x:f>HYPERLINK("https://pubmed.ncbi.nlm.nih.gov/"&amp;C1132&amp;"/","Open PubMed")</x:f>
        <x:v>HYPERLINK is not implemented. linkLocation=https://pubmed.ncbi.nlm.nih.gov/20308353/, friendlyName=Open PubMed</x:v>
      </x:c>
    </x:row>
    <x:row r="1133">
      <x:c r="A1133" s="26" t="str">
        <x:v>PUBMED-20308288</x:v>
      </x:c>
      <x:c r="B1133" s="26" t="n">
        <x:v>2010</x:v>
      </x:c>
      <x:c r="C1133" s="26" t="str">
        <x:v>20308288</x:v>
      </x:c>
      <x:c r="D1133" s="28" t="str">
        <x:v>ADHD and obesity.</x:v>
      </x:c>
      <x:c r="E1133" s="28" t="str">
        <x:v>Contextual - editorial/comment</x:v>
      </x:c>
      <x:c r="F1133" s="28" t="str">
        <x:v>Development &amp; presentation; Recognition &amp; diagnosis</x:v>
      </x:c>
      <x:c r="G1133" s="28" t="str">
        <x:v>Not specified</x:v>
      </x:c>
      <x:c r="H1133" s="28" t="str">
        <x:v>Later specialized</x:v>
      </x:c>
      <x:c r="I1133" s="28" t="str">
        <x:v>Direct or strongly ADHD-related record retained for later screening; typically narrower treatment, biomarker, mechanistic, or single-comorbidity focus.</x:v>
      </x:c>
      <x:c r="J1133" s="38" t="e">
        <x:f>HYPERLINK("https://pubmed.ncbi.nlm.nih.gov/"&amp;C1133&amp;"/","Open PubMed")</x:f>
        <x:v>HYPERLINK is not implemented. linkLocation=https://pubmed.ncbi.nlm.nih.gov/20308288/, friendlyName=Open PubMed</x:v>
      </x:c>
    </x:row>
    <x:row r="1134">
      <x:c r="A1134" s="26" t="str">
        <x:v>PUBMED-20303425</x:v>
      </x:c>
      <x:c r="B1134" s="26" t="n">
        <x:v>2010</x:v>
      </x:c>
      <x:c r="C1134" s="26" t="str">
        <x:v>20303425</x:v>
      </x:c>
      <x:c r="D1134" s="28" t="str">
        <x:v>Disambiguating inhibitory dysfunction in attention-deficit/hyperactivity disorder: toward the decomposition of developmental brain phenotypes.</x:v>
      </x:c>
      <x:c r="E1134" s="28" t="str">
        <x:v>Contextual - editorial/comment</x:v>
      </x:c>
      <x:c r="F1134" s="28" t="str">
        <x:v>Development &amp; presentation; Social &amp; structural</x:v>
      </x:c>
      <x:c r="G1134" s="28" t="str">
        <x:v>Not specified</x:v>
      </x:c>
      <x:c r="H1134" s="28" t="str">
        <x:v>Later specialized</x:v>
      </x:c>
      <x:c r="I1134" s="28" t="str">
        <x:v>Direct or strongly ADHD-related record retained for later screening; typically narrower treatment, biomarker, mechanistic, or single-comorbidity focus.</x:v>
      </x:c>
      <x:c r="J1134" s="38" t="e">
        <x:f>HYPERLINK("https://pubmed.ncbi.nlm.nih.gov/"&amp;C1134&amp;"/","Open PubMed")</x:f>
        <x:v>HYPERLINK is not implemented. linkLocation=https://pubmed.ncbi.nlm.nih.gov/20303425/, friendlyName=Open PubMed</x:v>
      </x:c>
    </x:row>
    <x:row r="1135">
      <x:c r="A1135" s="26" t="str">
        <x:v>PUBMED-20233343</x:v>
      </x:c>
      <x:c r="B1135" s="26" t="n">
        <x:v>2010</x:v>
      </x:c>
      <x:c r="C1135" s="26" t="str">
        <x:v>20233343</x:v>
      </x:c>
      <x:c r="D1135" s="28" t="str">
        <x:v>Methylphenidate enhances prepulse inhibition during processing of task-relevant stimuli in attention-deficit/hyperactivity disorder.</x:v>
      </x:c>
      <x:c r="E1135" s="28" t="str">
        <x:v>Primary study - randomized controlled trial</x:v>
      </x:c>
      <x:c r="F1135" s="28" t="str">
        <x:v>Development &amp; presentation; Recognition &amp; diagnosis; Social &amp; structural; Environmental &amp; lifestyle; Treatment &amp; support; Life outcomes &amp; lived experience</x:v>
      </x:c>
      <x:c r="G1135" s="28" t="str">
        <x:v>Childhood</x:v>
      </x:c>
      <x:c r="H1135" s="28" t="str">
        <x:v>Later specialized</x:v>
      </x:c>
      <x:c r="I1135" s="28" t="str">
        <x:v>Direct or strongly ADHD-related record retained for later screening; typically narrower treatment, biomarker, mechanistic, or single-comorbidity focus.</x:v>
      </x:c>
      <x:c r="J1135" s="38" t="e">
        <x:f>HYPERLINK("https://pubmed.ncbi.nlm.nih.gov/"&amp;C1135&amp;"/","Open PubMed")</x:f>
        <x:v>HYPERLINK is not implemented. linkLocation=https://pubmed.ncbi.nlm.nih.gov/20233343/, friendlyName=Open PubMed</x:v>
      </x:c>
    </x:row>
    <x:row r="1136">
      <x:c r="A1136" s="26" t="str">
        <x:v>PUBMED-20231319</x:v>
      </x:c>
      <x:c r="B1136" s="26" t="n">
        <x:v>2010</x:v>
      </x:c>
      <x:c r="C1136" s="26" t="str">
        <x:v>20231319</x:v>
      </x:c>
      <x:c r="D1136" s="28" t="str">
        <x:v>Efficacy of meta-cognitive therapy for adult ADHD.</x:v>
      </x:c>
      <x:c r="E1136" s="28" t="str">
        <x:v>Primary study - randomized controlled trial</x:v>
      </x:c>
      <x:c r="F1136" s="28" t="str">
        <x:v>Development &amp; presentation; Recognition &amp; diagnosis; Social &amp; structural; Treatment &amp; support; Life outcomes &amp; lived experience</x:v>
      </x:c>
      <x:c r="G1136" s="28" t="str">
        <x:v>Adulthood</x:v>
      </x:c>
      <x:c r="H1136" s="28" t="str">
        <x:v>Later specialized</x:v>
      </x:c>
      <x:c r="I1136" s="28" t="str">
        <x:v>Direct or strongly ADHD-related record retained for later screening; typically narrower treatment, biomarker, mechanistic, or single-comorbidity focus.</x:v>
      </x:c>
      <x:c r="J1136" s="38" t="e">
        <x:f>HYPERLINK("https://pubmed.ncbi.nlm.nih.gov/"&amp;C1136&amp;"/","Open PubMed")</x:f>
        <x:v>HYPERLINK is not implemented. linkLocation=https://pubmed.ncbi.nlm.nih.gov/20231319/, friendlyName=Open PubMed</x:v>
      </x:c>
    </x:row>
    <x:row r="1137">
      <x:c r="A1137" s="26" t="str">
        <x:v>PUBMED-20230152</x:v>
      </x:c>
      <x:c r="B1137" s="26" t="n">
        <x:v>2010</x:v>
      </x:c>
      <x:c r="C1137" s="26" t="str">
        <x:v>20230152</x:v>
      </x:c>
      <x:c r="D1137" s="28" t="str">
        <x:v>WISC-IV profiles in children with traumatic brain injury: similarities to and differences from the WISC-III.</x:v>
      </x:c>
      <x:c r="E1137" s="28" t="str">
        <x:v>Primary/contextual journal article</x:v>
      </x:c>
      <x:c r="F1137" s="28" t="str">
        <x:v>Development &amp; presentation; Recognition &amp; diagnosis; Family &amp; education</x:v>
      </x:c>
      <x:c r="G1137" s="28" t="str">
        <x:v>Childhood; Adolescence</x:v>
      </x:c>
      <x:c r="H1137" s="28" t="str">
        <x:v>Exclude/incidental</x:v>
      </x:c>
      <x:c r="I1137" s="28" t="str">
        <x:v>ADHD appears peripheral or insufficiently aligned with the requested corpus scope based on accessible metadata/abstract.</x:v>
      </x:c>
      <x:c r="J1137" s="38" t="e">
        <x:f>HYPERLINK("https://pubmed.ncbi.nlm.nih.gov/"&amp;C1137&amp;"/","Open PubMed")</x:f>
        <x:v>HYPERLINK is not implemented. linkLocation=https://pubmed.ncbi.nlm.nih.gov/20230152/, friendlyName=Open PubMed</x:v>
      </x:c>
    </x:row>
    <x:row r="1138">
      <x:c r="A1138" s="26" t="str">
        <x:v>PUBMED-20227683</x:v>
      </x:c>
      <x:c r="B1138" s="26" t="n">
        <x:v>2010</x:v>
      </x:c>
      <x:c r="C1138" s="26" t="str">
        <x:v>20227683</x:v>
      </x:c>
      <x:c r="D1138" s="28" t="str">
        <x:v>Increased echogenicity of the substantia nigra in children and adolescents with attention-deficit/hyperactivity disorder.</x:v>
      </x:c>
      <x:c r="E1138" s="28" t="str">
        <x:v>Primary study - case-control</x:v>
      </x:c>
      <x:c r="F1138" s="28" t="str">
        <x:v>Development &amp; presentation; Recognition &amp; diagnosis; Social &amp; structural</x:v>
      </x:c>
      <x:c r="G1138" s="28" t="str">
        <x:v>Childhood; Adolescence</x:v>
      </x:c>
      <x:c r="H1138" s="28" t="str">
        <x:v>Later specialized</x:v>
      </x:c>
      <x:c r="I1138" s="28" t="str">
        <x:v>Direct or strongly ADHD-related record retained for later screening; typically narrower treatment, biomarker, mechanistic, or single-comorbidity focus.</x:v>
      </x:c>
      <x:c r="J1138" s="38" t="e">
        <x:f>HYPERLINK("https://pubmed.ncbi.nlm.nih.gov/"&amp;C1138&amp;"/","Open PubMed")</x:f>
        <x:v>HYPERLINK is not implemented. linkLocation=https://pubmed.ncbi.nlm.nih.gov/20227683/, friendlyName=Open PubMed</x:v>
      </x:c>
    </x:row>
    <x:row r="1139">
      <x:c r="A1139" s="26" t="str">
        <x:v>PUBMED-20215923</x:v>
      </x:c>
      <x:c r="B1139" s="26" t="n">
        <x:v>2010</x:v>
      </x:c>
      <x:c r="C1139" s="26" t="str">
        <x:v>20215923</x:v>
      </x:c>
      <x:c r="D1139" s="28" t="str">
        <x:v>Effects of lisdexamfetamine dimesylate treatment for ADHD on growth.</x:v>
      </x:c>
      <x:c r="E1139" s="28" t="str">
        <x:v>Primary/contextual journal article</x:v>
      </x:c>
      <x:c r="F1139" s="28" t="str">
        <x:v>Development &amp; presentation; Recognition &amp; diagnosis; Social &amp; structural; Environmental &amp; lifestyle; Treatment &amp; support; Life outcomes &amp; lived experience</x:v>
      </x:c>
      <x:c r="G1139" s="28" t="str">
        <x:v>Childhood; Adulthood</x:v>
      </x:c>
      <x:c r="H1139" s="28" t="str">
        <x:v>Later specialized</x:v>
      </x:c>
      <x:c r="I1139" s="28" t="str">
        <x:v>Direct or strongly ADHD-related record retained for later screening; typically narrower treatment, biomarker, mechanistic, or single-comorbidity focus.</x:v>
      </x:c>
      <x:c r="J1139" s="38" t="e">
        <x:f>HYPERLINK("https://pubmed.ncbi.nlm.nih.gov/"&amp;C1139&amp;"/","Open PubMed")</x:f>
        <x:v>HYPERLINK is not implemented. linkLocation=https://pubmed.ncbi.nlm.nih.gov/20215923/, friendlyName=Open PubMed</x:v>
      </x:c>
    </x:row>
    <x:row r="1140">
      <x:c r="A1140" s="26" t="str">
        <x:v>PUBMED-20209425</x:v>
      </x:c>
      <x:c r="B1140" s="26" t="n">
        <x:v>2010</x:v>
      </x:c>
      <x:c r="C1140" s="26" t="str">
        <x:v>20209425</x:v>
      </x:c>
      <x:c r="D1140" s="28" t="str">
        <x:v>ADHD and retrieval-induced forgetting: evidence for a deficit in the inhibitory control of memory.</x:v>
      </x:c>
      <x:c r="E1140" s="28" t="str">
        <x:v>Primary/contextual journal article</x:v>
      </x:c>
      <x:c r="F1140" s="28" t="str">
        <x:v>Development &amp; presentation; Family &amp; education; Social &amp; structural</x:v>
      </x:c>
      <x:c r="G1140" s="28" t="str">
        <x:v>Adulthood</x:v>
      </x:c>
      <x:c r="H1140" s="28" t="str">
        <x:v>Later specialized</x:v>
      </x:c>
      <x:c r="I1140" s="28" t="str">
        <x:v>Direct or strongly ADHD-related record retained for later screening; typically narrower treatment, biomarker, mechanistic, or single-comorbidity focus.</x:v>
      </x:c>
      <x:c r="J1140" s="38" t="e">
        <x:f>HYPERLINK("https://pubmed.ncbi.nlm.nih.gov/"&amp;C1140&amp;"/","Open PubMed")</x:f>
        <x:v>HYPERLINK is not implemented. linkLocation=https://pubmed.ncbi.nlm.nih.gov/20209425/, friendlyName=Open PubMed</x:v>
      </x:c>
    </x:row>
    <x:row r="1141">
      <x:c r="A1141" s="26" t="str">
        <x:v>PUBMED-20207090</x:v>
      </x:c>
      <x:c r="B1141" s="26" t="n">
        <x:v>2010</x:v>
      </x:c>
      <x:c r="C1141" s="26" t="str">
        <x:v>20207090</x:v>
      </x:c>
      <x:c r="D1141" s="28" t="str">
        <x:v>[Evolution of competence in reading, spelling and comprehension levels in low socioeconomic environments and impact of cognitive and behavioral factors on outcome in two years].</x:v>
      </x:c>
      <x:c r="E1141" s="28" t="str">
        <x:v>Primary study - cross-sectional</x:v>
      </x:c>
      <x:c r="F1141" s="28" t="str">
        <x:v>Development &amp; presentation; Recognition &amp; diagnosis; Family &amp; education; Social &amp; structural; Environmental &amp; lifestyle; Treatment &amp; support; Life outcomes &amp; lived experience; Historical &amp; contemporary context</x:v>
      </x:c>
      <x:c r="G1141" s="28" t="str">
        <x:v>Childhood</x:v>
      </x:c>
      <x:c r="H1141" s="28" t="str">
        <x:v>Exclude/incidental</x:v>
      </x:c>
      <x:c r="I1141" s="28" t="str">
        <x:v>ADHD appears peripheral or insufficiently aligned with the requested corpus scope based on accessible metadata/abstract.</x:v>
      </x:c>
      <x:c r="J1141" s="38" t="e">
        <x:f>HYPERLINK("https://pubmed.ncbi.nlm.nih.gov/"&amp;C1141&amp;"/","Open PubMed")</x:f>
        <x:v>HYPERLINK is not implemented. linkLocation=https://pubmed.ncbi.nlm.nih.gov/20207090/, friendlyName=Open PubMed</x:v>
      </x:c>
    </x:row>
    <x:row r="1142">
      <x:c r="A1142" s="26" t="str">
        <x:v>PUBMED-20200842</x:v>
      </x:c>
      <x:c r="B1142" s="26" t="n">
        <x:v>2010</x:v>
      </x:c>
      <x:c r="C1142" s="26" t="str">
        <x:v>20200842</x:v>
      </x:c>
      <x:c r="D1142" s="28" t="str">
        <x:v>[Attention deficit disorder and hyperactivity: a pattern of evolution?].</x:v>
      </x:c>
      <x:c r="E1142" s="28" t="str">
        <x:v>Evidence synthesis - review</x:v>
      </x:c>
      <x:c r="F1142" s="28" t="str">
        <x:v>Development &amp; presentation; Social &amp; structural; Historical &amp; contemporary context</x:v>
      </x:c>
      <x:c r="G1142" s="28" t="str">
        <x:v>Not specified</x:v>
      </x:c>
      <x:c r="H1142" s="28" t="str">
        <x:v>Later specialized</x:v>
      </x:c>
      <x:c r="I1142" s="28" t="str">
        <x:v>Direct or strongly ADHD-related record retained for later screening; typically narrower treatment, biomarker, mechanistic, or single-comorbidity focus.</x:v>
      </x:c>
      <x:c r="J1142" s="38" t="e">
        <x:f>HYPERLINK("https://pubmed.ncbi.nlm.nih.gov/"&amp;C1142&amp;"/","Open PubMed")</x:f>
        <x:v>HYPERLINK is not implemented. linkLocation=https://pubmed.ncbi.nlm.nih.gov/20200842/, friendlyName=Open PubMed</x:v>
      </x:c>
    </x:row>
    <x:row r="1143">
      <x:c r="A1143" s="26" t="str">
        <x:v>PUBMED-20200838</x:v>
      </x:c>
      <x:c r="B1143" s="26" t="n">
        <x:v>2010</x:v>
      </x:c>
      <x:c r="C1143" s="26" t="str">
        <x:v>20200838</x:v>
      </x:c>
      <x:c r="D1143" s="28" t="str">
        <x:v>[Textual pragmatics in adolescents with attention deficit hyperactivity disorder: argument].</x:v>
      </x:c>
      <x:c r="E1143" s="28" t="str">
        <x:v>Primary/contextual journal article</x:v>
      </x:c>
      <x:c r="F1143" s="28" t="str">
        <x:v>Development &amp; presentation; Family &amp; education; Social &amp; structural; Life outcomes &amp; lived experience</x:v>
      </x:c>
      <x:c r="G1143" s="28" t="str">
        <x:v>Childhood; Adolescence</x:v>
      </x:c>
      <x:c r="H1143" s="28" t="str">
        <x:v>Later specialized</x:v>
      </x:c>
      <x:c r="I1143" s="28" t="str">
        <x:v>Direct or strongly ADHD-related record retained for later screening; typically narrower treatment, biomarker, mechanistic, or single-comorbidity focus.</x:v>
      </x:c>
      <x:c r="J1143" s="38" t="e">
        <x:f>HYPERLINK("https://pubmed.ncbi.nlm.nih.gov/"&amp;C1143&amp;"/","Open PubMed")</x:f>
        <x:v>HYPERLINK is not implemented. linkLocation=https://pubmed.ncbi.nlm.nih.gov/20200838/, friendlyName=Open PubMed</x:v>
      </x:c>
    </x:row>
    <x:row r="1144">
      <x:c r="A1144" s="26" t="str">
        <x:v>PUBMED-20123471</x:v>
      </x:c>
      <x:c r="B1144" s="26" t="n">
        <x:v>2010</x:v>
      </x:c>
      <x:c r="C1144" s="26" t="str">
        <x:v>20123471</x:v>
      </x:c>
      <x:c r="D1144" s="28" t="str">
        <x:v>ADHD, learning, and academic performance in phenylketonuria.</x:v>
      </x:c>
      <x:c r="E1144" s="28" t="str">
        <x:v>Evidence synthesis - review</x:v>
      </x:c>
      <x:c r="F1144" s="28" t="str">
        <x:v>Development &amp; presentation; Family &amp; education; Life outcomes &amp; lived experience</x:v>
      </x:c>
      <x:c r="G1144" s="28" t="str">
        <x:v>Childhood; Adolescence</x:v>
      </x:c>
      <x:c r="H1144" s="28" t="str">
        <x:v>Later specialized</x:v>
      </x:c>
      <x:c r="I1144" s="28" t="str">
        <x:v>Direct or strongly ADHD-related record retained for later screening; typically narrower treatment, biomarker, mechanistic, or single-comorbidity focus.</x:v>
      </x:c>
      <x:c r="J1144" s="38" t="e">
        <x:f>HYPERLINK("https://pubmed.ncbi.nlm.nih.gov/"&amp;C1144&amp;"/","Open PubMed")</x:f>
        <x:v>HYPERLINK is not implemented. linkLocation=https://pubmed.ncbi.nlm.nih.gov/20123471/, friendlyName=Open PubMed</x:v>
      </x:c>
    </x:row>
    <x:row r="1145">
      <x:c r="A1145" s="26" t="str">
        <x:v>PUBMED-20197726</x:v>
      </x:c>
      <x:c r="B1145" s="26" t="n">
        <x:v>2010</x:v>
      </x:c>
      <x:c r="C1145" s="26" t="str">
        <x:v>20197726</x:v>
      </x:c>
      <x:c r="D1145" s="28" t="str">
        <x:v>[Identification of a novel deletion region in 3q29 microdeletion syndrome by oligonucleotide array comparative genomic hybridization].</x:v>
      </x:c>
      <x:c r="E1145" s="28" t="str">
        <x:v>Primary/contextual journal article</x:v>
      </x:c>
      <x:c r="F1145" s="28" t="str">
        <x:v>Development &amp; presentation; Family &amp; education; Social &amp; structural</x:v>
      </x:c>
      <x:c r="G1145" s="28" t="str">
        <x:v>Adolescence</x:v>
      </x:c>
      <x:c r="H1145" s="28" t="str">
        <x:v>Exclude/incidental</x:v>
      </x:c>
      <x:c r="I1145" s="28" t="str">
        <x:v>ADHD appears peripheral or insufficiently aligned with the requested corpus scope based on accessible metadata/abstract.</x:v>
      </x:c>
      <x:c r="J1145" s="38" t="e">
        <x:f>HYPERLINK("https://pubmed.ncbi.nlm.nih.gov/"&amp;C1145&amp;"/","Open PubMed")</x:f>
        <x:v>HYPERLINK is not implemented. linkLocation=https://pubmed.ncbi.nlm.nih.gov/20197726/, friendlyName=Open PubMed</x:v>
      </x:c>
    </x:row>
    <x:row r="1146">
      <x:c r="A1146" s="26" t="str">
        <x:v>PUBMED-20194547</x:v>
      </x:c>
      <x:c r="B1146" s="26" t="n">
        <x:v>2010</x:v>
      </x:c>
      <x:c r="C1146" s="26" t="str">
        <x:v>20194547</x:v>
      </x:c>
      <x:c r="D1146" s="28" t="str">
        <x:v>Adolescent clinical outcomes for young people with attention-deficit hyperactivity disorder.</x:v>
      </x:c>
      <x:c r="E1146" s="28" t="str">
        <x:v>Primary study - cohort</x:v>
      </x:c>
      <x:c r="F1146" s="28" t="str">
        <x:v>Development &amp; presentation; Recognition &amp; diagnosis; Family &amp; education; Social &amp; structural; Environmental &amp; lifestyle; Treatment &amp; support; Life outcomes &amp; lived experience</x:v>
      </x:c>
      <x:c r="G1146" s="28" t="str">
        <x:v>Childhood; Adolescence</x:v>
      </x:c>
      <x:c r="H1146" s="28" t="str">
        <x:v>Later specialized</x:v>
      </x:c>
      <x:c r="I1146" s="28" t="str">
        <x:v>Direct or strongly ADHD-related record retained for later screening; typically narrower treatment, biomarker, mechanistic, or single-comorbidity focus.</x:v>
      </x:c>
      <x:c r="J1146" s="38" t="e">
        <x:f>HYPERLINK("https://pubmed.ncbi.nlm.nih.gov/"&amp;C1146&amp;"/","Open PubMed")</x:f>
        <x:v>HYPERLINK is not implemented. linkLocation=https://pubmed.ncbi.nlm.nih.gov/20194547/, friendlyName=Open PubMed</x:v>
      </x:c>
    </x:row>
    <x:row r="1147">
      <x:c r="A1147" s="26" t="str">
        <x:v>PUBMED-20191660</x:v>
      </x:c>
      <x:c r="B1147" s="26" t="n">
        <x:v>2010</x:v>
      </x:c>
      <x:c r="C1147" s="26" t="str">
        <x:v>20191660</x:v>
      </x:c>
      <x:c r="D1147" s="28" t="str">
        <x:v>Attention deficit hyperactivity disorder: concordance of the adolescent version of the Composite International Diagnostic Interview Version 3.0 (CIDI) with the K-SADS in the US National Comorbidity Survey Replication Adolescent (NCS-A) supplement.</x:v>
      </x:c>
      <x:c r="E1147" s="28" t="str">
        <x:v>Primary/contextual journal article</x:v>
      </x:c>
      <x:c r="F1147" s="28" t="str">
        <x:v>Development &amp; presentation; Recognition &amp; diagnosis; Family &amp; education; Social &amp; structural</x:v>
      </x:c>
      <x:c r="G1147" s="28" t="str">
        <x:v>Adolescence</x:v>
      </x:c>
      <x:c r="H1147" s="28" t="str">
        <x:v>Later specialized</x:v>
      </x:c>
      <x:c r="I1147" s="28" t="str">
        <x:v>Direct or strongly ADHD-related record retained for later screening; typically narrower treatment, biomarker, mechanistic, or single-comorbidity focus.</x:v>
      </x:c>
      <x:c r="J1147" s="38" t="e">
        <x:f>HYPERLINK("https://pubmed.ncbi.nlm.nih.gov/"&amp;C1147&amp;"/","Open PubMed")</x:f>
        <x:v>HYPERLINK is not implemented. linkLocation=https://pubmed.ncbi.nlm.nih.gov/20191660/, friendlyName=Open PubMed</x:v>
      </x:c>
    </x:row>
    <x:row r="1148">
      <x:c r="A1148" s="26" t="str">
        <x:v>PUBMED-22748032</x:v>
      </x:c>
      <x:c r="B1148" s="26" t="n">
        <x:v>2010</x:v>
      </x:c>
      <x:c r="C1148" s="26" t="str">
        <x:v>22748032</x:v>
      </x:c>
      <x:c r="D1148" s="28" t="str">
        <x:v>Pragmatic language impairment and associated behavioural problems.</x:v>
      </x:c>
      <x:c r="E1148" s="28" t="str">
        <x:v>Primary/contextual journal article</x:v>
      </x:c>
      <x:c r="F1148" s="28" t="str">
        <x:v>Development &amp; presentation; Recognition &amp; diagnosis; Family &amp; education; Social &amp; structural; Treatment &amp; support; Life outcomes &amp; lived experience</x:v>
      </x:c>
      <x:c r="G1148" s="28" t="str">
        <x:v>Childhood</x:v>
      </x:c>
      <x:c r="H1148" s="28" t="str">
        <x:v>Later specialized</x:v>
      </x:c>
      <x:c r="I1148" s="28" t="str">
        <x:v>Direct or strongly ADHD-related record retained for later screening; typically narrower treatment, biomarker, mechanistic, or single-comorbidity focus.</x:v>
      </x:c>
      <x:c r="J1148" s="38" t="e">
        <x:f>HYPERLINK("https://pubmed.ncbi.nlm.nih.gov/"&amp;C1148&amp;"/","Open PubMed")</x:f>
        <x:v>HYPERLINK is not implemented. linkLocation=https://pubmed.ncbi.nlm.nih.gov/22748032/, friendlyName=Open PubMed</x:v>
      </x:c>
    </x:row>
    <x:row r="1149">
      <x:c r="A1149" s="26" t="str">
        <x:v>PUBMED-20179364</x:v>
      </x:c>
      <x:c r="B1149" s="26" t="n">
        <x:v>2010</x:v>
      </x:c>
      <x:c r="C1149" s="26" t="str">
        <x:v>20179364</x:v>
      </x:c>
      <x:c r="D1149" s="28" t="str">
        <x:v>Early television exposure and children's behavioral and social outcomes at age 30 months.</x:v>
      </x:c>
      <x:c r="E1149" s="28" t="str">
        <x:v>Primary/contextual journal article</x:v>
      </x:c>
      <x:c r="F1149" s="28" t="str">
        <x:v>Development &amp; presentation; Family &amp; education; Social &amp; structural; Environmental &amp; lifestyle; Treatment &amp; support; Life outcomes &amp; lived experience</x:v>
      </x:c>
      <x:c r="G1149" s="28" t="str">
        <x:v>Childhood</x:v>
      </x:c>
      <x:c r="H1149" s="28" t="str">
        <x:v>Exclude/incidental</x:v>
      </x:c>
      <x:c r="I1149" s="28" t="str">
        <x:v>ADHD appears peripheral or insufficiently aligned with the requested corpus scope based on accessible metadata/abstract.</x:v>
      </x:c>
      <x:c r="J1149" s="38" t="e">
        <x:f>HYPERLINK("https://pubmed.ncbi.nlm.nih.gov/"&amp;C1149&amp;"/","Open PubMed")</x:f>
        <x:v>HYPERLINK is not implemented. linkLocation=https://pubmed.ncbi.nlm.nih.gov/20179364/, friendlyName=Open PubMed</x:v>
      </x:c>
    </x:row>
    <x:row r="1150">
      <x:c r="A1150" s="26" t="str">
        <x:v>PUBMED-20172533</x:v>
      </x:c>
      <x:c r="B1150" s="26" t="n">
        <x:v>2010</x:v>
      </x:c>
      <x:c r="C1150" s="26" t="str">
        <x:v>20172533</x:v>
      </x:c>
      <x:c r="D1150" s="28" t="str">
        <x:v>From regulatory problems in infancy to attention-deficit/hyperactivity disorder in childhood: a moderating role for the dopamine D4 receptor gene?</x:v>
      </x:c>
      <x:c r="E1150" s="28" t="str">
        <x:v>Primary/contextual journal article</x:v>
      </x:c>
      <x:c r="F1150" s="28" t="str">
        <x:v>Development &amp; presentation; Recognition &amp; diagnosis; Family &amp; education; Historical &amp; contemporary context</x:v>
      </x:c>
      <x:c r="G1150" s="28" t="str">
        <x:v>Childhood; Adolescence</x:v>
      </x:c>
      <x:c r="H1150" s="28" t="str">
        <x:v>Later specialized</x:v>
      </x:c>
      <x:c r="I1150" s="28" t="str">
        <x:v>Direct or strongly ADHD-related record retained for later screening; typically narrower treatment, biomarker, mechanistic, or single-comorbidity focus.</x:v>
      </x:c>
      <x:c r="J1150" s="38" t="e">
        <x:f>HYPERLINK("https://pubmed.ncbi.nlm.nih.gov/"&amp;C1150&amp;"/","Open PubMed")</x:f>
        <x:v>HYPERLINK is not implemented. linkLocation=https://pubmed.ncbi.nlm.nih.gov/20172533/, friendlyName=Open PubMed</x:v>
      </x:c>
    </x:row>
    <x:row r="1151">
      <x:c r="A1151" s="26" t="str">
        <x:v>PUBMED-20166798</x:v>
      </x:c>
      <x:c r="B1151" s="26" t="n">
        <x:v>2010</x:v>
      </x:c>
      <x:c r="C1151" s="26" t="str">
        <x:v>20166798</x:v>
      </x:c>
      <x:c r="D1151" s="28" t="str">
        <x:v>Report of an initial pilot study on the feasibility of using the MacArthur competence assessment tool for clinical research in children and adolescents with attention-deficit/hyperactivity disorder.</x:v>
      </x:c>
      <x:c r="E1151" s="28" t="str">
        <x:v>Primary/contextual journal article</x:v>
      </x:c>
      <x:c r="F1151" s="28" t="str">
        <x:v>Development &amp; presentation; Recognition &amp; diagnosis; Family &amp; education; Social &amp; structural</x:v>
      </x:c>
      <x:c r="G1151" s="28" t="str">
        <x:v>Childhood; Adolescence</x:v>
      </x:c>
      <x:c r="H1151" s="28" t="str">
        <x:v>Later specialized</x:v>
      </x:c>
      <x:c r="I1151" s="28" t="str">
        <x:v>Direct or strongly ADHD-related record retained for later screening; typically narrower treatment, biomarker, mechanistic, or single-comorbidity focus.</x:v>
      </x:c>
      <x:c r="J1151" s="38" t="e">
        <x:f>HYPERLINK("https://pubmed.ncbi.nlm.nih.gov/"&amp;C1151&amp;"/","Open PubMed")</x:f>
        <x:v>HYPERLINK is not implemented. linkLocation=https://pubmed.ncbi.nlm.nih.gov/20166798/, friendlyName=Open PubMed</x:v>
      </x:c>
    </x:row>
    <x:row r="1152">
      <x:c r="A1152" s="26" t="str">
        <x:v>PUBMED-20166791</x:v>
      </x:c>
      <x:c r="B1152" s="26" t="n">
        <x:v>2010</x:v>
      </x:c>
      <x:c r="C1152" s="26" t="str">
        <x:v>20166791</x:v>
      </x:c>
      <x:c r="D1152" s="28" t="str">
        <x:v>A prospective open-label trial of extended-release carbamazepine monotherapy in children with bipolar disorder.</x:v>
      </x:c>
      <x:c r="E1152" s="28" t="str">
        <x:v>Primary study - clinical trial</x:v>
      </x:c>
      <x:c r="F1152" s="28" t="str">
        <x:v>Development &amp; presentation; Recognition &amp; diagnosis; Social &amp; structural; Treatment &amp; support; Life outcomes &amp; lived experience</x:v>
      </x:c>
      <x:c r="G1152" s="28" t="str">
        <x:v>Childhood</x:v>
      </x:c>
      <x:c r="H1152" s="28" t="str">
        <x:v>Exclude/incidental</x:v>
      </x:c>
      <x:c r="I1152" s="28" t="str">
        <x:v>ADHD appears peripheral or insufficiently aligned with the requested corpus scope based on accessible metadata/abstract.</x:v>
      </x:c>
      <x:c r="J1152" s="38" t="e">
        <x:f>HYPERLINK("https://pubmed.ncbi.nlm.nih.gov/"&amp;C1152&amp;"/","Open PubMed")</x:f>
        <x:v>HYPERLINK is not implemented. linkLocation=https://pubmed.ncbi.nlm.nih.gov/20166791/, friendlyName=Open PubMed</x:v>
      </x:c>
    </x:row>
    <x:row r="1153">
      <x:c r="A1153" s="26" t="str">
        <x:v>PUBMED-20162341</x:v>
      </x:c>
      <x:c r="B1153" s="26" t="n">
        <x:v>2010</x:v>
      </x:c>
      <x:c r="C1153" s="26" t="str">
        <x:v>20162341</x:v>
      </x:c>
      <x:c r="D1153" s="28" t="str">
        <x:v>Physician identification and management of psychosocial problems in primary care.</x:v>
      </x:c>
      <x:c r="E1153" s="28" t="str">
        <x:v>Primary/contextual journal article</x:v>
      </x:c>
      <x:c r="F1153" s="28" t="str">
        <x:v>Development &amp; presentation; Recognition &amp; diagnosis; Family &amp; education; Social &amp; structural; Treatment &amp; support; Historical &amp; contemporary context</x:v>
      </x:c>
      <x:c r="G1153" s="28" t="str">
        <x:v>Childhood; Adolescence; Adulthood</x:v>
      </x:c>
      <x:c r="H1153" s="28" t="str">
        <x:v>Exclude/incidental</x:v>
      </x:c>
      <x:c r="I1153" s="28" t="str">
        <x:v>ADHD appears peripheral or insufficiently aligned with the requested corpus scope based on accessible metadata/abstract.</x:v>
      </x:c>
      <x:c r="J1153" s="38" t="e">
        <x:f>HYPERLINK("https://pubmed.ncbi.nlm.nih.gov/"&amp;C1153&amp;"/","Open PubMed")</x:f>
        <x:v>HYPERLINK is not implemented. linkLocation=https://pubmed.ncbi.nlm.nih.gov/20162341/, friendlyName=Open PubMed</x:v>
      </x:c>
    </x:row>
    <x:row r="1154">
      <x:c r="A1154" s="26" t="str">
        <x:v>PUBMED-20159345</x:v>
      </x:c>
      <x:c r="B1154" s="26" t="n">
        <x:v>2010</x:v>
      </x:c>
      <x:c r="C1154" s="26" t="str">
        <x:v>20159345</x:v>
      </x:c>
      <x:c r="D1154" s="28" t="str">
        <x:v>Molecular genetics of attention deficit hyperactivity disorder.</x:v>
      </x:c>
      <x:c r="E1154" s="28" t="str">
        <x:v>Evidence synthesis - review</x:v>
      </x:c>
      <x:c r="F1154" s="28" t="str">
        <x:v>Development &amp; presentation; Recognition &amp; diagnosis</x:v>
      </x:c>
      <x:c r="G1154" s="28" t="str">
        <x:v>Not specified</x:v>
      </x:c>
      <x:c r="H1154" s="28" t="str">
        <x:v>Later specialized</x:v>
      </x:c>
      <x:c r="I1154" s="28" t="str">
        <x:v>Direct or strongly ADHD-related record retained for later screening; typically narrower treatment, biomarker, mechanistic, or single-comorbidity focus.</x:v>
      </x:c>
      <x:c r="J1154" s="38" t="e">
        <x:f>HYPERLINK("https://pubmed.ncbi.nlm.nih.gov/"&amp;C1154&amp;"/","Open PubMed")</x:f>
        <x:v>HYPERLINK is not implemented. linkLocation=https://pubmed.ncbi.nlm.nih.gov/20159345/, friendlyName=Open PubMed</x:v>
      </x:c>
    </x:row>
    <x:row r="1155">
      <x:c r="A1155" s="26" t="str">
        <x:v>PUBMED-20154245</x:v>
      </x:c>
      <x:c r="B1155" s="26" t="n">
        <x:v>2010</x:v>
      </x:c>
      <x:c r="C1155" s="26" t="str">
        <x:v>20154245</x:v>
      </x:c>
      <x:c r="D1155" s="28" t="str">
        <x:v>ADHD stimulants and their effect on height in children.</x:v>
      </x:c>
      <x:c r="E1155" s="28" t="str">
        <x:v>Primary/contextual journal article</x:v>
      </x:c>
      <x:c r="F1155" s="28" t="str">
        <x:v>Development &amp; presentation; Recognition &amp; diagnosis; Family &amp; education; Social &amp; structural; Treatment &amp; support</x:v>
      </x:c>
      <x:c r="G1155" s="28" t="str">
        <x:v>Childhood; Adolescence; Adulthood</x:v>
      </x:c>
      <x:c r="H1155" s="28" t="str">
        <x:v>Later specialized</x:v>
      </x:c>
      <x:c r="I1155" s="28" t="str">
        <x:v>Direct or strongly ADHD-related record retained for later screening; typically narrower treatment, biomarker, mechanistic, or single-comorbidity focus.</x:v>
      </x:c>
      <x:c r="J1155" s="38" t="e">
        <x:f>HYPERLINK("https://pubmed.ncbi.nlm.nih.gov/"&amp;C1155&amp;"/","Open PubMed")</x:f>
        <x:v>HYPERLINK is not implemented. linkLocation=https://pubmed.ncbi.nlm.nih.gov/20154245/, friendlyName=Open PubMed</x:v>
      </x:c>
    </x:row>
    <x:row r="1156">
      <x:c r="A1156" s="26" t="str">
        <x:v>PUBMED-20151332</x:v>
      </x:c>
      <x:c r="B1156" s="26" t="n">
        <x:v>2010</x:v>
      </x:c>
      <x:c r="C1156" s="26" t="str">
        <x:v>20151332</x:v>
      </x:c>
      <x:c r="D1156" s="28" t="str">
        <x:v>MRI morphometry of the cerebral ventricles in patients with attention deficit hyperactivity disorder.</x:v>
      </x:c>
      <x:c r="E1156" s="28" t="str">
        <x:v>Primary/contextual journal article</x:v>
      </x:c>
      <x:c r="F1156" s="28" t="str">
        <x:v>Development &amp; presentation; Recognition &amp; diagnosis; Social &amp; structural; Life outcomes &amp; lived experience</x:v>
      </x:c>
      <x:c r="G1156" s="28" t="str">
        <x:v>Childhood; Adolescence; Adulthood</x:v>
      </x:c>
      <x:c r="H1156" s="28" t="str">
        <x:v>Later specialized</x:v>
      </x:c>
      <x:c r="I1156" s="28" t="str">
        <x:v>Direct or strongly ADHD-related record retained for later screening; typically narrower treatment, biomarker, mechanistic, or single-comorbidity focus.</x:v>
      </x:c>
      <x:c r="J1156" s="38" t="e">
        <x:f>HYPERLINK("https://pubmed.ncbi.nlm.nih.gov/"&amp;C1156&amp;"/","Open PubMed")</x:f>
        <x:v>HYPERLINK is not implemented. linkLocation=https://pubmed.ncbi.nlm.nih.gov/20151332/, friendlyName=Open PubMed</x:v>
      </x:c>
    </x:row>
    <x:row r="1157">
      <x:c r="A1157" s="26" t="str">
        <x:v>PUBMED-20151327</x:v>
      </x:c>
      <x:c r="B1157" s="26" t="n">
        <x:v>2010</x:v>
      </x:c>
      <x:c r="C1157" s="26" t="str">
        <x:v>20151327</x:v>
      </x:c>
      <x:c r="D1157" s="28" t="str">
        <x:v>Principles of medical care for children with attention deficit hyperactivity disorder.</x:v>
      </x:c>
      <x:c r="E1157" s="28" t="str">
        <x:v>Evidence synthesis - review</x:v>
      </x:c>
      <x:c r="F1157" s="28" t="str">
        <x:v>Development &amp; presentation; Recognition &amp; diagnosis; Family &amp; education; Treatment &amp; support</x:v>
      </x:c>
      <x:c r="G1157" s="28" t="str">
        <x:v>Childhood</x:v>
      </x:c>
      <x:c r="H1157" s="28" t="str">
        <x:v>Later specialized</x:v>
      </x:c>
      <x:c r="I1157" s="28" t="str">
        <x:v>Direct or strongly ADHD-related record retained for later screening; typically narrower treatment, biomarker, mechanistic, or single-comorbidity focus.</x:v>
      </x:c>
      <x:c r="J1157" s="38" t="e">
        <x:f>HYPERLINK("https://pubmed.ncbi.nlm.nih.gov/"&amp;C1157&amp;"/","Open PubMed")</x:f>
        <x:v>HYPERLINK is not implemented. linkLocation=https://pubmed.ncbi.nlm.nih.gov/20151327/, friendlyName=Open PubMed</x:v>
      </x:c>
    </x:row>
    <x:row r="1158">
      <x:c r="A1158" s="26" t="str">
        <x:v>PUBMED-20148275</x:v>
      </x:c>
      <x:c r="B1158" s="26" t="n">
        <x:v>2010</x:v>
      </x:c>
      <x:c r="C1158" s="26" t="str">
        <x:v>20148275</x:v>
      </x:c>
      <x:c r="D1158" s="28" t="str">
        <x:v>Shared heritability of attention-deficit/hyperactivity disorder and autism spectrum disorder.</x:v>
      </x:c>
      <x:c r="E1158" s="28" t="str">
        <x:v>Evidence synthesis - review</x:v>
      </x:c>
      <x:c r="F1158" s="28" t="str">
        <x:v>Development &amp; presentation; Recognition &amp; diagnosis; Family &amp; education; Social &amp; structural; Environmental &amp; lifestyle</x:v>
      </x:c>
      <x:c r="G1158" s="28" t="str">
        <x:v>Childhood; Adolescence</x:v>
      </x:c>
      <x:c r="H1158" s="28" t="str">
        <x:v>Later specialized</x:v>
      </x:c>
      <x:c r="I1158" s="28" t="str">
        <x:v>Direct or strongly ADHD-related record retained for later screening; typically narrower treatment, biomarker, mechanistic, or single-comorbidity focus.</x:v>
      </x:c>
      <x:c r="J1158" s="38" t="e">
        <x:f>HYPERLINK("https://pubmed.ncbi.nlm.nih.gov/"&amp;C1158&amp;"/","Open PubMed")</x:f>
        <x:v>HYPERLINK is not implemented. linkLocation=https://pubmed.ncbi.nlm.nih.gov/20148275/, friendlyName=Open PubMed</x:v>
      </x:c>
    </x:row>
    <x:row r="1159">
      <x:c r="A1159" s="26" t="str">
        <x:v>PUBMED-20146756</x:v>
      </x:c>
      <x:c r="B1159" s="26" t="n">
        <x:v>2010</x:v>
      </x:c>
      <x:c r="C1159" s="26" t="str">
        <x:v>20146756</x:v>
      </x:c>
      <x:c r="D1159" s="28" t="str">
        <x:v>Borderline intellectual functioning in children and adolescents - insufficiently recognized difficulties.</x:v>
      </x:c>
      <x:c r="E1159" s="28" t="str">
        <x:v>Primary/contextual journal article</x:v>
      </x:c>
      <x:c r="F1159" s="28" t="str">
        <x:v>Development &amp; presentation; Recognition &amp; diagnosis; Family &amp; education; Social &amp; structural; Life outcomes &amp; lived experience</x:v>
      </x:c>
      <x:c r="G1159" s="28" t="str">
        <x:v>Childhood; Adolescence</x:v>
      </x:c>
      <x:c r="H1159" s="28" t="str">
        <x:v>Exclude/incidental</x:v>
      </x:c>
      <x:c r="I1159" s="28" t="str">
        <x:v>ADHD appears peripheral or insufficiently aligned with the requested corpus scope based on accessible metadata/abstract.</x:v>
      </x:c>
      <x:c r="J1159" s="38" t="e">
        <x:f>HYPERLINK("https://pubmed.ncbi.nlm.nih.gov/"&amp;C1159&amp;"/","Open PubMed")</x:f>
        <x:v>HYPERLINK is not implemented. linkLocation=https://pubmed.ncbi.nlm.nih.gov/20146756/, friendlyName=Open PubMed</x:v>
      </x:c>
    </x:row>
    <x:row r="1160">
      <x:c r="A1160" s="26" t="str">
        <x:v>PUBMED-20141285</x:v>
      </x:c>
      <x:c r="B1160" s="26" t="n">
        <x:v>2010</x:v>
      </x:c>
      <x:c r="C1160" s="26" t="str">
        <x:v>20141285</x:v>
      </x:c>
      <x:c r="D1160" s="28" t="str">
        <x:v>Caloric restriction alters seizure disposition and behavioral profiles in seizure-prone (fast) versus seizure-resistant (slow) rats.</x:v>
      </x:c>
      <x:c r="E1160" s="28" t="str">
        <x:v>Primary/contextual journal article</x:v>
      </x:c>
      <x:c r="F1160" s="28" t="str">
        <x:v>Development &amp; presentation; Environmental &amp; lifestyle; Treatment &amp; support</x:v>
      </x:c>
      <x:c r="G1160" s="28" t="str">
        <x:v>Not specified</x:v>
      </x:c>
      <x:c r="H1160" s="28" t="str">
        <x:v>Exclude/incidental</x:v>
      </x:c>
      <x:c r="I1160" s="28" t="str">
        <x:v>Animal-only record; retained outside the human-focused core corpus.</x:v>
      </x:c>
      <x:c r="J1160" s="38" t="e">
        <x:f>HYPERLINK("https://pubmed.ncbi.nlm.nih.gov/"&amp;C1160&amp;"/","Open PubMed")</x:f>
        <x:v>HYPERLINK is not implemented. linkLocation=https://pubmed.ncbi.nlm.nih.gov/20141285/, friendlyName=Open PubMed</x:v>
      </x:c>
    </x:row>
    <x:row r="1161">
      <x:c r="A1161" s="26" t="str">
        <x:v>PUBMED-20141255</x:v>
      </x:c>
      <x:c r="B1161" s="26" t="n">
        <x:v>2010</x:v>
      </x:c>
      <x:c r="C1161" s="26" t="str">
        <x:v>20141255</x:v>
      </x:c>
      <x:c r="D1161" s="28" t="str">
        <x:v>A person-centered personality approach to heterogeneity in attention-deficit/hyperactivity disorder (ADHD).</x:v>
      </x:c>
      <x:c r="E1161" s="28" t="str">
        <x:v>Primary/contextual journal article</x:v>
      </x:c>
      <x:c r="F1161" s="28" t="str">
        <x:v>Development &amp; presentation; Recognition &amp; diagnosis; Family &amp; education; Social &amp; structural</x:v>
      </x:c>
      <x:c r="G1161" s="28" t="str">
        <x:v>Childhood; Adolescence</x:v>
      </x:c>
      <x:c r="H1161" s="28" t="str">
        <x:v>Later specialized</x:v>
      </x:c>
      <x:c r="I1161" s="28" t="str">
        <x:v>Direct or strongly ADHD-related record retained for later screening; typically narrower treatment, biomarker, mechanistic, or single-comorbidity focus.</x:v>
      </x:c>
      <x:c r="J1161" s="38" t="e">
        <x:f>HYPERLINK("https://pubmed.ncbi.nlm.nih.gov/"&amp;C1161&amp;"/","Open PubMed")</x:f>
        <x:v>HYPERLINK is not implemented. linkLocation=https://pubmed.ncbi.nlm.nih.gov/20141255/, friendlyName=Open PubMed</x:v>
      </x:c>
    </x:row>
    <x:row r="1162">
      <x:c r="A1162" s="26" t="str">
        <x:v>PUBMED-20129889</x:v>
      </x:c>
      <x:c r="B1162" s="26" t="n">
        <x:v>2010</x:v>
      </x:c>
      <x:c r="C1162" s="26" t="str">
        <x:v>20129889</x:v>
      </x:c>
      <x:c r="D1162" s="28" t="str">
        <x:v>Mouth breathing: adverse effects on facial growth, health, academics, and behavior.</x:v>
      </x:c>
      <x:c r="E1162" s="28" t="str">
        <x:v>Evidence synthesis - review</x:v>
      </x:c>
      <x:c r="F1162" s="28" t="str">
        <x:v>Development &amp; presentation; Recognition &amp; diagnosis; Family &amp; education; Social &amp; structural; Environmental &amp; lifestyle; Treatment &amp; support</x:v>
      </x:c>
      <x:c r="G1162" s="28" t="str">
        <x:v>Childhood; Adulthood</x:v>
      </x:c>
      <x:c r="H1162" s="28" t="str">
        <x:v>Later specialized</x:v>
      </x:c>
      <x:c r="I1162" s="28" t="str">
        <x:v>Direct or strongly ADHD-related record retained for later screening; typically narrower treatment, biomarker, mechanistic, or single-comorbidity focus.</x:v>
      </x:c>
      <x:c r="J1162" s="38" t="e">
        <x:f>HYPERLINK("https://pubmed.ncbi.nlm.nih.gov/"&amp;C1162&amp;"/","Open PubMed")</x:f>
        <x:v>HYPERLINK is not implemented. linkLocation=https://pubmed.ncbi.nlm.nih.gov/20129889/, friendlyName=Open PubMed</x:v>
      </x:c>
    </x:row>
    <x:row r="1163">
      <x:c r="A1163" s="26" t="str">
        <x:v>PUBMED-20129482</x:v>
      </x:c>
      <x:c r="B1163" s="26" t="n">
        <x:v>2010</x:v>
      </x:c>
      <x:c r="C1163" s="26" t="str">
        <x:v>20129482</x:v>
      </x:c>
      <x:c r="D1163" s="28" t="str">
        <x:v>Comparing medical homes for children with ADHD and asthma.</x:v>
      </x:c>
      <x:c r="E1163" s="28" t="str">
        <x:v>Primary study - cross-sectional</x:v>
      </x:c>
      <x:c r="F1163" s="28" t="str">
        <x:v>Development &amp; presentation; Family &amp; education; Social &amp; structural; Treatment &amp; support; Life outcomes &amp; lived experience</x:v>
      </x:c>
      <x:c r="G1163" s="28" t="str">
        <x:v>Childhood; Adolescence</x:v>
      </x:c>
      <x:c r="H1163" s="28" t="str">
        <x:v>Later specialized</x:v>
      </x:c>
      <x:c r="I1163" s="28" t="str">
        <x:v>Direct or strongly ADHD-related record retained for later screening; typically narrower treatment, biomarker, mechanistic, or single-comorbidity focus.</x:v>
      </x:c>
      <x:c r="J1163" s="38" t="e">
        <x:f>HYPERLINK("https://pubmed.ncbi.nlm.nih.gov/"&amp;C1163&amp;"/","Open PubMed")</x:f>
        <x:v>HYPERLINK is not implemented. linkLocation=https://pubmed.ncbi.nlm.nih.gov/20129482/, friendlyName=Open PubMed</x:v>
      </x:c>
    </x:row>
    <x:row r="1164">
      <x:c r="A1164" s="26" t="str">
        <x:v>PUBMED-20129005</x:v>
      </x:c>
      <x:c r="B1164" s="26" t="n">
        <x:v>2010</x:v>
      </x:c>
      <x:c r="C1164" s="26" t="str">
        <x:v>20129005</x:v>
      </x:c>
      <x:c r="D1164" s="28" t="str">
        <x:v>Bipolar symptoms in adult attention-deficit/hyperactivity disorder: a cross-sectional study of 510 clinically diagnosed patients and 417 population-based controls.</x:v>
      </x:c>
      <x:c r="E1164" s="28" t="str">
        <x:v>Primary study - cross-sectional</x:v>
      </x:c>
      <x:c r="F1164" s="28" t="str">
        <x:v>Development &amp; presentation; Recognition &amp; diagnosis; Family &amp; education; Social &amp; structural; Life outcomes &amp; lived experience</x:v>
      </x:c>
      <x:c r="G1164" s="28" t="str">
        <x:v>Adolescence; Adulthood</x:v>
      </x:c>
      <x:c r="H1164" s="28" t="str">
        <x:v>Batch 1 core</x:v>
      </x:c>
      <x:c r="I1164" s="28" t="str">
        <x:v>Direct ADHD primary study on diagnosis, family/education, structural conditions, lived experience/outcomes, or environment/lifestyle.</x:v>
      </x:c>
      <x:c r="J1164" s="38" t="e">
        <x:f>HYPERLINK("https://pubmed.ncbi.nlm.nih.gov/"&amp;C1164&amp;"/","Open PubMed")</x:f>
        <x:v>HYPERLINK is not implemented. linkLocation=https://pubmed.ncbi.nlm.nih.gov/20129005/, friendlyName=Open PubMed</x:v>
      </x:c>
    </x:row>
    <x:row r="1165">
      <x:c r="A1165" s="26" t="str">
        <x:v>PUBMED-20129003</x:v>
      </x:c>
      <x:c r="B1165" s="26" t="n">
        <x:v>2010</x:v>
      </x:c>
      <x:c r="C1165" s="26" t="str">
        <x:v>20129003</x:v>
      </x:c>
      <x:c r="D1165" s="28" t="str">
        <x:v>Mechanism of action of stimulants in attention-deficit/hyperactivity disorder.</x:v>
      </x:c>
      <x:c r="E1165" s="28" t="str">
        <x:v>Evidence synthesis - review</x:v>
      </x:c>
      <x:c r="F1165" s="28" t="str">
        <x:v>Development &amp; presentation; Treatment &amp; support</x:v>
      </x:c>
      <x:c r="G1165" s="28" t="str">
        <x:v>Not specified</x:v>
      </x:c>
      <x:c r="H1165" s="28" t="str">
        <x:v>Later specialized</x:v>
      </x:c>
      <x:c r="I1165" s="28" t="str">
        <x:v>Direct or strongly ADHD-related record retained for later screening; typically narrower treatment, biomarker, mechanistic, or single-comorbidity focus.</x:v>
      </x:c>
      <x:c r="J1165" s="38" t="e">
        <x:f>HYPERLINK("https://pubmed.ncbi.nlm.nih.gov/"&amp;C1165&amp;"/","Open PubMed")</x:f>
        <x:v>HYPERLINK is not implemented. linkLocation=https://pubmed.ncbi.nlm.nih.gov/20129003/, friendlyName=Open PubMed</x:v>
      </x:c>
    </x:row>
    <x:row r="1166">
      <x:c r="A1166" s="26" t="str">
        <x:v>PUBMED-20124275</x:v>
      </x:c>
      <x:c r="B1166" s="26" t="n">
        <x:v>2010</x:v>
      </x:c>
      <x:c r="C1166" s="26" t="str">
        <x:v>20124275</x:v>
      </x:c>
      <x:c r="D1166" s="28" t="str">
        <x:v>Attention-deficit/hyperactivity disorder.</x:v>
      </x:c>
      <x:c r="E1166" s="28" t="str">
        <x:v>Evidence synthesis - review</x:v>
      </x:c>
      <x:c r="F1166" s="28" t="str">
        <x:v>Development &amp; presentation; Recognition &amp; diagnosis; Social &amp; structural; Treatment &amp; support</x:v>
      </x:c>
      <x:c r="G1166" s="28" t="str">
        <x:v>Childhood</x:v>
      </x:c>
      <x:c r="H1166" s="28" t="str">
        <x:v>Later specialized</x:v>
      </x:c>
      <x:c r="I1166" s="28" t="str">
        <x:v>Direct or strongly ADHD-related record retained for later screening; typically narrower treatment, biomarker, mechanistic, or single-comorbidity focus.</x:v>
      </x:c>
      <x:c r="J1166" s="38" t="e">
        <x:f>HYPERLINK("https://pubmed.ncbi.nlm.nih.gov/"&amp;C1166&amp;"/","Open PubMed")</x:f>
        <x:v>HYPERLINK is not implemented. linkLocation=https://pubmed.ncbi.nlm.nih.gov/20124275/, friendlyName=Open PubMed</x:v>
      </x:c>
    </x:row>
    <x:row r="1167">
      <x:c r="A1167" s="26" t="str">
        <x:v>PUBMED-20124145</x:v>
      </x:c>
      <x:c r="B1167" s="26" t="n">
        <x:v>2010</x:v>
      </x:c>
      <x:c r="C1167" s="26" t="str">
        <x:v>20124145</x:v>
      </x:c>
      <x:c r="D1167" s="28" t="str">
        <x:v>Attention-deficit/hyperactivity disorder outcomes for children treated in community-based pediatric settings.</x:v>
      </x:c>
      <x:c r="E1167" s="28" t="str">
        <x:v>Primary study - case-control</x:v>
      </x:c>
      <x:c r="F1167" s="28" t="str">
        <x:v>Development &amp; presentation; Recognition &amp; diagnosis; Family &amp; education; Social &amp; structural; Treatment &amp; support; Life outcomes &amp; lived experience</x:v>
      </x:c>
      <x:c r="G1167" s="28" t="str">
        <x:v>Childhood</x:v>
      </x:c>
      <x:c r="H1167" s="28" t="str">
        <x:v>Later specialized</x:v>
      </x:c>
      <x:c r="I1167" s="28" t="str">
        <x:v>Direct or strongly ADHD-related record retained for later screening; typically narrower treatment, biomarker, mechanistic, or single-comorbidity focus.</x:v>
      </x:c>
      <x:c r="J1167" s="38" t="e">
        <x:f>HYPERLINK("https://pubmed.ncbi.nlm.nih.gov/"&amp;C1167&amp;"/","Open PubMed")</x:f>
        <x:v>HYPERLINK is not implemented. linkLocation=https://pubmed.ncbi.nlm.nih.gov/20124145/, friendlyName=Open PubMed</x:v>
      </x:c>
    </x:row>
    <x:row r="1168">
      <x:c r="A1168" s="26" t="str">
        <x:v>PUBMED-20123778</x:v>
      </x:c>
      <x:c r="B1168" s="26" t="n">
        <x:v>2010</x:v>
      </x:c>
      <x:c r="C1168" s="26" t="str">
        <x:v>20123778</x:v>
      </x:c>
      <x:c r="D1168" s="28" t="str">
        <x:v>The course of inattention and hyperactivity/impulsivity symptoms after foster placement.</x:v>
      </x:c>
      <x:c r="E1168" s="28" t="str">
        <x:v>Primary/contextual journal article</x:v>
      </x:c>
      <x:c r="F1168" s="28" t="str">
        <x:v>Development &amp; presentation; Recognition &amp; diagnosis; Family &amp; education; Social &amp; structural; Treatment &amp; support; Historical &amp; contemporary context</x:v>
      </x:c>
      <x:c r="G1168" s="28" t="str">
        <x:v>Childhood</x:v>
      </x:c>
      <x:c r="H1168" s="28" t="str">
        <x:v>Later specialized</x:v>
      </x:c>
      <x:c r="I1168" s="28" t="str">
        <x:v>Direct or strongly ADHD-related record retained for later screening; typically narrower treatment, biomarker, mechanistic, or single-comorbidity focus.</x:v>
      </x:c>
      <x:c r="J1168" s="38" t="e">
        <x:f>HYPERLINK("https://pubmed.ncbi.nlm.nih.gov/"&amp;C1168&amp;"/","Open PubMed")</x:f>
        <x:v>HYPERLINK is not implemented. linkLocation=https://pubmed.ncbi.nlm.nih.gov/20123778/, friendlyName=Open PubMed</x:v>
      </x:c>
    </x:row>
    <x:row r="1169">
      <x:c r="A1169" s="26" t="str">
        <x:v>PUBMED-20117748</x:v>
      </x:c>
      <x:c r="B1169" s="26" t="n">
        <x:v>2010</x:v>
      </x:c>
      <x:c r="C1169" s="26" t="str">
        <x:v>20117748</x:v>
      </x:c>
      <x:c r="D1169" s="28" t="str">
        <x:v>Using brain-based cognitive measures to support clinical decisions in ADHD.</x:v>
      </x:c>
      <x:c r="E1169" s="28" t="str">
        <x:v>Primary/contextual journal article</x:v>
      </x:c>
      <x:c r="F1169" s="28" t="str">
        <x:v>Development &amp; presentation; Recognition &amp; diagnosis; Social &amp; structural; Treatment &amp; support; Life outcomes &amp; lived experience</x:v>
      </x:c>
      <x:c r="G1169" s="28" t="str">
        <x:v>Childhood; Adolescence</x:v>
      </x:c>
      <x:c r="H1169" s="28" t="str">
        <x:v>Later specialized</x:v>
      </x:c>
      <x:c r="I1169" s="28" t="str">
        <x:v>Direct or strongly ADHD-related record retained for later screening; typically narrower treatment, biomarker, mechanistic, or single-comorbidity focus.</x:v>
      </x:c>
      <x:c r="J1169" s="38" t="e">
        <x:f>HYPERLINK("https://pubmed.ncbi.nlm.nih.gov/"&amp;C1169&amp;"/","Open PubMed")</x:f>
        <x:v>HYPERLINK is not implemented. linkLocation=https://pubmed.ncbi.nlm.nih.gov/20117748/, friendlyName=Open PubMed</x:v>
      </x:c>
    </x:row>
    <x:row r="1170">
      <x:c r="A1170" s="26" t="str">
        <x:v>PUBMED-20117101</x:v>
      </x:c>
      <x:c r="B1170" s="26" t="n">
        <x:v>2010</x:v>
      </x:c>
      <x:c r="C1170" s="26" t="str">
        <x:v>20117101</x:v>
      </x:c>
      <x:c r="D1170" s="28" t="str">
        <x:v>Altered spontaneous low frequency brain activity in attention deficit/hyperactivity disorder.</x:v>
      </x:c>
      <x:c r="E1170" s="28" t="str">
        <x:v>Primary/contextual journal article</x:v>
      </x:c>
      <x:c r="F1170" s="28" t="str">
        <x:v>Development &amp; presentation</x:v>
      </x:c>
      <x:c r="G1170" s="28" t="str">
        <x:v>Childhood; Adolescence</x:v>
      </x:c>
      <x:c r="H1170" s="28" t="str">
        <x:v>Later specialized</x:v>
      </x:c>
      <x:c r="I1170" s="28" t="str">
        <x:v>Direct or strongly ADHD-related record retained for later screening; typically narrower treatment, biomarker, mechanistic, or single-comorbidity focus.</x:v>
      </x:c>
      <x:c r="J1170" s="38" t="e">
        <x:f>HYPERLINK("https://pubmed.ncbi.nlm.nih.gov/"&amp;C1170&amp;"/","Open PubMed")</x:f>
        <x:v>HYPERLINK is not implemented. linkLocation=https://pubmed.ncbi.nlm.nih.gov/20117101/, friendlyName=Open PubMed</x:v>
      </x:c>
    </x:row>
    <x:row r="1171">
      <x:c r="A1171" s="26" t="str">
        <x:v>PUBMED-20110829</x:v>
      </x:c>
      <x:c r="B1171" s="26" t="n">
        <x:v>2010</x:v>
      </x:c>
      <x:c r="C1171" s="26" t="str">
        <x:v>20110829</x:v>
      </x:c>
      <x:c r="D1171" s="28" t="str">
        <x:v>Role of perinatal adversities on tic severity and symptoms of attention deficit/hyperactivity disorder in children and adolescents with a tic disorder.</x:v>
      </x:c>
      <x:c r="E1171" s="28" t="str">
        <x:v>Primary/contextual journal article</x:v>
      </x:c>
      <x:c r="F1171" s="28" t="str">
        <x:v>Development &amp; presentation; Family &amp; education; Social &amp; structural; Environmental &amp; lifestyle; Treatment &amp; support; Life outcomes &amp; lived experience; Historical &amp; contemporary context</x:v>
      </x:c>
      <x:c r="G1171" s="28" t="str">
        <x:v>Childhood; Adolescence</x:v>
      </x:c>
      <x:c r="H1171" s="28" t="str">
        <x:v>Later specialized</x:v>
      </x:c>
      <x:c r="I1171" s="28" t="str">
        <x:v>Direct or strongly ADHD-related record retained for later screening; typically narrower treatment, biomarker, mechanistic, or single-comorbidity focus.</x:v>
      </x:c>
      <x:c r="J1171" s="38" t="e">
        <x:f>HYPERLINK("https://pubmed.ncbi.nlm.nih.gov/"&amp;C1171&amp;"/","Open PubMed")</x:f>
        <x:v>HYPERLINK is not implemented. linkLocation=https://pubmed.ncbi.nlm.nih.gov/20110829/, friendlyName=Open PubMed</x:v>
      </x:c>
    </x:row>
    <x:row r="1172">
      <x:c r="A1172" s="26" t="str">
        <x:v>PUBMED-20105148</x:v>
      </x:c>
      <x:c r="B1172" s="26" t="n">
        <x:v>2010</x:v>
      </x:c>
      <x:c r="C1172" s="26" t="str">
        <x:v>20105148</x:v>
      </x:c>
      <x:c r="D1172" s="28" t="str">
        <x:v>Sustained attention as a potential endophenotype for bipolar disorder.</x:v>
      </x:c>
      <x:c r="E1172" s="28" t="str">
        <x:v>Primary/contextual journal article</x:v>
      </x:c>
      <x:c r="F1172" s="28" t="str">
        <x:v>Development &amp; presentation; Recognition &amp; diagnosis; Social &amp; structural; Historical &amp; contemporary context</x:v>
      </x:c>
      <x:c r="G1172" s="28" t="str">
        <x:v>Adulthood</x:v>
      </x:c>
      <x:c r="H1172" s="28" t="str">
        <x:v>Later specialized</x:v>
      </x:c>
      <x:c r="I1172" s="28" t="str">
        <x:v>Direct or strongly ADHD-related record retained for later screening; typically narrower treatment, biomarker, mechanistic, or single-comorbidity focus.</x:v>
      </x:c>
      <x:c r="J1172" s="38" t="e">
        <x:f>HYPERLINK("https://pubmed.ncbi.nlm.nih.gov/"&amp;C1172&amp;"/","Open PubMed")</x:f>
        <x:v>HYPERLINK is not implemented. linkLocation=https://pubmed.ncbi.nlm.nih.gov/20105148/, friendlyName=Open PubMed</x:v>
      </x:c>
    </x:row>
    <x:row r="1173">
      <x:c r="A1173" s="26" t="str">
        <x:v>PUBMED-20097256</x:v>
      </x:c>
      <x:c r="B1173" s="26" t="n">
        <x:v>2010</x:v>
      </x:c>
      <x:c r="C1173" s="26" t="str">
        <x:v>20097256</x:v>
      </x:c>
      <x:c r="D1173" s="28" t="str">
        <x:v>Error monitoring in children with ADHD or reading disorder: An event-related potential study.</x:v>
      </x:c>
      <x:c r="E1173" s="28" t="str">
        <x:v>Primary/contextual journal article</x:v>
      </x:c>
      <x:c r="F1173" s="28" t="str">
        <x:v>Development &amp; presentation; Social &amp; structural</x:v>
      </x:c>
      <x:c r="G1173" s="28" t="str">
        <x:v>Childhood</x:v>
      </x:c>
      <x:c r="H1173" s="28" t="str">
        <x:v>Later specialized</x:v>
      </x:c>
      <x:c r="I1173" s="28" t="str">
        <x:v>Direct or strongly ADHD-related record retained for later screening; typically narrower treatment, biomarker, mechanistic, or single-comorbidity focus.</x:v>
      </x:c>
      <x:c r="J1173" s="38" t="e">
        <x:f>HYPERLINK("https://pubmed.ncbi.nlm.nih.gov/"&amp;C1173&amp;"/","Open PubMed")</x:f>
        <x:v>HYPERLINK is not implemented. linkLocation=https://pubmed.ncbi.nlm.nih.gov/20097256/, friendlyName=Open PubMed</x:v>
      </x:c>
    </x:row>
    <x:row r="1174">
      <x:c r="A1174" s="26" t="str">
        <x:v>PUBMED-20092647</x:v>
      </x:c>
      <x:c r="B1174" s="26" t="n">
        <x:v>2010</x:v>
      </x:c>
      <x:c r="C1174" s="26" t="str">
        <x:v>20092647</x:v>
      </x:c>
      <x:c r="D1174" s="28" t="str">
        <x:v>Are GPs adequately equipped with the knowledge for educating and counseling of families with ADHD children?</x:v>
      </x:c>
      <x:c r="E1174" s="28" t="str">
        <x:v>Primary study - cross-sectional</x:v>
      </x:c>
      <x:c r="F1174" s="28" t="str">
        <x:v>Development &amp; presentation; Recognition &amp; diagnosis; Family &amp; education; Social &amp; structural; Treatment &amp; support; Historical &amp; contemporary context</x:v>
      </x:c>
      <x:c r="G1174" s="28" t="str">
        <x:v>Childhood; Adulthood</x:v>
      </x:c>
      <x:c r="H1174" s="28" t="str">
        <x:v>Later specialized</x:v>
      </x:c>
      <x:c r="I1174" s="28" t="str">
        <x:v>Direct or strongly ADHD-related record retained for later screening; typically narrower treatment, biomarker, mechanistic, or single-comorbidity focus.</x:v>
      </x:c>
      <x:c r="J1174" s="38" t="e">
        <x:f>HYPERLINK("https://pubmed.ncbi.nlm.nih.gov/"&amp;C1174&amp;"/","Open PubMed")</x:f>
        <x:v>HYPERLINK is not implemented. linkLocation=https://pubmed.ncbi.nlm.nih.gov/20092647/, friendlyName=Open PubMed</x:v>
      </x:c>
    </x:row>
    <x:row r="1175">
      <x:c r="A1175" s="26" t="str">
        <x:v>PUBMED-20088618</x:v>
      </x:c>
      <x:c r="B1175" s="26" t="n">
        <x:v>2010</x:v>
      </x:c>
      <x:c r="C1175" s="26" t="str">
        <x:v>20088618</x:v>
      </x:c>
      <x:c r="D1175" s="28" t="str">
        <x:v>Progress and promise of attention-deficit hyperactivity disorder pharmacogenetics.</x:v>
      </x:c>
      <x:c r="E1175" s="28" t="str">
        <x:v>Evidence synthesis - review</x:v>
      </x:c>
      <x:c r="F1175" s="28" t="str">
        <x:v>Development &amp; presentation; Social &amp; structural; Environmental &amp; lifestyle; Treatment &amp; support; Life outcomes &amp; lived experience</x:v>
      </x:c>
      <x:c r="G1175" s="28" t="str">
        <x:v>Not specified</x:v>
      </x:c>
      <x:c r="H1175" s="28" t="str">
        <x:v>Later specialized</x:v>
      </x:c>
      <x:c r="I1175" s="28" t="str">
        <x:v>Direct or strongly ADHD-related record retained for later screening; typically narrower treatment, biomarker, mechanistic, or single-comorbidity focus.</x:v>
      </x:c>
      <x:c r="J1175" s="38" t="e">
        <x:f>HYPERLINK("https://pubmed.ncbi.nlm.nih.gov/"&amp;C1175&amp;"/","Open PubMed")</x:f>
        <x:v>HYPERLINK is not implemented. linkLocation=https://pubmed.ncbi.nlm.nih.gov/20088618/, friendlyName=Open PubMed</x:v>
      </x:c>
    </x:row>
    <x:row r="1176">
      <x:c r="A1176" s="26" t="str">
        <x:v>PUBMED-20087663</x:v>
      </x:c>
      <x:c r="B1176" s="26" t="n">
        <x:v>2010</x:v>
      </x:c>
      <x:c r="C1176" s="26" t="str">
        <x:v>20087663</x:v>
      </x:c>
      <x:c r="D1176" s="28" t="str">
        <x:v>Social-adaptive and psychological functioning of patients affected by Fabry disease.</x:v>
      </x:c>
      <x:c r="E1176" s="28" t="str">
        <x:v>Primary/contextual journal article</x:v>
      </x:c>
      <x:c r="F1176" s="28" t="str">
        <x:v>Development &amp; presentation; Recognition &amp; diagnosis; Family &amp; education; Social &amp; structural; Environmental &amp; lifestyle; Treatment &amp; support; Life outcomes &amp; lived experience</x:v>
      </x:c>
      <x:c r="G1176" s="28" t="str">
        <x:v>Adolescence; Adulthood</x:v>
      </x:c>
      <x:c r="H1176" s="28" t="str">
        <x:v>Exclude/incidental</x:v>
      </x:c>
      <x:c r="I1176" s="28" t="str">
        <x:v>ADHD appears peripheral or insufficiently aligned with the requested corpus scope based on accessible metadata/abstract.</x:v>
      </x:c>
      <x:c r="J1176" s="38" t="e">
        <x:f>HYPERLINK("https://pubmed.ncbi.nlm.nih.gov/"&amp;C1176&amp;"/","Open PubMed")</x:f>
        <x:v>HYPERLINK is not implemented. linkLocation=https://pubmed.ncbi.nlm.nih.gov/20087663/, friendlyName=Open PubMed</x:v>
      </x:c>
    </x:row>
    <x:row r="1177">
      <x:c r="A1177" s="26" t="str">
        <x:v>PUBMED-20075654</x:v>
      </x:c>
      <x:c r="B1177" s="26" t="n">
        <x:v>2010</x:v>
      </x:c>
      <x:c r="C1177" s="26" t="str">
        <x:v>20075654</x:v>
      </x:c>
      <x:c r="D1177" s="28" t="str">
        <x:v>Aripiprazole induced acute dystonia after discontinuation of a stimulant medication.</x:v>
      </x:c>
      <x:c r="E1177" s="28" t="str">
        <x:v>Other/unclear</x:v>
      </x:c>
      <x:c r="F1177" s="28" t="str">
        <x:v>Development &amp; presentation; Treatment &amp; support</x:v>
      </x:c>
      <x:c r="G1177" s="28" t="str">
        <x:v>Childhood</x:v>
      </x:c>
      <x:c r="H1177" s="28" t="str">
        <x:v>Exclude/incidental</x:v>
      </x:c>
      <x:c r="I1177" s="28" t="str">
        <x:v>ADHD appears peripheral or insufficiently aligned with the requested corpus scope based on accessible metadata/abstract.</x:v>
      </x:c>
      <x:c r="J1177" s="38" t="e">
        <x:f>HYPERLINK("https://pubmed.ncbi.nlm.nih.gov/"&amp;C1177&amp;"/","Open PubMed")</x:f>
        <x:v>HYPERLINK is not implemented. linkLocation=https://pubmed.ncbi.nlm.nih.gov/20075654/, friendlyName=Open PubMed</x:v>
      </x:c>
    </x:row>
    <x:row r="1178">
      <x:c r="A1178" s="26" t="str">
        <x:v>PUBMED-20070784</x:v>
      </x:c>
      <x:c r="B1178" s="26" t="n">
        <x:v>2010</x:v>
      </x:c>
      <x:c r="C1178" s="26" t="str">
        <x:v>20070784</x:v>
      </x:c>
      <x:c r="D1178" s="28" t="str">
        <x:v>Occurrence and treatment of ADHD in adults.</x:v>
      </x:c>
      <x:c r="E1178" s="28" t="str">
        <x:v>Contextual - editorial/comment</x:v>
      </x:c>
      <x:c r="F1178" s="28" t="str">
        <x:v>Development &amp; presentation; Social &amp; structural; Treatment &amp; support</x:v>
      </x:c>
      <x:c r="G1178" s="28" t="str">
        <x:v>Childhood; Adulthood</x:v>
      </x:c>
      <x:c r="H1178" s="28" t="str">
        <x:v>Later specialized</x:v>
      </x:c>
      <x:c r="I1178" s="28" t="str">
        <x:v>Direct or strongly ADHD-related record retained for later screening; typically narrower treatment, biomarker, mechanistic, or single-comorbidity focus.</x:v>
      </x:c>
      <x:c r="J1178" s="38" t="e">
        <x:f>HYPERLINK("https://pubmed.ncbi.nlm.nih.gov/"&amp;C1178&amp;"/","Open PubMed")</x:f>
        <x:v>HYPERLINK is not implemented. linkLocation=https://pubmed.ncbi.nlm.nih.gov/20070784/, friendlyName=Open PubMed</x:v>
      </x:c>
    </x:row>
    <x:row r="1179">
      <x:c r="A1179" s="26" t="str">
        <x:v>PUBMED-20069354</x:v>
      </x:c>
      <x:c r="B1179" s="26" t="n">
        <x:v>2010</x:v>
      </x:c>
      <x:c r="C1179" s="26" t="str">
        <x:v>20069354</x:v>
      </x:c>
      <x:c r="D1179" s="28" t="str">
        <x:v>Emotional/behavioral problems and functional impairment in clinic- and community-based children with attention-deficit/hyperactivity disorder in Taiwan.</x:v>
      </x:c>
      <x:c r="E1179" s="28" t="str">
        <x:v>Primary/contextual journal article</x:v>
      </x:c>
      <x:c r="F1179" s="28" t="str">
        <x:v>Development &amp; presentation; Recognition &amp; diagnosis; Family &amp; education; Social &amp; structural; Treatment &amp; support; Life outcomes &amp; lived experience</x:v>
      </x:c>
      <x:c r="G1179" s="28" t="str">
        <x:v>Childhood; Adolescence</x:v>
      </x:c>
      <x:c r="H1179" s="28" t="str">
        <x:v>Later specialized</x:v>
      </x:c>
      <x:c r="I1179" s="28" t="str">
        <x:v>Direct or strongly ADHD-related record retained for later screening; typically narrower treatment, biomarker, mechanistic, or single-comorbidity focus.</x:v>
      </x:c>
      <x:c r="J1179" s="38" t="e">
        <x:f>HYPERLINK("https://pubmed.ncbi.nlm.nih.gov/"&amp;C1179&amp;"/","Open PubMed")</x:f>
        <x:v>HYPERLINK is not implemented. linkLocation=https://pubmed.ncbi.nlm.nih.gov/20069354/, friendlyName=Open PubMed</x:v>
      </x:c>
    </x:row>
    <x:row r="1180">
      <x:c r="A1180" s="26" t="str">
        <x:v>PUBMED-20060087</x:v>
      </x:c>
      <x:c r="B1180" s="26" t="n">
        <x:v>2010</x:v>
      </x:c>
      <x:c r="C1180" s="26" t="str">
        <x:v>20060087</x:v>
      </x:c>
      <x:c r="D1180" s="28" t="str">
        <x:v>Functional gene group analysis reveals a role of synaptic heterotrimeric G proteins in cognitive ability.</x:v>
      </x:c>
      <x:c r="E1180" s="28" t="str">
        <x:v>Primary/contextual journal article</x:v>
      </x:c>
      <x:c r="F1180" s="28" t="str">
        <x:v>Development &amp; presentation; Social &amp; structural</x:v>
      </x:c>
      <x:c r="G1180" s="28" t="str">
        <x:v>Childhood; Adolescence; Adulthood</x:v>
      </x:c>
      <x:c r="H1180" s="28" t="str">
        <x:v>Exclude/incidental</x:v>
      </x:c>
      <x:c r="I1180" s="28" t="str">
        <x:v>ADHD appears peripheral or insufficiently aligned with the requested corpus scope based on accessible metadata/abstract.</x:v>
      </x:c>
      <x:c r="J1180" s="38" t="e">
        <x:f>HYPERLINK("https://pubmed.ncbi.nlm.nih.gov/"&amp;C1180&amp;"/","Open PubMed")</x:f>
        <x:v>HYPERLINK is not implemented. linkLocation=https://pubmed.ncbi.nlm.nih.gov/20060087/, friendlyName=Open PubMed</x:v>
      </x:c>
    </x:row>
    <x:row r="1181">
      <x:c r="A1181" s="26" t="str">
        <x:v>PUBMED-20059457</x:v>
      </x:c>
      <x:c r="B1181" s="26" t="n">
        <x:v>2010</x:v>
      </x:c>
      <x:c r="C1181" s="26" t="str">
        <x:v>20059457</x:v>
      </x:c>
      <x:c r="D1181" s="28" t="str">
        <x:v>Attention-deficit/hyperactivity disorder and co-varying aggression - a relationship with serotonin-dependent impulsive and physiological trait moderators?</x:v>
      </x:c>
      <x:c r="E1181" s="28" t="str">
        <x:v>Contextual - editorial/comment</x:v>
      </x:c>
      <x:c r="F1181" s="28" t="str">
        <x:v>Development &amp; presentation; Life outcomes &amp; lived experience</x:v>
      </x:c>
      <x:c r="G1181" s="28" t="str">
        <x:v>Not specified</x:v>
      </x:c>
      <x:c r="H1181" s="28" t="str">
        <x:v>Later specialized</x:v>
      </x:c>
      <x:c r="I1181" s="28" t="str">
        <x:v>Direct or strongly ADHD-related record retained for later screening; typically narrower treatment, biomarker, mechanistic, or single-comorbidity focus.</x:v>
      </x:c>
      <x:c r="J1181" s="38" t="e">
        <x:f>HYPERLINK("https://pubmed.ncbi.nlm.nih.gov/"&amp;C1181&amp;"/","Open PubMed")</x:f>
        <x:v>HYPERLINK is not implemented. linkLocation=https://pubmed.ncbi.nlm.nih.gov/20059457/, friendlyName=Open PubMed</x:v>
      </x:c>
    </x:row>
    <x:row r="1182">
      <x:c r="A1182" s="26" t="str">
        <x:v>PUBMED-20056377</x:v>
      </x:c>
      <x:c r="B1182" s="26" t="n">
        <x:v>2010</x:v>
      </x:c>
      <x:c r="C1182" s="26" t="str">
        <x:v>20056377</x:v>
      </x:c>
      <x:c r="D1182" s="28" t="str">
        <x:v>Cognitive modifiability of children with developmental disabilities: a multicentre study using Feuerstein's Instrumental Enrichment--Basic program.</x:v>
      </x:c>
      <x:c r="E1182" s="28" t="str">
        <x:v>Primary study - clinical trial</x:v>
      </x:c>
      <x:c r="F1182" s="28" t="str">
        <x:v>Development &amp; presentation; Family &amp; education; Social &amp; structural; Environmental &amp; lifestyle; Treatment &amp; support; Life outcomes &amp; lived experience</x:v>
      </x:c>
      <x:c r="G1182" s="28" t="str">
        <x:v>Childhood; Adolescence; Adulthood</x:v>
      </x:c>
      <x:c r="H1182" s="28" t="str">
        <x:v>Exclude/incidental</x:v>
      </x:c>
      <x:c r="I1182" s="28" t="str">
        <x:v>ADHD appears peripheral or insufficiently aligned with the requested corpus scope based on accessible metadata/abstract.</x:v>
      </x:c>
      <x:c r="J1182" s="38" t="e">
        <x:f>HYPERLINK("https://pubmed.ncbi.nlm.nih.gov/"&amp;C1182&amp;"/","Open PubMed")</x:f>
        <x:v>HYPERLINK is not implemented. linkLocation=https://pubmed.ncbi.nlm.nih.gov/20056377/, friendlyName=Open PubMed</x:v>
      </x:c>
    </x:row>
    <x:row r="1183">
      <x:c r="A1183" s="26" t="str">
        <x:v>PUBMED-20055988</x:v>
      </x:c>
      <x:c r="B1183" s="26" t="n">
        <x:v>2010</x:v>
      </x:c>
      <x:c r="C1183" s="26" t="str">
        <x:v>20055988</x:v>
      </x:c>
      <x:c r="D1183" s="28" t="str">
        <x:v>The autism--tics, AD/HD and other comorbidities inventory (A-TAC): further validation of a telephone interview for epidemiological research.</x:v>
      </x:c>
      <x:c r="E1183" s="28" t="str">
        <x:v>Primary/contextual journal article</x:v>
      </x:c>
      <x:c r="F1183" s="28" t="str">
        <x:v>Development &amp; presentation; Recognition &amp; diagnosis; Family &amp; education; Social &amp; structural; Life outcomes &amp; lived experience</x:v>
      </x:c>
      <x:c r="G1183" s="28" t="str">
        <x:v>Childhood; Adolescence</x:v>
      </x:c>
      <x:c r="H1183" s="28" t="str">
        <x:v>Later specialized</x:v>
      </x:c>
      <x:c r="I1183" s="28" t="str">
        <x:v>Direct or strongly ADHD-related record retained for later screening; typically narrower treatment, biomarker, mechanistic, or single-comorbidity focus.</x:v>
      </x:c>
      <x:c r="J1183" s="38" t="e">
        <x:f>HYPERLINK("https://pubmed.ncbi.nlm.nih.gov/"&amp;C1183&amp;"/","Open PubMed")</x:f>
        <x:v>HYPERLINK is not implemented. linkLocation=https://pubmed.ncbi.nlm.nih.gov/20055988/, friendlyName=Open PubMed</x:v>
      </x:c>
    </x:row>
    <x:row r="1184">
      <x:c r="A1184" s="26" t="str">
        <x:v>PUBMED-20043932</x:v>
      </x:c>
      <x:c r="B1184" s="26" t="n">
        <x:v>2010</x:v>
      </x:c>
      <x:c r="C1184" s="26" t="str">
        <x:v>20043932</x:v>
      </x:c>
      <x:c r="D1184" s="28" t="str">
        <x:v>Right-sided spatial difficulties in ADHD demonstrated in continuous movement control.</x:v>
      </x:c>
      <x:c r="E1184" s="28" t="str">
        <x:v>Primary/contextual journal article</x:v>
      </x:c>
      <x:c r="F1184" s="28" t="str">
        <x:v>Development &amp; presentation; Recognition &amp; diagnosis; Social &amp; structural</x:v>
      </x:c>
      <x:c r="G1184" s="28" t="str">
        <x:v>Childhood; Adolescence</x:v>
      </x:c>
      <x:c r="H1184" s="28" t="str">
        <x:v>Later specialized</x:v>
      </x:c>
      <x:c r="I1184" s="28" t="str">
        <x:v>Direct or strongly ADHD-related record retained for later screening; typically narrower treatment, biomarker, mechanistic, or single-comorbidity focus.</x:v>
      </x:c>
      <x:c r="J1184" s="38" t="e">
        <x:f>HYPERLINK("https://pubmed.ncbi.nlm.nih.gov/"&amp;C1184&amp;"/","Open PubMed")</x:f>
        <x:v>HYPERLINK is not implemented. linkLocation=https://pubmed.ncbi.nlm.nih.gov/20043932/, friendlyName=Open PubMed</x:v>
      </x:c>
    </x:row>
    <x:row r="1185">
      <x:c r="A1185" s="26" t="str">
        <x:v>PUBMED-23858608</x:v>
      </x:c>
      <x:c r="B1185" s="26" t="n">
        <x:v>2010</x:v>
      </x:c>
      <x:c r="C1185" s="26" t="str">
        <x:v>23858608</x:v>
      </x:c>
      <x:c r="D1185" s="28" t="str">
        <x:v>[Developmental changes in the kiddie continuous performance test and its appropriate age for application].</x:v>
      </x:c>
      <x:c r="E1185" s="28" t="str">
        <x:v>Primary/contextual journal article</x:v>
      </x:c>
      <x:c r="F1185" s="28" t="str">
        <x:v>Development &amp; presentation; Recognition &amp; diagnosis; Family &amp; education; Social &amp; structural</x:v>
      </x:c>
      <x:c r="G1185" s="28" t="str">
        <x:v>Childhood; Adolescence; Adulthood</x:v>
      </x:c>
      <x:c r="H1185" s="28" t="str">
        <x:v>Exclude/incidental</x:v>
      </x:c>
      <x:c r="I1185" s="28" t="str">
        <x:v>ADHD appears peripheral or insufficiently aligned with the requested corpus scope based on accessible metadata/abstract.</x:v>
      </x:c>
      <x:c r="J1185" s="38" t="e">
        <x:f>HYPERLINK("https://pubmed.ncbi.nlm.nih.gov/"&amp;C1185&amp;"/","Open PubMed")</x:f>
        <x:v>HYPERLINK is not implemented. linkLocation=https://pubmed.ncbi.nlm.nih.gov/23858608/, friendlyName=Open PubMed</x:v>
      </x:c>
    </x:row>
    <x:row r="1186">
      <x:c r="A1186" s="26" t="str">
        <x:v>PUBMED-21442976</x:v>
      </x:c>
      <x:c r="B1186" s="26" t="n">
        <x:v>2010</x:v>
      </x:c>
      <x:c r="C1186" s="26" t="str">
        <x:v>21442976</x:v>
      </x:c>
      <x:c r="D1186" s="28" t="str">
        <x:v>[Immunological and endocrinological pattern in ADHD etiopathogenesis].</x:v>
      </x:c>
      <x:c r="E1186" s="28" t="str">
        <x:v>Evidence synthesis - review</x:v>
      </x:c>
      <x:c r="F1186" s="28" t="str">
        <x:v>Development &amp; presentation; Recognition &amp; diagnosis; Social &amp; structural; Environmental &amp; lifestyle; Treatment &amp; support; Life outcomes &amp; lived experience</x:v>
      </x:c>
      <x:c r="G1186" s="28" t="str">
        <x:v>Childhood</x:v>
      </x:c>
      <x:c r="H1186" s="28" t="str">
        <x:v>Later specialized</x:v>
      </x:c>
      <x:c r="I1186" s="28" t="str">
        <x:v>Direct or strongly ADHD-related record retained for later screening; typically narrower treatment, biomarker, mechanistic, or single-comorbidity focus.</x:v>
      </x:c>
      <x:c r="J1186" s="38" t="e">
        <x:f>HYPERLINK("https://pubmed.ncbi.nlm.nih.gov/"&amp;C1186&amp;"/","Open PubMed")</x:f>
        <x:v>HYPERLINK is not implemented. linkLocation=https://pubmed.ncbi.nlm.nih.gov/21442976/, friendlyName=Open PubMed</x:v>
      </x:c>
    </x:row>
    <x:row r="1187">
      <x:c r="A1187" s="26" t="str">
        <x:v>PUBMED-21442972</x:v>
      </x:c>
      <x:c r="B1187" s="26" t="n">
        <x:v>2010</x:v>
      </x:c>
      <x:c r="C1187" s="26" t="str">
        <x:v>21442972</x:v>
      </x:c>
      <x:c r="D1187" s="28" t="str">
        <x:v>[Epilepsy and mental retardation. The school's functioning in children with epilepsy].</x:v>
      </x:c>
      <x:c r="E1187" s="28" t="str">
        <x:v>Evidence synthesis - review</x:v>
      </x:c>
      <x:c r="F1187" s="28" t="str">
        <x:v>Development &amp; presentation; Recognition &amp; diagnosis; Family &amp; education; Social &amp; structural; Environmental &amp; lifestyle; Treatment &amp; support; Life outcomes &amp; lived experience</x:v>
      </x:c>
      <x:c r="G1187" s="28" t="str">
        <x:v>Childhood</x:v>
      </x:c>
      <x:c r="H1187" s="28" t="str">
        <x:v>Exclude/incidental</x:v>
      </x:c>
      <x:c r="I1187" s="28" t="str">
        <x:v>ADHD appears peripheral or insufficiently aligned with the requested corpus scope based on accessible metadata/abstract.</x:v>
      </x:c>
      <x:c r="J1187" s="38" t="e">
        <x:f>HYPERLINK("https://pubmed.ncbi.nlm.nih.gov/"&amp;C1187&amp;"/","Open PubMed")</x:f>
        <x:v>HYPERLINK is not implemented. linkLocation=https://pubmed.ncbi.nlm.nih.gov/21442972/, friendlyName=Open PubMed</x:v>
      </x:c>
    </x:row>
    <x:row r="1188">
      <x:c r="A1188" s="26" t="str">
        <x:v>PUBMED-21391409</x:v>
      </x:c>
      <x:c r="B1188" s="26" t="n">
        <x:v>2010</x:v>
      </x:c>
      <x:c r="C1188" s="26" t="str">
        <x:v>21391409</x:v>
      </x:c>
      <x:c r="D1188" s="28" t="str">
        <x:v>Disparities in ADHD assessment, diagnosis, and treatment.</x:v>
      </x:c>
      <x:c r="E1188" s="28" t="str">
        <x:v>Primary study - cross-sectional</x:v>
      </x:c>
      <x:c r="F1188" s="28" t="str">
        <x:v>Development &amp; presentation; Recognition &amp; diagnosis; Family &amp; education; Social &amp; structural; Environmental &amp; lifestyle; Treatment &amp; support; Life outcomes &amp; lived experience</x:v>
      </x:c>
      <x:c r="G1188" s="28" t="str">
        <x:v>Childhood; Adolescence</x:v>
      </x:c>
      <x:c r="H1188" s="28" t="str">
        <x:v>Batch 1 core</x:v>
      </x:c>
      <x:c r="I1188" s="28" t="str">
        <x:v>Direct ADHD primary study on diagnosis, family/education, structural conditions, lived experience/outcomes, or environment/lifestyle.</x:v>
      </x:c>
      <x:c r="J1188" s="38" t="e">
        <x:f>HYPERLINK("https://pubmed.ncbi.nlm.nih.gov/"&amp;C1188&amp;"/","Open PubMed")</x:f>
        <x:v>HYPERLINK is not implemented. linkLocation=https://pubmed.ncbi.nlm.nih.gov/21391409/, friendlyName=Open PubMed</x:v>
      </x:c>
    </x:row>
    <x:row r="1189">
      <x:c r="A1189" s="26" t="str">
        <x:v>PUBMED-21391408</x:v>
      </x:c>
      <x:c r="B1189" s="26" t="n">
        <x:v>2010</x:v>
      </x:c>
      <x:c r="C1189" s="26" t="str">
        <x:v>21391408</x:v>
      </x:c>
      <x:c r="D1189" s="28" t="str">
        <x:v>Geographic analysis of diagnosis of Attention-Deficit/Hyperactivity Disorder in children: Eastern Wisconsin, USA.</x:v>
      </x:c>
      <x:c r="E1189" s="28" t="str">
        <x:v>Primary study - cross-sectional</x:v>
      </x:c>
      <x:c r="F1189" s="28" t="str">
        <x:v>Development &amp; presentation; Recognition &amp; diagnosis; Family &amp; education; Social &amp; structural; Environmental &amp; lifestyle</x:v>
      </x:c>
      <x:c r="G1189" s="28" t="str">
        <x:v>Childhood; Adolescence</x:v>
      </x:c>
      <x:c r="H1189" s="28" t="str">
        <x:v>Batch 1 core</x:v>
      </x:c>
      <x:c r="I1189" s="28" t="str">
        <x:v>Direct ADHD primary study on diagnosis, family/education, structural conditions, lived experience/outcomes, or environment/lifestyle.</x:v>
      </x:c>
      <x:c r="J1189" s="38" t="e">
        <x:f>HYPERLINK("https://pubmed.ncbi.nlm.nih.gov/"&amp;C1189&amp;"/","Open PubMed")</x:f>
        <x:v>HYPERLINK is not implemented. linkLocation=https://pubmed.ncbi.nlm.nih.gov/21391408/, friendlyName=Open PubMed</x:v>
      </x:c>
    </x:row>
    <x:row r="1190">
      <x:c r="A1190" s="26" t="str">
        <x:v>PUBMED-21387811</x:v>
      </x:c>
      <x:c r="B1190" s="26" t="n">
        <x:v>2010</x:v>
      </x:c>
      <x:c r="C1190" s="26" t="str">
        <x:v>21387811</x:v>
      </x:c>
      <x:c r="D1190" s="28" t="str">
        <x:v>[Neurofeedback and personal development].</x:v>
      </x:c>
      <x:c r="E1190" s="28" t="str">
        <x:v>Evidence synthesis - review</x:v>
      </x:c>
      <x:c r="F1190" s="28" t="str">
        <x:v>Development &amp; presentation; Social &amp; structural; Environmental &amp; lifestyle; Treatment &amp; support</x:v>
      </x:c>
      <x:c r="G1190" s="28" t="str">
        <x:v>Childhood; Adulthood</x:v>
      </x:c>
      <x:c r="H1190" s="28" t="str">
        <x:v>Exclude/incidental</x:v>
      </x:c>
      <x:c r="I1190" s="28" t="str">
        <x:v>ADHD appears peripheral or insufficiently aligned with the requested corpus scope based on accessible metadata/abstract.</x:v>
      </x:c>
      <x:c r="J1190" s="38" t="e">
        <x:f>HYPERLINK("https://pubmed.ncbi.nlm.nih.gov/"&amp;C1190&amp;"/","Open PubMed")</x:f>
        <x:v>HYPERLINK is not implemented. linkLocation=https://pubmed.ncbi.nlm.nih.gov/21387811/, friendlyName=Open PubMed</x:v>
      </x:c>
    </x:row>
    <x:row r="1191">
      <x:c r="A1191" s="26" t="str">
        <x:v>PUBMED-21387804</x:v>
      </x:c>
      <x:c r="B1191" s="26" t="n">
        <x:v>2010</x:v>
      </x:c>
      <x:c r="C1191" s="26" t="str">
        <x:v>21387804</x:v>
      </x:c>
      <x:c r="D1191" s="28" t="str">
        <x:v>[Electroencephalography in children with ADHD started with neurofeedback therapy].</x:v>
      </x:c>
      <x:c r="E1191" s="28" t="str">
        <x:v>Primary/contextual journal article</x:v>
      </x:c>
      <x:c r="F1191" s="28" t="str">
        <x:v>Development &amp; presentation; Recognition &amp; diagnosis; Family &amp; education; Social &amp; structural; Treatment &amp; support</x:v>
      </x:c>
      <x:c r="G1191" s="28" t="str">
        <x:v>Childhood; Adolescence</x:v>
      </x:c>
      <x:c r="H1191" s="28" t="str">
        <x:v>Later specialized</x:v>
      </x:c>
      <x:c r="I1191" s="28" t="str">
        <x:v>Direct or strongly ADHD-related record retained for later screening; typically narrower treatment, biomarker, mechanistic, or single-comorbidity focus.</x:v>
      </x:c>
      <x:c r="J1191" s="38" t="e">
        <x:f>HYPERLINK("https://pubmed.ncbi.nlm.nih.gov/"&amp;C1191&amp;"/","Open PubMed")</x:f>
        <x:v>HYPERLINK is not implemented. linkLocation=https://pubmed.ncbi.nlm.nih.gov/21387804/, friendlyName=Open PubMed</x:v>
      </x:c>
    </x:row>
    <x:row r="1192">
      <x:c r="A1192" s="26" t="str">
        <x:v>PUBMED-20039948</x:v>
      </x:c>
      <x:c r="B1192" s="26" t="n">
        <x:v>2010</x:v>
      </x:c>
      <x:c r="C1192" s="26" t="str">
        <x:v>20039948</x:v>
      </x:c>
      <x:c r="D1192" s="28" t="str">
        <x:v>A genetic study of ADHD and activity level in infancy.</x:v>
      </x:c>
      <x:c r="E1192" s="28" t="str">
        <x:v>Primary/contextual journal article</x:v>
      </x:c>
      <x:c r="F1192" s="28" t="str">
        <x:v>Development &amp; presentation; Family &amp; education; Social &amp; structural; Environmental &amp; lifestyle; Life outcomes &amp; lived experience</x:v>
      </x:c>
      <x:c r="G1192" s="28" t="str">
        <x:v>Childhood</x:v>
      </x:c>
      <x:c r="H1192" s="28" t="str">
        <x:v>Later specialized</x:v>
      </x:c>
      <x:c r="I1192" s="28" t="str">
        <x:v>Direct or strongly ADHD-related record retained for later screening; typically narrower treatment, biomarker, mechanistic, or single-comorbidity focus.</x:v>
      </x:c>
      <x:c r="J1192" s="38" t="e">
        <x:f>HYPERLINK("https://pubmed.ncbi.nlm.nih.gov/"&amp;C1192&amp;"/","Open PubMed")</x:f>
        <x:v>HYPERLINK is not implemented. linkLocation=https://pubmed.ncbi.nlm.nih.gov/20039948/, friendlyName=Open PubMed</x:v>
      </x:c>
    </x:row>
    <x:row r="1193">
      <x:c r="A1193" s="26" t="str">
        <x:v>PUBMED-20036488</x:v>
      </x:c>
      <x:c r="B1193" s="26" t="n">
        <x:v>2010</x:v>
      </x:c>
      <x:c r="C1193" s="26" t="str">
        <x:v>20036488</x:v>
      </x:c>
      <x:c r="D1193" s="28" t="str">
        <x:v>Collaborative initiative on fetal alcohol spectrum disorders: methodology of clinical projects.</x:v>
      </x:c>
      <x:c r="E1193" s="28" t="str">
        <x:v>Primary/contextual journal article</x:v>
      </x:c>
      <x:c r="F1193" s="28" t="str">
        <x:v>Development &amp; presentation; Recognition &amp; diagnosis; Social &amp; structural; Environmental &amp; lifestyle</x:v>
      </x:c>
      <x:c r="G1193" s="28" t="str">
        <x:v>Childhood; Adolescence; Adulthood</x:v>
      </x:c>
      <x:c r="H1193" s="28" t="str">
        <x:v>Exclude/incidental</x:v>
      </x:c>
      <x:c r="I1193" s="28" t="str">
        <x:v>ADHD appears peripheral or insufficiently aligned with the requested corpus scope based on accessible metadata/abstract.</x:v>
      </x:c>
      <x:c r="J1193" s="38" t="e">
        <x:f>HYPERLINK("https://pubmed.ncbi.nlm.nih.gov/"&amp;C1193&amp;"/","Open PubMed")</x:f>
        <x:v>HYPERLINK is not implemented. linkLocation=https://pubmed.ncbi.nlm.nih.gov/20036488/, friendlyName=Open PubMed</x:v>
      </x:c>
    </x:row>
    <x:row r="1194">
      <x:c r="A1194" s="26" t="str">
        <x:v>PUBMED-20033236</x:v>
      </x:c>
      <x:c r="B1194" s="26" t="n">
        <x:v>2010</x:v>
      </x:c>
      <x:c r="C1194" s="26" t="str">
        <x:v>20033236</x:v>
      </x:c>
      <x:c r="D1194" s="28" t="str">
        <x:v>Tic disorders and the premonitory urge.</x:v>
      </x:c>
      <x:c r="E1194" s="28" t="str">
        <x:v>Primary/contextual journal article</x:v>
      </x:c>
      <x:c r="F1194" s="28" t="str">
        <x:v>Development &amp; presentation; Recognition &amp; diagnosis; Social &amp; structural</x:v>
      </x:c>
      <x:c r="G1194" s="28" t="str">
        <x:v>Childhood; Adolescence</x:v>
      </x:c>
      <x:c r="H1194" s="28" t="str">
        <x:v>Later specialized</x:v>
      </x:c>
      <x:c r="I1194" s="28" t="str">
        <x:v>Direct or strongly ADHD-related record retained for later screening; typically narrower treatment, biomarker, mechanistic, or single-comorbidity focus.</x:v>
      </x:c>
      <x:c r="J1194" s="38" t="e">
        <x:f>HYPERLINK("https://pubmed.ncbi.nlm.nih.gov/"&amp;C1194&amp;"/","Open PubMed")</x:f>
        <x:v>HYPERLINK is not implemented. linkLocation=https://pubmed.ncbi.nlm.nih.gov/20033236/, friendlyName=Open PubMed</x:v>
      </x:c>
    </x:row>
    <x:row r="1195">
      <x:c r="A1195" s="26" t="str">
        <x:v>PUBMED-20028959</x:v>
      </x:c>
      <x:c r="B1195" s="26" t="n">
        <x:v>2010</x:v>
      </x:c>
      <x:c r="C1195" s="26" t="str">
        <x:v>20028959</x:v>
      </x:c>
      <x:c r="D1195" s="28" t="str">
        <x:v>Melatonin treatment for insomnia in pediatric patients with attention-deficit/hyperactivity disorder.</x:v>
      </x:c>
      <x:c r="E1195" s="28" t="str">
        <x:v>Evidence synthesis - review</x:v>
      </x:c>
      <x:c r="F1195" s="28" t="str">
        <x:v>Development &amp; presentation; Recognition &amp; diagnosis; Family &amp; education; Social &amp; structural; Environmental &amp; lifestyle; Treatment &amp; support; Life outcomes &amp; lived experience</x:v>
      </x:c>
      <x:c r="G1195" s="28" t="str">
        <x:v>Childhood</x:v>
      </x:c>
      <x:c r="H1195" s="28" t="str">
        <x:v>Later specialized</x:v>
      </x:c>
      <x:c r="I1195" s="28" t="str">
        <x:v>Direct or strongly ADHD-related record retained for later screening; typically narrower treatment, biomarker, mechanistic, or single-comorbidity focus.</x:v>
      </x:c>
      <x:c r="J1195" s="38" t="e">
        <x:f>HYPERLINK("https://pubmed.ncbi.nlm.nih.gov/"&amp;C1195&amp;"/","Open PubMed")</x:f>
        <x:v>HYPERLINK is not implemented. linkLocation=https://pubmed.ncbi.nlm.nih.gov/20028959/, friendlyName=Open PubMed</x:v>
      </x:c>
    </x:row>
    <x:row r="1196">
      <x:c r="A1196" s="26" t="str">
        <x:v>PUBMED-20026103</x:v>
      </x:c>
      <x:c r="B1196" s="26" t="n">
        <x:v>2010</x:v>
      </x:c>
      <x:c r="C1196" s="26" t="str">
        <x:v>20026103</x:v>
      </x:c>
      <x:c r="D1196" s="28" t="str">
        <x:v>The effects of maternal smoking during pregnancy on offspring outcomes.</x:v>
      </x:c>
      <x:c r="E1196" s="28" t="str">
        <x:v>Primary/contextual journal article</x:v>
      </x:c>
      <x:c r="F1196" s="28" t="str">
        <x:v>Development &amp; presentation; Family &amp; education; Social &amp; structural; Environmental &amp; lifestyle; Treatment &amp; support; Life outcomes &amp; lived experience; Historical &amp; contemporary context</x:v>
      </x:c>
      <x:c r="G1196" s="28" t="str">
        <x:v>Adolescence; Adulthood</x:v>
      </x:c>
      <x:c r="H1196" s="28" t="str">
        <x:v>Later specialized</x:v>
      </x:c>
      <x:c r="I1196" s="28" t="str">
        <x:v>Direct or strongly ADHD-related record retained for later screening; typically narrower treatment, biomarker, mechanistic, or single-comorbidity focus.</x:v>
      </x:c>
      <x:c r="J1196" s="38" t="e">
        <x:f>HYPERLINK("https://pubmed.ncbi.nlm.nih.gov/"&amp;C1196&amp;"/","Open PubMed")</x:f>
        <x:v>HYPERLINK is not implemented. linkLocation=https://pubmed.ncbi.nlm.nih.gov/20026103/, friendlyName=Open PubMed</x:v>
      </x:c>
    </x:row>
    <x:row r="1197">
      <x:c r="A1197" s="26" t="str">
        <x:v>PUBMED-20016226</x:v>
      </x:c>
      <x:c r="B1197" s="26" t="n">
        <x:v>2010</x:v>
      </x:c>
      <x:c r="C1197" s="26" t="str">
        <x:v>20016226</x:v>
      </x:c>
      <x:c r="D1197" s="28" t="str">
        <x:v>Sustained attention and planning deficits but intact attentional set-shifting in neuroleptic-naïve first-episode schizophrenia patients.</x:v>
      </x:c>
      <x:c r="E1197" s="28" t="str">
        <x:v>Primary study - case-control</x:v>
      </x:c>
      <x:c r="F1197" s="28" t="str">
        <x:v>Development &amp; presentation; Recognition &amp; diagnosis; Social &amp; structural; Treatment &amp; support</x:v>
      </x:c>
      <x:c r="G1197" s="28" t="str">
        <x:v>Adolescence; Adulthood</x:v>
      </x:c>
      <x:c r="H1197" s="28" t="str">
        <x:v>Later specialized</x:v>
      </x:c>
      <x:c r="I1197" s="28" t="str">
        <x:v>Direct or strongly ADHD-related record retained for later screening; typically narrower treatment, biomarker, mechanistic, or single-comorbidity focus.</x:v>
      </x:c>
      <x:c r="J1197" s="38" t="e">
        <x:f>HYPERLINK("https://pubmed.ncbi.nlm.nih.gov/"&amp;C1197&amp;"/","Open PubMed")</x:f>
        <x:v>HYPERLINK is not implemented. linkLocation=https://pubmed.ncbi.nlm.nih.gov/20016226/, friendlyName=Open PubMed</x:v>
      </x:c>
    </x:row>
    <x:row r="1198">
      <x:c r="A1198" s="26" t="str">
        <x:v>PUBMED-20002115</x:v>
      </x:c>
      <x:c r="B1198" s="26" t="n">
        <x:v>2010</x:v>
      </x:c>
      <x:c r="C1198" s="26" t="str">
        <x:v>20002115</x:v>
      </x:c>
      <x:c r="D1198" s="28" t="str">
        <x:v>Visuospatial attention disturbance in Duchenne muscular dystrophy.</x:v>
      </x:c>
      <x:c r="E1198" s="28" t="str">
        <x:v>Primary/contextual journal article</x:v>
      </x:c>
      <x:c r="F1198" s="28" t="str">
        <x:v>Development &amp; presentation; Social &amp; structural</x:v>
      </x:c>
      <x:c r="G1198" s="28" t="str">
        <x:v>Childhood; Adolescence</x:v>
      </x:c>
      <x:c r="H1198" s="28" t="str">
        <x:v>Later specialized</x:v>
      </x:c>
      <x:c r="I1198" s="28" t="str">
        <x:v>Direct or strongly ADHD-related record retained for later screening; typically narrower treatment, biomarker, mechanistic, or single-comorbidity focus.</x:v>
      </x:c>
      <x:c r="J1198" s="38" t="e">
        <x:f>HYPERLINK("https://pubmed.ncbi.nlm.nih.gov/"&amp;C1198&amp;"/","Open PubMed")</x:f>
        <x:v>HYPERLINK is not implemented. linkLocation=https://pubmed.ncbi.nlm.nih.gov/20002115/, friendlyName=Open PubMed</x:v>
      </x:c>
    </x:row>
    <x:row r="1199">
      <x:c r="A1199" s="26" t="str">
        <x:v>PUBMED-20002010</x:v>
      </x:c>
      <x:c r="B1199" s="26" t="n">
        <x:v>2010</x:v>
      </x:c>
      <x:c r="C1199" s="26" t="str">
        <x:v>20002010</x:v>
      </x:c>
      <x:c r="D1199" s="28" t="str">
        <x:v>Routine developmental screening at 5.5 and 7 years of age is not an efficient predictor of attention deficit hyperactivity disorder - a critical comment.</x:v>
      </x:c>
      <x:c r="E1199" s="28" t="str">
        <x:v>Contextual - editorial/comment</x:v>
      </x:c>
      <x:c r="F1199" s="28" t="str">
        <x:v>Development &amp; presentation; Recognition &amp; diagnosis; Social &amp; structural</x:v>
      </x:c>
      <x:c r="G1199" s="28" t="str">
        <x:v>Childhood</x:v>
      </x:c>
      <x:c r="H1199" s="28" t="str">
        <x:v>Later specialized</x:v>
      </x:c>
      <x:c r="I1199" s="28" t="str">
        <x:v>Direct or strongly ADHD-related record retained for later screening; typically narrower treatment, biomarker, mechanistic, or single-comorbidity focus.</x:v>
      </x:c>
      <x:c r="J1199" s="38" t="e">
        <x:f>HYPERLINK("https://pubmed.ncbi.nlm.nih.gov/"&amp;C1199&amp;"/","Open PubMed")</x:f>
        <x:v>HYPERLINK is not implemented. linkLocation=https://pubmed.ncbi.nlm.nih.gov/20002010/, friendlyName=Open PubMed</x:v>
      </x:c>
    </x:row>
    <x:row r="1200">
      <x:c r="A1200" s="26" t="str">
        <x:v>PUBMED-19995470</x:v>
      </x:c>
      <x:c r="B1200" s="26" t="n">
        <x:v>2010</x:v>
      </x:c>
      <x:c r="C1200" s="26" t="str">
        <x:v>19995470</x:v>
      </x:c>
      <x:c r="D1200" s="28" t="str">
        <x:v>The fatty acid compositions of erythrocyte and plasma polar lipids in children with autism, developmental delay or typically developing controls and the effect of fish oil intake.</x:v>
      </x:c>
      <x:c r="E1200" s="28" t="str">
        <x:v>Primary study - cohort</x:v>
      </x:c>
      <x:c r="F1200" s="28" t="str">
        <x:v>Development &amp; presentation; Social &amp; structural; Treatment &amp; support</x:v>
      </x:c>
      <x:c r="G1200" s="28" t="str">
        <x:v>Childhood</x:v>
      </x:c>
      <x:c r="H1200" s="28" t="str">
        <x:v>Exclude/incidental</x:v>
      </x:c>
      <x:c r="I1200" s="28" t="str">
        <x:v>ADHD appears peripheral or insufficiently aligned with the requested corpus scope based on accessible metadata/abstract.</x:v>
      </x:c>
      <x:c r="J1200" s="38" t="e">
        <x:f>HYPERLINK("https://pubmed.ncbi.nlm.nih.gov/"&amp;C1200&amp;"/","Open PubMed")</x:f>
        <x:v>HYPERLINK is not implemented. linkLocation=https://pubmed.ncbi.nlm.nih.gov/19995470/, friendlyName=Open PubMed</x:v>
      </x:c>
    </x:row>
    <x:row r="1201">
      <x:c r="A1201" s="26" t="str">
        <x:v>PUBMED-19953279</x:v>
      </x:c>
      <x:c r="B1201" s="26" t="n">
        <x:v>2010</x:v>
      </x:c>
      <x:c r="C1201" s="26" t="str">
        <x:v>19953279</x:v>
      </x:c>
      <x:c r="D1201" s="28" t="str">
        <x:v>Cross-sectional evaluation of cognitive functioning in children, adolescents and young adults with ADHD.</x:v>
      </x:c>
      <x:c r="E1201" s="28" t="str">
        <x:v>Primary study - cross-sectional</x:v>
      </x:c>
      <x:c r="F1201" s="28" t="str">
        <x:v>Development &amp; presentation; Social &amp; structural; Life outcomes &amp; lived experience</x:v>
      </x:c>
      <x:c r="G1201" s="28" t="str">
        <x:v>Childhood; Adolescence; Adulthood</x:v>
      </x:c>
      <x:c r="H1201" s="28" t="str">
        <x:v>Later specialized</x:v>
      </x:c>
      <x:c r="I1201" s="28" t="str">
        <x:v>Direct or strongly ADHD-related record retained for later screening; typically narrower treatment, biomarker, mechanistic, or single-comorbidity focus.</x:v>
      </x:c>
      <x:c r="J1201" s="38" t="e">
        <x:f>HYPERLINK("https://pubmed.ncbi.nlm.nih.gov/"&amp;C1201&amp;"/","Open PubMed")</x:f>
        <x:v>HYPERLINK is not implemented. linkLocation=https://pubmed.ncbi.nlm.nih.gov/19953279/, friendlyName=Open PubMed</x:v>
      </x:c>
    </x:row>
    <x:row r="1202">
      <x:c r="A1202" s="26" t="str">
        <x:v>PUBMED-19944715</x:v>
      </x:c>
      <x:c r="B1202" s="26" t="n">
        <x:v>2010</x:v>
      </x:c>
      <x:c r="C1202" s="26" t="str">
        <x:v>19944715</x:v>
      </x:c>
      <x:c r="D1202" s="28" t="str">
        <x:v>Identifying the neurobiology of altered reinforcement sensitivity in ADHD: a review and research agenda.</x:v>
      </x:c>
      <x:c r="E1202" s="28" t="str">
        <x:v>Evidence synthesis - review</x:v>
      </x:c>
      <x:c r="F1202" s="28" t="str">
        <x:v>Development &amp; presentation; Social &amp; structural; Treatment &amp; support</x:v>
      </x:c>
      <x:c r="G1202" s="28" t="str">
        <x:v>Childhood</x:v>
      </x:c>
      <x:c r="H1202" s="28" t="str">
        <x:v>Batch 1 core</x:v>
      </x:c>
      <x:c r="I1202" s="28" t="str">
        <x:v>Direct ADHD evidence synthesis/guideline with broad multi-topic relevance.</x:v>
      </x:c>
      <x:c r="J1202" s="38" t="e">
        <x:f>HYPERLINK("https://pubmed.ncbi.nlm.nih.gov/"&amp;C1202&amp;"/","Open PubMed")</x:f>
        <x:v>HYPERLINK is not implemented. linkLocation=https://pubmed.ncbi.nlm.nih.gov/19944715/, friendlyName=Open PubMed</x:v>
      </x:c>
    </x:row>
    <x:row r="1203">
      <x:c r="A1203" s="26" t="str">
        <x:v>PUBMED-19941633</x:v>
      </x:c>
      <x:c r="B1203" s="26" t="n">
        <x:v>2010</x:v>
      </x:c>
      <x:c r="C1203" s="26" t="str">
        <x:v>19941633</x:v>
      </x:c>
      <x:c r="D1203" s="28" t="str">
        <x:v>Oppositional defiant behavior toward adults and oppositional defiant behavior toward other children: evidence for two separate constructs with mothers' and fathers' ratings of Brazilian children.</x:v>
      </x:c>
      <x:c r="E1203" s="28" t="str">
        <x:v>Primary/contextual journal article</x:v>
      </x:c>
      <x:c r="F1203" s="28" t="str">
        <x:v>Development &amp; presentation; Recognition &amp; diagnosis; Family &amp; education; Social &amp; structural</x:v>
      </x:c>
      <x:c r="G1203" s="28" t="str">
        <x:v>Childhood; Adolescence; Adulthood</x:v>
      </x:c>
      <x:c r="H1203" s="28" t="str">
        <x:v>Later specialized</x:v>
      </x:c>
      <x:c r="I1203" s="28" t="str">
        <x:v>Direct or strongly ADHD-related record retained for later screening; typically narrower treatment, biomarker, mechanistic, or single-comorbidity focus.</x:v>
      </x:c>
      <x:c r="J1203" s="38" t="e">
        <x:f>HYPERLINK("https://pubmed.ncbi.nlm.nih.gov/"&amp;C1203&amp;"/","Open PubMed")</x:f>
        <x:v>HYPERLINK is not implemented. linkLocation=https://pubmed.ncbi.nlm.nih.gov/19941633/, friendlyName=Open PubMed</x:v>
      </x:c>
    </x:row>
    <x:row r="1204">
      <x:c r="A1204" s="26" t="str">
        <x:v>PUBMED-19941632</x:v>
      </x:c>
      <x:c r="B1204" s="26" t="n">
        <x:v>2010</x:v>
      </x:c>
      <x:c r="C1204" s="26" t="str">
        <x:v>19941632</x:v>
      </x:c>
      <x:c r="D1204" s="28" t="str">
        <x:v>Confirmation and extension of association of blood lead with attention-deficit/hyperactivity disorder (ADHD) and ADHD symptom domains at population-typical exposure levels.</x:v>
      </x:c>
      <x:c r="E1204" s="28" t="str">
        <x:v>Primary/contextual journal article</x:v>
      </x:c>
      <x:c r="F1204" s="28" t="str">
        <x:v>Development &amp; presentation; Recognition &amp; diagnosis; Family &amp; education; Social &amp; structural; Environmental &amp; lifestyle; Treatment &amp; support; Historical &amp; contemporary context</x:v>
      </x:c>
      <x:c r="G1204" s="28" t="str">
        <x:v>Childhood; Adolescence</x:v>
      </x:c>
      <x:c r="H1204" s="28" t="str">
        <x:v>Later specialized</x:v>
      </x:c>
      <x:c r="I1204" s="28" t="str">
        <x:v>Direct or strongly ADHD-related record retained for later screening; typically narrower treatment, biomarker, mechanistic, or single-comorbidity focus.</x:v>
      </x:c>
      <x:c r="J1204" s="38" t="e">
        <x:f>HYPERLINK("https://pubmed.ncbi.nlm.nih.gov/"&amp;C1204&amp;"/","Open PubMed")</x:f>
        <x:v>HYPERLINK is not implemented. linkLocation=https://pubmed.ncbi.nlm.nih.gov/19941632/, friendlyName=Open PubMed</x:v>
      </x:c>
    </x:row>
    <x:row r="1205">
      <x:c r="A1205" s="26" t="str">
        <x:v>PUBMED-19931966</x:v>
      </x:c>
      <x:c r="B1205" s="26" t="n">
        <x:v>2010</x:v>
      </x:c>
      <x:c r="C1205" s="26" t="str">
        <x:v>19931966</x:v>
      </x:c>
      <x:c r="D1205" s="28" t="str">
        <x:v>Visual field asymmetries in attention vary with self-reported attention deficits.</x:v>
      </x:c>
      <x:c r="E1205" s="28" t="str">
        <x:v>Primary/contextual journal article</x:v>
      </x:c>
      <x:c r="F1205" s="28" t="str">
        <x:v>Development &amp; presentation; Recognition &amp; diagnosis; Social &amp; structural; Treatment &amp; support</x:v>
      </x:c>
      <x:c r="G1205" s="28" t="str">
        <x:v>Adolescence; Adulthood</x:v>
      </x:c>
      <x:c r="H1205" s="28" t="str">
        <x:v>Later specialized</x:v>
      </x:c>
      <x:c r="I1205" s="28" t="str">
        <x:v>Direct or strongly ADHD-related record retained for later screening; typically narrower treatment, biomarker, mechanistic, or single-comorbidity focus.</x:v>
      </x:c>
      <x:c r="J1205" s="38" t="e">
        <x:f>HYPERLINK("https://pubmed.ncbi.nlm.nih.gov/"&amp;C1205&amp;"/","Open PubMed")</x:f>
        <x:v>HYPERLINK is not implemented. linkLocation=https://pubmed.ncbi.nlm.nih.gov/19931966/, friendlyName=Open PubMed</x:v>
      </x:c>
    </x:row>
    <x:row r="1206">
      <x:c r="A1206" s="26" t="str">
        <x:v>PUBMED-19930791</x:v>
      </x:c>
      <x:c r="B1206" s="26" t="n">
        <x:v>2010</x:v>
      </x:c>
      <x:c r="C1206" s="26" t="str">
        <x:v>19930791</x:v>
      </x:c>
      <x:c r="D1206" s="28" t="str">
        <x:v>Construct and criterion validity of the Behaviour Rating Inventory of Executive Function (BRIEF) in children referred for neuropsychological assessment after paediatric traumatic brain injury.</x:v>
      </x:c>
      <x:c r="E1206" s="28" t="str">
        <x:v>Primary/contextual journal article</x:v>
      </x:c>
      <x:c r="F1206" s="28" t="str">
        <x:v>Development &amp; presentation; Recognition &amp; diagnosis; Family &amp; education; Social &amp; structural; Treatment &amp; support; Historical &amp; contemporary context</x:v>
      </x:c>
      <x:c r="G1206" s="28" t="str">
        <x:v>Childhood; Adolescence</x:v>
      </x:c>
      <x:c r="H1206" s="28" t="str">
        <x:v>Exclude/incidental</x:v>
      </x:c>
      <x:c r="I1206" s="28" t="str">
        <x:v>ADHD appears peripheral or insufficiently aligned with the requested corpus scope based on accessible metadata/abstract.</x:v>
      </x:c>
      <x:c r="J1206" s="38" t="e">
        <x:f>HYPERLINK("https://pubmed.ncbi.nlm.nih.gov/"&amp;C1206&amp;"/","Open PubMed")</x:f>
        <x:v>HYPERLINK is not implemented. linkLocation=https://pubmed.ncbi.nlm.nih.gov/19930791/, friendlyName=Open PubMed</x:v>
      </x:c>
    </x:row>
    <x:row r="1207">
      <x:c r="A1207" s="26" t="str">
        <x:v>PUBMED-19930191</x:v>
      </x:c>
      <x:c r="B1207" s="26" t="n">
        <x:v>2010</x:v>
      </x:c>
      <x:c r="C1207" s="26" t="str">
        <x:v>19930191</x:v>
      </x:c>
      <x:c r="D1207" s="28" t="str">
        <x:v>Could chronic fatigue be a marker of ADHD in children and adolescents?</x:v>
      </x:c>
      <x:c r="E1207" s="28" t="str">
        <x:v>Contextual - editorial/comment</x:v>
      </x:c>
      <x:c r="F1207" s="28" t="str">
        <x:v>Development &amp; presentation</x:v>
      </x:c>
      <x:c r="G1207" s="28" t="str">
        <x:v>Childhood; Adolescence</x:v>
      </x:c>
      <x:c r="H1207" s="28" t="str">
        <x:v>Later specialized</x:v>
      </x:c>
      <x:c r="I1207" s="28" t="str">
        <x:v>Direct or strongly ADHD-related record retained for later screening; typically narrower treatment, biomarker, mechanistic, or single-comorbidity focus.</x:v>
      </x:c>
      <x:c r="J1207" s="38" t="e">
        <x:f>HYPERLINK("https://pubmed.ncbi.nlm.nih.gov/"&amp;C1207&amp;"/","Open PubMed")</x:f>
        <x:v>HYPERLINK is not implemented. linkLocation=https://pubmed.ncbi.nlm.nih.gov/19930191/, friendlyName=Open PubMed</x:v>
      </x:c>
    </x:row>
    <x:row r="1208">
      <x:c r="A1208" s="26" t="str">
        <x:v>PUBMED-19914906</x:v>
      </x:c>
      <x:c r="B1208" s="26" t="n">
        <x:v>2010</x:v>
      </x:c>
      <x:c r="C1208" s="26" t="str">
        <x:v>19914906</x:v>
      </x:c>
      <x:c r="D1208" s="28" t="str">
        <x:v>Recurrent reciprocal 16p11.2 rearrangements associated with global developmental delay, behavioural problems, dysmorphism, epilepsy, and abnormal head size.</x:v>
      </x:c>
      <x:c r="E1208" s="28" t="str">
        <x:v>Primary/contextual journal article</x:v>
      </x:c>
      <x:c r="F1208" s="28" t="str">
        <x:v>Development &amp; presentation; Family &amp; education; Social &amp; structural</x:v>
      </x:c>
      <x:c r="G1208" s="28" t="str">
        <x:v>Childhood; Adolescence; Adulthood</x:v>
      </x:c>
      <x:c r="H1208" s="28" t="str">
        <x:v>Later specialized</x:v>
      </x:c>
      <x:c r="I1208" s="28" t="str">
        <x:v>Direct or strongly ADHD-related record retained for later screening; typically narrower treatment, biomarker, mechanistic, or single-comorbidity focus.</x:v>
      </x:c>
      <x:c r="J1208" s="38" t="e">
        <x:f>HYPERLINK("https://pubmed.ncbi.nlm.nih.gov/"&amp;C1208&amp;"/","Open PubMed")</x:f>
        <x:v>HYPERLINK is not implemented. linkLocation=https://pubmed.ncbi.nlm.nih.gov/19914906/, friendlyName=Open PubMed</x:v>
      </x:c>
    </x:row>
    <x:row r="1209">
      <x:c r="A1209" s="26" t="str">
        <x:v>PUBMED-19911268</x:v>
      </x:c>
      <x:c r="B1209" s="26" t="n">
        <x:v>2010</x:v>
      </x:c>
      <x:c r="C1209" s="26" t="str">
        <x:v>19911268</x:v>
      </x:c>
      <x:c r="D1209" s="28" t="str">
        <x:v>Dream recall and dream content in children with attention deficit/hyperactivity disorder.</x:v>
      </x:c>
      <x:c r="E1209" s="28" t="str">
        <x:v>Primary/contextual journal article</x:v>
      </x:c>
      <x:c r="F1209" s="28" t="str">
        <x:v>Development &amp; presentation; Social &amp; structural; Environmental &amp; lifestyle; Treatment &amp; support; Life outcomes &amp; lived experience</x:v>
      </x:c>
      <x:c r="G1209" s="28" t="str">
        <x:v>Childhood; Adolescence</x:v>
      </x:c>
      <x:c r="H1209" s="28" t="str">
        <x:v>Later specialized</x:v>
      </x:c>
      <x:c r="I1209" s="28" t="str">
        <x:v>Direct or strongly ADHD-related record retained for later screening; typically narrower treatment, biomarker, mechanistic, or single-comorbidity focus.</x:v>
      </x:c>
      <x:c r="J1209" s="38" t="e">
        <x:f>HYPERLINK("https://pubmed.ncbi.nlm.nih.gov/"&amp;C1209&amp;"/","Open PubMed")</x:f>
        <x:v>HYPERLINK is not implemented. linkLocation=https://pubmed.ncbi.nlm.nih.gov/19911268/, friendlyName=Open PubMed</x:v>
      </x:c>
    </x:row>
    <x:row r="1210">
      <x:c r="A1210" s="26" t="str">
        <x:v>PUBMED-19891736</x:v>
      </x:c>
      <x:c r="B1210" s="26" t="n">
        <x:v>2010</x:v>
      </x:c>
      <x:c r="C1210" s="26" t="str">
        <x:v>19891736</x:v>
      </x:c>
      <x:c r="D1210" s="28" t="str">
        <x:v>The reverse operation of Na(+)/Cl(-)-coupled neurotransmitter transporters--why amphetamines take two to tango.</x:v>
      </x:c>
      <x:c r="E1210" s="28" t="str">
        <x:v>Evidence synthesis - review</x:v>
      </x:c>
      <x:c r="F1210" s="28" t="str">
        <x:v>Development &amp; presentation; Environmental &amp; lifestyle; Treatment &amp; support</x:v>
      </x:c>
      <x:c r="G1210" s="28" t="str">
        <x:v>Not specified</x:v>
      </x:c>
      <x:c r="H1210" s="28" t="str">
        <x:v>Exclude/incidental</x:v>
      </x:c>
      <x:c r="I1210" s="28" t="str">
        <x:v>ADHD appears peripheral or insufficiently aligned with the requested corpus scope based on accessible metadata/abstract.</x:v>
      </x:c>
      <x:c r="J1210" s="38" t="e">
        <x:f>HYPERLINK("https://pubmed.ncbi.nlm.nih.gov/"&amp;C1210&amp;"/","Open PubMed")</x:f>
        <x:v>HYPERLINK is not implemented. linkLocation=https://pubmed.ncbi.nlm.nih.gov/19891736/, friendlyName=Open PubMed</x:v>
      </x:c>
    </x:row>
    <x:row r="1211">
      <x:c r="A1211" s="26" t="str">
        <x:v>PUBMED-19878138</x:v>
      </x:c>
      <x:c r="B1211" s="26" t="n">
        <x:v>2010</x:v>
      </x:c>
      <x:c r="C1211" s="26" t="str">
        <x:v>19878138</x:v>
      </x:c>
      <x:c r="D1211" s="28" t="str">
        <x:v>Amygdala reduction in patients with ADHD compared with major depression and healthy volunteers.</x:v>
      </x:c>
      <x:c r="E1211" s="28" t="str">
        <x:v>Primary study - cross-sectional</x:v>
      </x:c>
      <x:c r="F1211" s="28" t="str">
        <x:v>Development &amp; presentation; Recognition &amp; diagnosis; Social &amp; structural; Treatment &amp; support</x:v>
      </x:c>
      <x:c r="G1211" s="28" t="str">
        <x:v>Adulthood</x:v>
      </x:c>
      <x:c r="H1211" s="28" t="str">
        <x:v>Later specialized</x:v>
      </x:c>
      <x:c r="I1211" s="28" t="str">
        <x:v>Direct or strongly ADHD-related record retained for later screening; typically narrower treatment, biomarker, mechanistic, or single-comorbidity focus.</x:v>
      </x:c>
      <x:c r="J1211" s="38" t="e">
        <x:f>HYPERLINK("https://pubmed.ncbi.nlm.nih.gov/"&amp;C1211&amp;"/","Open PubMed")</x:f>
        <x:v>HYPERLINK is not implemented. linkLocation=https://pubmed.ncbi.nlm.nih.gov/19878138/, friendlyName=Open PubMed</x:v>
      </x:c>
    </x:row>
    <x:row r="1212">
      <x:c r="A1212" s="26" t="str">
        <x:v>PUBMED-19859854</x:v>
      </x:c>
      <x:c r="B1212" s="26" t="n">
        <x:v>2010</x:v>
      </x:c>
      <x:c r="C1212" s="26" t="str">
        <x:v>19859854</x:v>
      </x:c>
      <x:c r="D1212" s="28" t="str">
        <x:v>Sensitivity of the test of memory and learning to attention and memory deficits in children with ADHD.</x:v>
      </x:c>
      <x:c r="E1212" s="28" t="str">
        <x:v>Primary/contextual journal article</x:v>
      </x:c>
      <x:c r="F1212" s="28" t="str">
        <x:v>Development &amp; presentation; Recognition &amp; diagnosis; Family &amp; education; Social &amp; structural</x:v>
      </x:c>
      <x:c r="G1212" s="28" t="str">
        <x:v>Childhood</x:v>
      </x:c>
      <x:c r="H1212" s="28" t="str">
        <x:v>Later specialized</x:v>
      </x:c>
      <x:c r="I1212" s="28" t="str">
        <x:v>Direct or strongly ADHD-related record retained for later screening; typically narrower treatment, biomarker, mechanistic, or single-comorbidity focus.</x:v>
      </x:c>
      <x:c r="J1212" s="38" t="e">
        <x:f>HYPERLINK("https://pubmed.ncbi.nlm.nih.gov/"&amp;C1212&amp;"/","Open PubMed")</x:f>
        <x:v>HYPERLINK is not implemented. linkLocation=https://pubmed.ncbi.nlm.nih.gov/19859854/, friendlyName=Open PubMed</x:v>
      </x:c>
    </x:row>
    <x:row r="1213">
      <x:c r="A1213" s="26" t="str">
        <x:v>PUBMED-19854027</x:v>
      </x:c>
      <x:c r="B1213" s="26" t="n">
        <x:v>2010</x:v>
      </x:c>
      <x:c r="C1213" s="26" t="str">
        <x:v>19854027</x:v>
      </x:c>
      <x:c r="D1213" s="28" t="str">
        <x:v>Psychometric properties of the Children's Scale of Hostility and Aggression: Reactive/Proactive (C-SHARP).</x:v>
      </x:c>
      <x:c r="E1213" s="28" t="str">
        <x:v>Primary/contextual journal article</x:v>
      </x:c>
      <x:c r="F1213" s="28" t="str">
        <x:v>Development &amp; presentation; Recognition &amp; diagnosis; Family &amp; education; Social &amp; structural</x:v>
      </x:c>
      <x:c r="G1213" s="28" t="str">
        <x:v>Childhood; Adolescence; Adulthood</x:v>
      </x:c>
      <x:c r="H1213" s="28" t="str">
        <x:v>Later specialized</x:v>
      </x:c>
      <x:c r="I1213" s="28" t="str">
        <x:v>Direct or strongly ADHD-related record retained for later screening; typically narrower treatment, biomarker, mechanistic, or single-comorbidity focus.</x:v>
      </x:c>
      <x:c r="J1213" s="38" t="e">
        <x:f>HYPERLINK("https://pubmed.ncbi.nlm.nih.gov/"&amp;C1213&amp;"/","Open PubMed")</x:f>
        <x:v>HYPERLINK is not implemented. linkLocation=https://pubmed.ncbi.nlm.nih.gov/19854027/, friendlyName=Open PubMed</x:v>
      </x:c>
    </x:row>
    <x:row r="1214">
      <x:c r="A1214" s="26" t="str">
        <x:v>PUBMED-19850953</x:v>
      </x:c>
      <x:c r="B1214" s="26" t="n">
        <x:v>2010</x:v>
      </x:c>
      <x:c r="C1214" s="26" t="str">
        <x:v>19850953</x:v>
      </x:c>
      <x:c r="D1214" s="28" t="str">
        <x:v>The comorbidity of ADHD in the general population of Saudi Arabian school-age children.</x:v>
      </x:c>
      <x:c r="E1214" s="28" t="str">
        <x:v>Primary/contextual journal article</x:v>
      </x:c>
      <x:c r="F1214" s="28" t="str">
        <x:v>Development &amp; presentation; Recognition &amp; diagnosis; Family &amp; education; Social &amp; structural</x:v>
      </x:c>
      <x:c r="G1214" s="28" t="str">
        <x:v>Childhood</x:v>
      </x:c>
      <x:c r="H1214" s="28" t="str">
        <x:v>Later specialized</x:v>
      </x:c>
      <x:c r="I1214" s="28" t="str">
        <x:v>Direct or strongly ADHD-related record retained for later screening; typically narrower treatment, biomarker, mechanistic, or single-comorbidity focus.</x:v>
      </x:c>
      <x:c r="J1214" s="38" t="e">
        <x:f>HYPERLINK("https://pubmed.ncbi.nlm.nih.gov/"&amp;C1214&amp;"/","Open PubMed")</x:f>
        <x:v>HYPERLINK is not implemented. linkLocation=https://pubmed.ncbi.nlm.nih.gov/19850953/, friendlyName=Open PubMed</x:v>
      </x:c>
    </x:row>
    <x:row r="1215">
      <x:c r="A1215" s="26" t="str">
        <x:v>PUBMED-19849892</x:v>
      </x:c>
      <x:c r="B1215" s="26" t="n">
        <x:v>2010</x:v>
      </x:c>
      <x:c r="C1215" s="26" t="str">
        <x:v>19849892</x:v>
      </x:c>
      <x:c r="D1215" s="28" t="str">
        <x:v>Improvement of executive functions in boys with attention deficit hyperactivity disorder: an open-label follow-up study with once-daily atomoxetine.</x:v>
      </x:c>
      <x:c r="E1215" s="28" t="str">
        <x:v>Primary study - clinical trial</x:v>
      </x:c>
      <x:c r="F1215" s="28" t="str">
        <x:v>Development &amp; presentation; Recognition &amp; diagnosis; Social &amp; structural; Treatment &amp; support; Life outcomes &amp; lived experience</x:v>
      </x:c>
      <x:c r="G1215" s="28" t="str">
        <x:v>Childhood; Adolescence</x:v>
      </x:c>
      <x:c r="H1215" s="28" t="str">
        <x:v>Later specialized</x:v>
      </x:c>
      <x:c r="I1215" s="28" t="str">
        <x:v>Direct or strongly ADHD-related record retained for later screening; typically narrower treatment, biomarker, mechanistic, or single-comorbidity focus.</x:v>
      </x:c>
      <x:c r="J1215" s="38" t="e">
        <x:f>HYPERLINK("https://pubmed.ncbi.nlm.nih.gov/"&amp;C1215&amp;"/","Open PubMed")</x:f>
        <x:v>HYPERLINK is not implemented. linkLocation=https://pubmed.ncbi.nlm.nih.gov/19849892/, friendlyName=Open PubMed</x:v>
      </x:c>
    </x:row>
    <x:row r="1216">
      <x:c r="A1216" s="26" t="str">
        <x:v>PUBMED-19821169</x:v>
      </x:c>
      <x:c r="B1216" s="26" t="n">
        <x:v>2010</x:v>
      </x:c>
      <x:c r="C1216" s="26" t="str">
        <x:v>19821169</x:v>
      </x:c>
      <x:c r="D1216" s="28" t="str">
        <x:v>Decision making with uncertain reinforcement in children with attention deficit/hyperactivity disorder (ADHD).</x:v>
      </x:c>
      <x:c r="E1216" s="28" t="str">
        <x:v>Primary/contextual journal article</x:v>
      </x:c>
      <x:c r="F1216" s="28" t="str">
        <x:v>Development &amp; presentation; Social &amp; structural; Life outcomes &amp; lived experience</x:v>
      </x:c>
      <x:c r="G1216" s="28" t="str">
        <x:v>Childhood</x:v>
      </x:c>
      <x:c r="H1216" s="28" t="str">
        <x:v>Later specialized</x:v>
      </x:c>
      <x:c r="I1216" s="28" t="str">
        <x:v>Direct or strongly ADHD-related record retained for later screening; typically narrower treatment, biomarker, mechanistic, or single-comorbidity focus.</x:v>
      </x:c>
      <x:c r="J1216" s="38" t="e">
        <x:f>HYPERLINK("https://pubmed.ncbi.nlm.nih.gov/"&amp;C1216&amp;"/","Open PubMed")</x:f>
        <x:v>HYPERLINK is not implemented. linkLocation=https://pubmed.ncbi.nlm.nih.gov/19821169/, friendlyName=Open PubMed</x:v>
      </x:c>
    </x:row>
    <x:row r="1217">
      <x:c r="A1217" s="26" t="str">
        <x:v>PUBMED-19815377</x:v>
      </x:c>
      <x:c r="B1217" s="26" t="n">
        <x:v>2010</x:v>
      </x:c>
      <x:c r="C1217" s="26" t="str">
        <x:v>19815377</x:v>
      </x:c>
      <x:c r="D1217" s="28" t="str">
        <x:v>The neuropsychology of 22q11 deletion syndrome. A neuropsychiatric study of 100 individuals.</x:v>
      </x:c>
      <x:c r="E1217" s="28" t="str">
        <x:v>Primary/contextual journal article</x:v>
      </x:c>
      <x:c r="F1217" s="28" t="str">
        <x:v>Development &amp; presentation; Recognition &amp; diagnosis; Family &amp; education; Social &amp; structural</x:v>
      </x:c>
      <x:c r="G1217" s="28" t="str">
        <x:v>Childhood; Adolescence; Adulthood</x:v>
      </x:c>
      <x:c r="H1217" s="28" t="str">
        <x:v>Later specialized</x:v>
      </x:c>
      <x:c r="I1217" s="28" t="str">
        <x:v>Direct or strongly ADHD-related record retained for later screening; typically narrower treatment, biomarker, mechanistic, or single-comorbidity focus.</x:v>
      </x:c>
      <x:c r="J1217" s="38" t="e">
        <x:f>HYPERLINK("https://pubmed.ncbi.nlm.nih.gov/"&amp;C1217&amp;"/","Open PubMed")</x:f>
        <x:v>HYPERLINK is not implemented. linkLocation=https://pubmed.ncbi.nlm.nih.gov/19815377/, friendlyName=Open PubMed</x:v>
      </x:c>
    </x:row>
    <x:row r="1218">
      <x:c r="A1218" s="26" t="str">
        <x:v>PUBMED-19794135</x:v>
      </x:c>
      <x:c r="B1218" s="26" t="n">
        <x:v>2010</x:v>
      </x:c>
      <x:c r="C1218" s="26" t="str">
        <x:v>19794135</x:v>
      </x:c>
      <x:c r="D1218" s="28" t="str">
        <x:v>Validation of the adult ADHD investigator symptom rating scale (AISRS).</x:v>
      </x:c>
      <x:c r="E1218" s="28" t="str">
        <x:v>Primary study - randomized controlled trial</x:v>
      </x:c>
      <x:c r="F1218" s="28" t="str">
        <x:v>Development &amp; presentation; Recognition &amp; diagnosis; Social &amp; structural; Treatment &amp; support; Life outcomes &amp; lived experience</x:v>
      </x:c>
      <x:c r="G1218" s="28" t="str">
        <x:v>Adolescence; Adulthood</x:v>
      </x:c>
      <x:c r="H1218" s="28" t="str">
        <x:v>Later specialized</x:v>
      </x:c>
      <x:c r="I1218" s="28" t="str">
        <x:v>Direct or strongly ADHD-related record retained for later screening; typically narrower treatment, biomarker, mechanistic, or single-comorbidity focus.</x:v>
      </x:c>
      <x:c r="J1218" s="38" t="e">
        <x:f>HYPERLINK("https://pubmed.ncbi.nlm.nih.gov/"&amp;C1218&amp;"/","Open PubMed")</x:f>
        <x:v>HYPERLINK is not implemented. linkLocation=https://pubmed.ncbi.nlm.nih.gov/19794135/, friendlyName=Open PubMed</x:v>
      </x:c>
    </x:row>
    <x:row r="1219">
      <x:c r="A1219" s="26" t="str">
        <x:v>PUBMED-19787522</x:v>
      </x:c>
      <x:c r="B1219" s="26" t="n">
        <x:v>2010</x:v>
      </x:c>
      <x:c r="C1219" s="26" t="str">
        <x:v>19787522</x:v>
      </x:c>
      <x:c r="D1219" s="28" t="str">
        <x:v>Attention and working memory deficits in mild cognitive impairment.</x:v>
      </x:c>
      <x:c r="E1219" s="28" t="str">
        <x:v>Primary study - case-control</x:v>
      </x:c>
      <x:c r="F1219" s="28" t="str">
        <x:v>Development &amp; presentation; Social &amp; structural; Life outcomes &amp; lived experience</x:v>
      </x:c>
      <x:c r="G1219" s="28" t="str">
        <x:v>Adulthood</x:v>
      </x:c>
      <x:c r="H1219" s="28" t="str">
        <x:v>Later specialized</x:v>
      </x:c>
      <x:c r="I1219" s="28" t="str">
        <x:v>Direct or strongly ADHD-related record retained for later screening; typically narrower treatment, biomarker, mechanistic, or single-comorbidity focus.</x:v>
      </x:c>
      <x:c r="J1219" s="38" t="e">
        <x:f>HYPERLINK("https://pubmed.ncbi.nlm.nih.gov/"&amp;C1219&amp;"/","Open PubMed")</x:f>
        <x:v>HYPERLINK is not implemented. linkLocation=https://pubmed.ncbi.nlm.nih.gov/19787522/, friendlyName=Open PubMed</x:v>
      </x:c>
    </x:row>
    <x:row r="1220">
      <x:c r="A1220" s="26" t="str">
        <x:v>PUBMED-19786328</x:v>
      </x:c>
      <x:c r="B1220" s="26" t="n">
        <x:v>2010</x:v>
      </x:c>
      <x:c r="C1220" s="26" t="str">
        <x:v>19786328</x:v>
      </x:c>
      <x:c r="D1220" s="28" t="str">
        <x:v>Treatment seeking adults with autism or ADHD and co-morbid substance use disorder: prevalence, risk factors and functional disability.</x:v>
      </x:c>
      <x:c r="E1220" s="28" t="str">
        <x:v>Primary study - cross-sectional</x:v>
      </x:c>
      <x:c r="F1220" s="28" t="str">
        <x:v>Development &amp; presentation; Recognition &amp; diagnosis; Family &amp; education; Social &amp; structural; Environmental &amp; lifestyle; Treatment &amp; support; Life outcomes &amp; lived experience; Historical &amp; contemporary context</x:v>
      </x:c>
      <x:c r="G1220" s="28" t="str">
        <x:v>Adulthood</x:v>
      </x:c>
      <x:c r="H1220" s="28" t="str">
        <x:v>Later specialized</x:v>
      </x:c>
      <x:c r="I1220" s="28" t="str">
        <x:v>Direct or strongly ADHD-related record retained for later screening; typically narrower treatment, biomarker, mechanistic, or single-comorbidity focus.</x:v>
      </x:c>
      <x:c r="J1220" s="38" t="e">
        <x:f>HYPERLINK("https://pubmed.ncbi.nlm.nih.gov/"&amp;C1220&amp;"/","Open PubMed")</x:f>
        <x:v>HYPERLINK is not implemented. linkLocation=https://pubmed.ncbi.nlm.nih.gov/19786328/, friendlyName=Open PubMed</x:v>
      </x:c>
    </x:row>
    <x:row r="1221">
      <x:c r="A1221" s="26" t="str">
        <x:v>PUBMED-19783809</x:v>
      </x:c>
      <x:c r="B1221" s="26" t="n">
        <x:v>2010</x:v>
      </x:c>
      <x:c r="C1221" s="26" t="str">
        <x:v>19783809</x:v>
      </x:c>
      <x:c r="D1221" s="28" t="str">
        <x:v>Reduced capacity in a dichotic memory test for adult patients with ADHD.</x:v>
      </x:c>
      <x:c r="E1221" s="28" t="str">
        <x:v>Primary/contextual journal article</x:v>
      </x:c>
      <x:c r="F1221" s="28" t="str">
        <x:v>Development &amp; presentation; Recognition &amp; diagnosis; Family &amp; education; Social &amp; structural</x:v>
      </x:c>
      <x:c r="G1221" s="28" t="str">
        <x:v>Adulthood</x:v>
      </x:c>
      <x:c r="H1221" s="28" t="str">
        <x:v>Later specialized</x:v>
      </x:c>
      <x:c r="I1221" s="28" t="str">
        <x:v>Direct or strongly ADHD-related record retained for later screening; typically narrower treatment, biomarker, mechanistic, or single-comorbidity focus.</x:v>
      </x:c>
      <x:c r="J1221" s="38" t="e">
        <x:f>HYPERLINK("https://pubmed.ncbi.nlm.nih.gov/"&amp;C1221&amp;"/","Open PubMed")</x:f>
        <x:v>HYPERLINK is not implemented. linkLocation=https://pubmed.ncbi.nlm.nih.gov/19783809/, friendlyName=Open PubMed</x:v>
      </x:c>
    </x:row>
    <x:row r="1222">
      <x:c r="A1222" s="26" t="str">
        <x:v>PUBMED-19773600</x:v>
      </x:c>
      <x:c r="B1222" s="26" t="n">
        <x:v>2010</x:v>
      </x:c>
      <x:c r="C1222" s="26" t="str">
        <x:v>19773600</x:v>
      </x:c>
      <x:c r="D1222" s="28" t="str">
        <x:v>Potential impact of ADHD with stimulant medication label on teacher expectations.</x:v>
      </x:c>
      <x:c r="E1222" s="28" t="str">
        <x:v>Primary/contextual journal article</x:v>
      </x:c>
      <x:c r="F1222" s="28" t="str">
        <x:v>Development &amp; presentation; Recognition &amp; diagnosis; Family &amp; education; Social &amp; structural; Treatment &amp; support; Historical &amp; contemporary context</x:v>
      </x:c>
      <x:c r="G1222" s="28" t="str">
        <x:v>Childhood; Adulthood</x:v>
      </x:c>
      <x:c r="H1222" s="28" t="str">
        <x:v>Later specialized</x:v>
      </x:c>
      <x:c r="I1222" s="28" t="str">
        <x:v>Direct or strongly ADHD-related record retained for later screening; typically narrower treatment, biomarker, mechanistic, or single-comorbidity focus.</x:v>
      </x:c>
      <x:c r="J1222" s="38" t="e">
        <x:f>HYPERLINK("https://pubmed.ncbi.nlm.nih.gov/"&amp;C1222&amp;"/","Open PubMed")</x:f>
        <x:v>HYPERLINK is not implemented. linkLocation=https://pubmed.ncbi.nlm.nih.gov/19773600/, friendlyName=Open PubMed</x:v>
      </x:c>
    </x:row>
    <x:row r="1223">
      <x:c r="A1223" s="26" t="str">
        <x:v>PUBMED-19768532</x:v>
      </x:c>
      <x:c r="B1223" s="26" t="n">
        <x:v>2010</x:v>
      </x:c>
      <x:c r="C1223" s="26" t="str">
        <x:v>19768532</x:v>
      </x:c>
      <x:c r="D1223" s="28" t="str">
        <x:v>A systematic review of parenting in relation to the development of comorbidities and functional impairments in children with attention-deficit/hyperactivity disorder (ADHD).</x:v>
      </x:c>
      <x:c r="E1223" s="28" t="str">
        <x:v>Evidence synthesis - systematic review</x:v>
      </x:c>
      <x:c r="F1223" s="28" t="str">
        <x:v>Development &amp; presentation; Recognition &amp; diagnosis; Family &amp; education; Social &amp; structural; Environmental &amp; lifestyle; Treatment &amp; support; Life outcomes &amp; lived experience</x:v>
      </x:c>
      <x:c r="G1223" s="28" t="str">
        <x:v>Childhood</x:v>
      </x:c>
      <x:c r="H1223" s="28" t="str">
        <x:v>Batch 1 core</x:v>
      </x:c>
      <x:c r="I1223" s="28" t="str">
        <x:v>Direct ADHD evidence synthesis/guideline with broad multi-topic relevance.</x:v>
      </x:c>
      <x:c r="J1223" s="38" t="e">
        <x:f>HYPERLINK("https://pubmed.ncbi.nlm.nih.gov/"&amp;C1223&amp;"/","Open PubMed")</x:f>
        <x:v>HYPERLINK is not implemented. linkLocation=https://pubmed.ncbi.nlm.nih.gov/19768532/, friendlyName=Open PubMed</x:v>
      </x:c>
    </x:row>
    <x:row r="1224">
      <x:c r="A1224" s="26" t="str">
        <x:v>PUBMED-19767593</x:v>
      </x:c>
      <x:c r="B1224" s="26" t="n">
        <x:v>2010</x:v>
      </x:c>
      <x:c r="C1224" s="26" t="str">
        <x:v>19767593</x:v>
      </x:c>
      <x:c r="D1224" s="28" t="str">
        <x:v>Short-term effectiveness of medication and psychosocial intervention in a cohort of newly diagnosed patients with inattention, impulsivity, and hyperactivity problems.</x:v>
      </x:c>
      <x:c r="E1224" s="28" t="str">
        <x:v>Primary study - cohort</x:v>
      </x:c>
      <x:c r="F1224" s="28" t="str">
        <x:v>Development &amp; presentation; Recognition &amp; diagnosis; Social &amp; structural; Treatment &amp; support; Life outcomes &amp; lived experience; Historical &amp; contemporary context</x:v>
      </x:c>
      <x:c r="G1224" s="28" t="str">
        <x:v>Childhood; Adolescence</x:v>
      </x:c>
      <x:c r="H1224" s="28" t="str">
        <x:v>Later specialized</x:v>
      </x:c>
      <x:c r="I1224" s="28" t="str">
        <x:v>Direct or strongly ADHD-related record retained for later screening; typically narrower treatment, biomarker, mechanistic, or single-comorbidity focus.</x:v>
      </x:c>
      <x:c r="J1224" s="38" t="e">
        <x:f>HYPERLINK("https://pubmed.ncbi.nlm.nih.gov/"&amp;C1224&amp;"/","Open PubMed")</x:f>
        <x:v>HYPERLINK is not implemented. linkLocation=https://pubmed.ncbi.nlm.nih.gov/19767593/, friendlyName=Open PubMed</x:v>
      </x:c>
    </x:row>
    <x:row r="1225">
      <x:c r="A1225" s="26" t="str">
        <x:v>PUBMED-19767592</x:v>
      </x:c>
      <x:c r="B1225" s="26" t="n">
        <x:v>2010</x:v>
      </x:c>
      <x:c r="C1225" s="26" t="str">
        <x:v>19767592</x:v>
      </x:c>
      <x:c r="D1225" s="28" t="str">
        <x:v>Is the inattentive subtype of ADHD different from the combined/hyperactive subtype?</x:v>
      </x:c>
      <x:c r="E1225" s="28" t="str">
        <x:v>Primary/contextual journal article</x:v>
      </x:c>
      <x:c r="F1225" s="28" t="str">
        <x:v>Development &amp; presentation; Recognition &amp; diagnosis; Social &amp; structural; Environmental &amp; lifestyle; Treatment &amp; support</x:v>
      </x:c>
      <x:c r="G1225" s="28" t="str">
        <x:v>Childhood</x:v>
      </x:c>
      <x:c r="H1225" s="28" t="str">
        <x:v>Later specialized</x:v>
      </x:c>
      <x:c r="I1225" s="28" t="str">
        <x:v>Direct or strongly ADHD-related record retained for later screening; typically narrower treatment, biomarker, mechanistic, or single-comorbidity focus.</x:v>
      </x:c>
      <x:c r="J1225" s="38" t="e">
        <x:f>HYPERLINK("https://pubmed.ncbi.nlm.nih.gov/"&amp;C1225&amp;"/","Open PubMed")</x:f>
        <x:v>HYPERLINK is not implemented. linkLocation=https://pubmed.ncbi.nlm.nih.gov/19767592/, friendlyName=Open PubMed</x:v>
      </x:c>
    </x:row>
    <x:row r="1226">
      <x:c r="A1226" s="26" t="str">
        <x:v>PUBMED-19764922</x:v>
      </x:c>
      <x:c r="B1226" s="26" t="n">
        <x:v>2010</x:v>
      </x:c>
      <x:c r="C1226" s="26" t="str">
        <x:v>19764922</x:v>
      </x:c>
      <x:c r="D1226" s="28" t="str">
        <x:v>Routine developmental screening at 5.5 and 7 years of age is not an efficient predictor of attention-deficit / hyperactivity disorder at age 10.</x:v>
      </x:c>
      <x:c r="E1226" s="28" t="str">
        <x:v>Primary study - cohort</x:v>
      </x:c>
      <x:c r="F1226" s="28" t="str">
        <x:v>Development &amp; presentation; Recognition &amp; diagnosis; Family &amp; education; Social &amp; structural</x:v>
      </x:c>
      <x:c r="G1226" s="28" t="str">
        <x:v>Childhood</x:v>
      </x:c>
      <x:c r="H1226" s="28" t="str">
        <x:v>Later specialized</x:v>
      </x:c>
      <x:c r="I1226" s="28" t="str">
        <x:v>Direct or strongly ADHD-related record retained for later screening; typically narrower treatment, biomarker, mechanistic, or single-comorbidity focus.</x:v>
      </x:c>
      <x:c r="J1226" s="38" t="e">
        <x:f>HYPERLINK("https://pubmed.ncbi.nlm.nih.gov/"&amp;C1226&amp;"/","Open PubMed")</x:f>
        <x:v>HYPERLINK is not implemented. linkLocation=https://pubmed.ncbi.nlm.nih.gov/19764922/, friendlyName=Open PubMed</x:v>
      </x:c>
    </x:row>
    <x:row r="1227">
      <x:c r="A1227" s="26" t="str">
        <x:v>PUBMED-19763664</x:v>
      </x:c>
      <x:c r="B1227" s="26" t="n">
        <x:v>2010</x:v>
      </x:c>
      <x:c r="C1227" s="26" t="str">
        <x:v>19763664</x:v>
      </x:c>
      <x:c r="D1227" s="28" t="str">
        <x:v>Comparing the efficacy of stimulants for ADHD in children and adolescents using meta-analysis.</x:v>
      </x:c>
      <x:c r="E1227" s="28" t="str">
        <x:v>Evidence synthesis - meta-analysis</x:v>
      </x:c>
      <x:c r="F1227" s="28" t="str">
        <x:v>Development &amp; presentation; Recognition &amp; diagnosis; Social &amp; structural; Treatment &amp; support; Life outcomes &amp; lived experience</x:v>
      </x:c>
      <x:c r="G1227" s="28" t="str">
        <x:v>Childhood; Adolescence; Adulthood</x:v>
      </x:c>
      <x:c r="H1227" s="28" t="str">
        <x:v>Batch 1 core</x:v>
      </x:c>
      <x:c r="I1227" s="28" t="str">
        <x:v>Direct ADHD evidence synthesis/guideline with broad multi-topic relevance.</x:v>
      </x:c>
      <x:c r="J1227" s="38" t="e">
        <x:f>HYPERLINK("https://pubmed.ncbi.nlm.nih.gov/"&amp;C1227&amp;"/","Open PubMed")</x:f>
        <x:v>HYPERLINK is not implemented. linkLocation=https://pubmed.ncbi.nlm.nih.gov/19763664/, friendlyName=Open PubMed</x:v>
      </x:c>
    </x:row>
    <x:row r="1228">
      <x:c r="A1228" s="26" t="str">
        <x:v>PUBMED-19754502</x:v>
      </x:c>
      <x:c r="B1228" s="26" t="n">
        <x:v>2010</x:v>
      </x:c>
      <x:c r="C1228" s="26" t="str">
        <x:v>19754502</x:v>
      </x:c>
      <x:c r="D1228" s="28" t="str">
        <x:v>Deficits in interval timing measured by the dual-task paradigm among children and adolescents with attention-deficit/hyperactivity disorder.</x:v>
      </x:c>
      <x:c r="E1228" s="28" t="str">
        <x:v>Primary/contextual journal article</x:v>
      </x:c>
      <x:c r="F1228" s="28" t="str">
        <x:v>Development &amp; presentation; Recognition &amp; diagnosis; Family &amp; education; Social &amp; structural; Treatment &amp; support</x:v>
      </x:c>
      <x:c r="G1228" s="28" t="str">
        <x:v>Childhood; Adolescence</x:v>
      </x:c>
      <x:c r="H1228" s="28" t="str">
        <x:v>Later specialized</x:v>
      </x:c>
      <x:c r="I1228" s="28" t="str">
        <x:v>Direct or strongly ADHD-related record retained for later screening; typically narrower treatment, biomarker, mechanistic, or single-comorbidity focus.</x:v>
      </x:c>
      <x:c r="J1228" s="38" t="e">
        <x:f>HYPERLINK("https://pubmed.ncbi.nlm.nih.gov/"&amp;C1228&amp;"/","Open PubMed")</x:f>
        <x:v>HYPERLINK is not implemented. linkLocation=https://pubmed.ncbi.nlm.nih.gov/19754502/, friendlyName=Open PubMed</x:v>
      </x:c>
    </x:row>
    <x:row r="1229">
      <x:c r="A1229" s="26" t="str">
        <x:v>PUBMED-19713554</x:v>
      </x:c>
      <x:c r="B1229" s="26" t="n">
        <x:v>2010</x:v>
      </x:c>
      <x:c r="C1229" s="26" t="str">
        <x:v>19713554</x:v>
      </x:c>
      <x:c r="D1229" s="28" t="str">
        <x:v>Assessment of the QT interval in the electroencephalography (EEG) of children with syncope, epilepsy, and attention-deficit hyperactivity disorder (ADHD).</x:v>
      </x:c>
      <x:c r="E1229" s="28" t="str">
        <x:v>Primary/contextual journal article</x:v>
      </x:c>
      <x:c r="F1229" s="28" t="str">
        <x:v>Development &amp; presentation; Recognition &amp; diagnosis; Social &amp; structural; Environmental &amp; lifestyle</x:v>
      </x:c>
      <x:c r="G1229" s="28" t="str">
        <x:v>Childhood</x:v>
      </x:c>
      <x:c r="H1229" s="28" t="str">
        <x:v>Later specialized</x:v>
      </x:c>
      <x:c r="I1229" s="28" t="str">
        <x:v>Direct or strongly ADHD-related record retained for later screening; typically narrower treatment, biomarker, mechanistic, or single-comorbidity focus.</x:v>
      </x:c>
      <x:c r="J1229" s="38" t="e">
        <x:f>HYPERLINK("https://pubmed.ncbi.nlm.nih.gov/"&amp;C1229&amp;"/","Open PubMed")</x:f>
        <x:v>HYPERLINK is not implemented. linkLocation=https://pubmed.ncbi.nlm.nih.gov/19713554/, friendlyName=Open PubMed</x:v>
      </x:c>
    </x:row>
    <x:row r="1230">
      <x:c r="A1230" s="26" t="str">
        <x:v>PUBMED-19706877</x:v>
      </x:c>
      <x:c r="B1230" s="26" t="n">
        <x:v>2010</x:v>
      </x:c>
      <x:c r="C1230" s="26" t="str">
        <x:v>19706877</x:v>
      </x:c>
      <x:c r="D1230" s="28" t="str">
        <x:v>Pediatricians' attitudes and practices on ADHD before and after the development of ADHD pediatric practice guidelines.</x:v>
      </x:c>
      <x:c r="E1230" s="28" t="str">
        <x:v>Primary/contextual journal article</x:v>
      </x:c>
      <x:c r="F1230" s="28" t="str">
        <x:v>Development &amp; presentation; Recognition &amp; diagnosis; Family &amp; education; Social &amp; structural; Treatment &amp; support; Historical &amp; contemporary context</x:v>
      </x:c>
      <x:c r="G1230" s="28" t="str">
        <x:v>Childhood; Adulthood</x:v>
      </x:c>
      <x:c r="H1230" s="28" t="str">
        <x:v>Later specialized</x:v>
      </x:c>
      <x:c r="I1230" s="28" t="str">
        <x:v>Direct or strongly ADHD-related record retained for later screening; typically narrower treatment, biomarker, mechanistic, or single-comorbidity focus.</x:v>
      </x:c>
      <x:c r="J1230" s="38" t="e">
        <x:f>HYPERLINK("https://pubmed.ncbi.nlm.nih.gov/"&amp;C1230&amp;"/","Open PubMed")</x:f>
        <x:v>HYPERLINK is not implemented. linkLocation=https://pubmed.ncbi.nlm.nih.gov/19706877/, friendlyName=Open PubMed</x:v>
      </x:c>
    </x:row>
    <x:row r="1231">
      <x:c r="A1231" s="26" t="str">
        <x:v>PUBMED-19705311</x:v>
      </x:c>
      <x:c r="B1231" s="26" t="n">
        <x:v>2010</x:v>
      </x:c>
      <x:c r="C1231" s="26" t="str">
        <x:v>19705311</x:v>
      </x:c>
      <x:c r="D1231" s="28" t="str">
        <x:v>Application of the dual-component model of working memory to ADHD.</x:v>
      </x:c>
      <x:c r="E1231" s="28" t="str">
        <x:v>Primary/contextual journal article</x:v>
      </x:c>
      <x:c r="F1231" s="28" t="str">
        <x:v>Development &amp; presentation; Recognition &amp; diagnosis; Social &amp; structural; Treatment &amp; support; Life outcomes &amp; lived experience</x:v>
      </x:c>
      <x:c r="G1231" s="28" t="str">
        <x:v>Childhood; Adolescence</x:v>
      </x:c>
      <x:c r="H1231" s="28" t="str">
        <x:v>Later specialized</x:v>
      </x:c>
      <x:c r="I1231" s="28" t="str">
        <x:v>Direct or strongly ADHD-related record retained for later screening; typically narrower treatment, biomarker, mechanistic, or single-comorbidity focus.</x:v>
      </x:c>
      <x:c r="J1231" s="38" t="e">
        <x:f>HYPERLINK("https://pubmed.ncbi.nlm.nih.gov/"&amp;C1231&amp;"/","Open PubMed")</x:f>
        <x:v>HYPERLINK is not implemented. linkLocation=https://pubmed.ncbi.nlm.nih.gov/19705311/, friendlyName=Open PubMed</x:v>
      </x:c>
    </x:row>
    <x:row r="1232">
      <x:c r="A1232" s="26" t="str">
        <x:v>PUBMED-19697119</x:v>
      </x:c>
      <x:c r="B1232" s="26" t="n">
        <x:v>2010</x:v>
      </x:c>
      <x:c r="C1232" s="26" t="str">
        <x:v>19697119</x:v>
      </x:c>
      <x:c r="D1232" s="28" t="str">
        <x:v>A randomized trial of two promising computer-based interventions for students with attention difficulties.</x:v>
      </x:c>
      <x:c r="E1232" s="28" t="str">
        <x:v>Primary study - randomized controlled trial</x:v>
      </x:c>
      <x:c r="F1232" s="28" t="str">
        <x:v>Development &amp; presentation; Recognition &amp; diagnosis; Family &amp; education; Social &amp; structural; Treatment &amp; support</x:v>
      </x:c>
      <x:c r="G1232" s="28" t="str">
        <x:v>Childhood</x:v>
      </x:c>
      <x:c r="H1232" s="28" t="str">
        <x:v>Later specialized</x:v>
      </x:c>
      <x:c r="I1232" s="28" t="str">
        <x:v>Direct or strongly ADHD-related record retained for later screening; typically narrower treatment, biomarker, mechanistic, or single-comorbidity focus.</x:v>
      </x:c>
      <x:c r="J1232" s="38" t="e">
        <x:f>HYPERLINK("https://pubmed.ncbi.nlm.nih.gov/"&amp;C1232&amp;"/","Open PubMed")</x:f>
        <x:v>HYPERLINK is not implemented. linkLocation=https://pubmed.ncbi.nlm.nih.gov/19697119/, friendlyName=Open PubMed</x:v>
      </x:c>
    </x:row>
    <x:row r="1233">
      <x:c r="A1233" s="26" t="str">
        <x:v>PUBMED-19694777</x:v>
      </x:c>
      <x:c r="B1233" s="26" t="n">
        <x:v>2010</x:v>
      </x:c>
      <x:c r="C1233" s="26" t="str">
        <x:v>19694777</x:v>
      </x:c>
      <x:c r="D1233" s="28" t="str">
        <x:v>Reliability and validity of the assessment of neurological soft-signs in children with and without attention-deficit-hyperactivity disorder.</x:v>
      </x:c>
      <x:c r="E1233" s="28" t="str">
        <x:v>Primary/contextual journal article</x:v>
      </x:c>
      <x:c r="F1233" s="28" t="str">
        <x:v>Development &amp; presentation; Recognition &amp; diagnosis; Family &amp; education; Social &amp; structural</x:v>
      </x:c>
      <x:c r="G1233" s="28" t="str">
        <x:v>Childhood</x:v>
      </x:c>
      <x:c r="H1233" s="28" t="str">
        <x:v>Later specialized</x:v>
      </x:c>
      <x:c r="I1233" s="28" t="str">
        <x:v>Direct or strongly ADHD-related record retained for later screening; typically narrower treatment, biomarker, mechanistic, or single-comorbidity focus.</x:v>
      </x:c>
      <x:c r="J1233" s="38" t="e">
        <x:f>HYPERLINK("https://pubmed.ncbi.nlm.nih.gov/"&amp;C1233&amp;"/","Open PubMed")</x:f>
        <x:v>HYPERLINK is not implemented. linkLocation=https://pubmed.ncbi.nlm.nih.gov/19694777/, friendlyName=Open PubMed</x:v>
      </x:c>
    </x:row>
    <x:row r="1234">
      <x:c r="A1234" s="26" t="str">
        <x:v>PUBMED-19694626</x:v>
      </x:c>
      <x:c r="B1234" s="26" t="n">
        <x:v>2010</x:v>
      </x:c>
      <x:c r="C1234" s="26" t="str">
        <x:v>19694626</x:v>
      </x:c>
      <x:c r="D1234" s="28" t="str">
        <x:v>The antecedents of non-affective psychosis in a birth-cohort, with a focus on measures related to cognitive ability, attentional dysfunction and speech problems.</x:v>
      </x:c>
      <x:c r="E1234" s="28" t="str">
        <x:v>Primary study - cohort</x:v>
      </x:c>
      <x:c r="F1234" s="28" t="str">
        <x:v>Development &amp; presentation; Recognition &amp; diagnosis; Family &amp; education; Social &amp; structural; Environmental &amp; lifestyle</x:v>
      </x:c>
      <x:c r="G1234" s="28" t="str">
        <x:v>Childhood; Adolescence; Adulthood</x:v>
      </x:c>
      <x:c r="H1234" s="28" t="str">
        <x:v>Exclude/incidental</x:v>
      </x:c>
      <x:c r="I1234" s="28" t="str">
        <x:v>ADHD appears peripheral or insufficiently aligned with the requested corpus scope based on accessible metadata/abstract.</x:v>
      </x:c>
      <x:c r="J1234" s="38" t="e">
        <x:f>HYPERLINK("https://pubmed.ncbi.nlm.nih.gov/"&amp;C1234&amp;"/","Open PubMed")</x:f>
        <x:v>HYPERLINK is not implemented. linkLocation=https://pubmed.ncbi.nlm.nih.gov/19694626/, friendlyName=Open PubMed</x:v>
      </x:c>
    </x:row>
    <x:row r="1235">
      <x:c r="A1235" s="26" t="str">
        <x:v>PUBMED-19686330</x:v>
      </x:c>
      <x:c r="B1235" s="26" t="n">
        <x:v>2010</x:v>
      </x:c>
      <x:c r="C1235" s="26" t="str">
        <x:v>19686330</x:v>
      </x:c>
      <x:c r="D1235" s="28" t="str">
        <x:v>Youth meeting symptom and impairment criteria for mania-like episodes lasting less than four days: an epidemiological enquiry.</x:v>
      </x:c>
      <x:c r="E1235" s="28" t="str">
        <x:v>Primary study - cross-sectional</x:v>
      </x:c>
      <x:c r="F1235" s="28" t="str">
        <x:v>Development &amp; presentation; Recognition &amp; diagnosis; Family &amp; education; Social &amp; structural; Treatment &amp; support; Life outcomes &amp; lived experience</x:v>
      </x:c>
      <x:c r="G1235" s="28" t="str">
        <x:v>Childhood; Adolescence</x:v>
      </x:c>
      <x:c r="H1235" s="28" t="str">
        <x:v>Exclude/incidental</x:v>
      </x:c>
      <x:c r="I1235" s="28" t="str">
        <x:v>ADHD appears peripheral or insufficiently aligned with the requested corpus scope based on accessible metadata/abstract.</x:v>
      </x:c>
      <x:c r="J1235" s="38" t="e">
        <x:f>HYPERLINK("https://pubmed.ncbi.nlm.nih.gov/"&amp;C1235&amp;"/","Open PubMed")</x:f>
        <x:v>HYPERLINK is not implemented. linkLocation=https://pubmed.ncbi.nlm.nih.gov/19686330/, friendlyName=Open PubMed</x:v>
      </x:c>
    </x:row>
    <x:row r="1236">
      <x:c r="A1236" s="26" t="str">
        <x:v>PUBMED-19672626</x:v>
      </x:c>
      <x:c r="B1236" s="26" t="n">
        <x:v>2010</x:v>
      </x:c>
      <x:c r="C1236" s="26" t="str">
        <x:v>19672626</x:v>
      </x:c>
      <x:c r="D1236" s="28" t="str">
        <x:v>Significance of long-chain polyunsaturated fatty acids (PUFAs) for the development and behaviour of children.</x:v>
      </x:c>
      <x:c r="E1236" s="28" t="str">
        <x:v>Evidence synthesis - review</x:v>
      </x:c>
      <x:c r="F1236" s="28" t="str">
        <x:v>Development &amp; presentation; Social &amp; structural; Environmental &amp; lifestyle; Life outcomes &amp; lived experience</x:v>
      </x:c>
      <x:c r="G1236" s="28" t="str">
        <x:v>Childhood; Adolescence</x:v>
      </x:c>
      <x:c r="H1236" s="28" t="str">
        <x:v>Later specialized</x:v>
      </x:c>
      <x:c r="I1236" s="28" t="str">
        <x:v>Direct or strongly ADHD-related record retained for later screening; typically narrower treatment, biomarker, mechanistic, or single-comorbidity focus.</x:v>
      </x:c>
      <x:c r="J1236" s="38" t="e">
        <x:f>HYPERLINK("https://pubmed.ncbi.nlm.nih.gov/"&amp;C1236&amp;"/","Open PubMed")</x:f>
        <x:v>HYPERLINK is not implemented. linkLocation=https://pubmed.ncbi.nlm.nih.gov/19672626/, friendlyName=Open PubMed</x:v>
      </x:c>
    </x:row>
    <x:row r="1237">
      <x:c r="A1237" s="26" t="str">
        <x:v>PUBMED-19670080</x:v>
      </x:c>
      <x:c r="B1237" s="26" t="n">
        <x:v>2010</x:v>
      </x:c>
      <x:c r="C1237" s="26" t="str">
        <x:v>19670080</x:v>
      </x:c>
      <x:c r="D1237" s="28" t="str">
        <x:v>Playing with a child with ADHD: a focus on the playmates.</x:v>
      </x:c>
      <x:c r="E1237" s="28" t="str">
        <x:v>Primary/contextual journal article</x:v>
      </x:c>
      <x:c r="F1237" s="28" t="str">
        <x:v>Development &amp; presentation; Family &amp; education; Social &amp; structural</x:v>
      </x:c>
      <x:c r="G1237" s="28" t="str">
        <x:v>Childhood</x:v>
      </x:c>
      <x:c r="H1237" s="28" t="str">
        <x:v>Later specialized</x:v>
      </x:c>
      <x:c r="I1237" s="28" t="str">
        <x:v>Direct or strongly ADHD-related record retained for later screening; typically narrower treatment, biomarker, mechanistic, or single-comorbidity focus.</x:v>
      </x:c>
      <x:c r="J1237" s="38" t="e">
        <x:f>HYPERLINK("https://pubmed.ncbi.nlm.nih.gov/"&amp;C1237&amp;"/","Open PubMed")</x:f>
        <x:v>HYPERLINK is not implemented. linkLocation=https://pubmed.ncbi.nlm.nih.gov/19670080/, friendlyName=Open PubMed</x:v>
      </x:c>
    </x:row>
    <x:row r="1238">
      <x:c r="A1238" s="26" t="str">
        <x:v>PUBMED-19656842</x:v>
      </x:c>
      <x:c r="B1238" s="26" t="n">
        <x:v>2010</x:v>
      </x:c>
      <x:c r="C1238" s="26" t="str">
        <x:v>19656842</x:v>
      </x:c>
      <x:c r="D1238" s="28" t="str">
        <x:v>Attention deficit hyperactivity and oppositional defiance disorder in HIV-infected South African children.</x:v>
      </x:c>
      <x:c r="E1238" s="28" t="str">
        <x:v>Primary/contextual journal article</x:v>
      </x:c>
      <x:c r="F1238" s="28" t="str">
        <x:v>Development &amp; presentation; Recognition &amp; diagnosis; Family &amp; education; Social &amp; structural; Life outcomes &amp; lived experience</x:v>
      </x:c>
      <x:c r="G1238" s="28" t="str">
        <x:v>Childhood</x:v>
      </x:c>
      <x:c r="H1238" s="28" t="str">
        <x:v>Later specialized</x:v>
      </x:c>
      <x:c r="I1238" s="28" t="str">
        <x:v>Direct or strongly ADHD-related record retained for later screening; typically narrower treatment, biomarker, mechanistic, or single-comorbidity focus.</x:v>
      </x:c>
      <x:c r="J1238" s="38" t="e">
        <x:f>HYPERLINK("https://pubmed.ncbi.nlm.nih.gov/"&amp;C1238&amp;"/","Open PubMed")</x:f>
        <x:v>HYPERLINK is not implemented. linkLocation=https://pubmed.ncbi.nlm.nih.gov/19656842/, friendlyName=Open PubMed</x:v>
      </x:c>
    </x:row>
    <x:row r="1239">
      <x:c r="A1239" s="26" t="str">
        <x:v>PUBMED-19633992</x:v>
      </x:c>
      <x:c r="B1239" s="26" t="n">
        <x:v>2010</x:v>
      </x:c>
      <x:c r="C1239" s="26" t="str">
        <x:v>19633992</x:v>
      </x:c>
      <x:c r="D1239" s="28" t="str">
        <x:v>The quality of life of children with attention deficit/hyperactivity disorder: a systematic review.</x:v>
      </x:c>
      <x:c r="E1239" s="28" t="str">
        <x:v>Evidence synthesis - systematic review</x:v>
      </x:c>
      <x:c r="F1239" s="28" t="str">
        <x:v>Development &amp; presentation; Family &amp; education; Social &amp; structural; Environmental &amp; lifestyle; Treatment &amp; support; Life outcomes &amp; lived experience</x:v>
      </x:c>
      <x:c r="G1239" s="28" t="str">
        <x:v>Childhood</x:v>
      </x:c>
      <x:c r="H1239" s="28" t="str">
        <x:v>Batch 1 core</x:v>
      </x:c>
      <x:c r="I1239" s="28" t="str">
        <x:v>Direct ADHD evidence synthesis/guideline with broad multi-topic relevance.</x:v>
      </x:c>
      <x:c r="J1239" s="38" t="e">
        <x:f>HYPERLINK("https://pubmed.ncbi.nlm.nih.gov/"&amp;C1239&amp;"/","Open PubMed")</x:f>
        <x:v>HYPERLINK is not implemented. linkLocation=https://pubmed.ncbi.nlm.nih.gov/19633992/, friendlyName=Open PubMed</x:v>
      </x:c>
    </x:row>
    <x:row r="1240">
      <x:c r="A1240" s="26" t="str">
        <x:v>PUBMED-19633060</x:v>
      </x:c>
      <x:c r="B1240" s="26" t="n">
        <x:v>2010</x:v>
      </x:c>
      <x:c r="C1240" s="26" t="str">
        <x:v>19633060</x:v>
      </x:c>
      <x:c r="D1240" s="28" t="str">
        <x:v>Behavioral parent training as an adjunct to routine care in children with attention-deficit/hyperactivity disorder: moderators of treatment response.</x:v>
      </x:c>
      <x:c r="E1240" s="28" t="str">
        <x:v>Primary study - randomized controlled trial</x:v>
      </x:c>
      <x:c r="F1240" s="28" t="str">
        <x:v>Development &amp; presentation; Family &amp; education; Social &amp; structural; Treatment &amp; support; Life outcomes &amp; lived experience</x:v>
      </x:c>
      <x:c r="G1240" s="28" t="str">
        <x:v>Childhood</x:v>
      </x:c>
      <x:c r="H1240" s="28" t="str">
        <x:v>Later specialized</x:v>
      </x:c>
      <x:c r="I1240" s="28" t="str">
        <x:v>Direct or strongly ADHD-related record retained for later screening; typically narrower treatment, biomarker, mechanistic, or single-comorbidity focus.</x:v>
      </x:c>
      <x:c r="J1240" s="38" t="e">
        <x:f>HYPERLINK("https://pubmed.ncbi.nlm.nih.gov/"&amp;C1240&amp;"/","Open PubMed")</x:f>
        <x:v>HYPERLINK is not implemented. linkLocation=https://pubmed.ncbi.nlm.nih.gov/19633060/, friendlyName=Open PubMed</x:v>
      </x:c>
    </x:row>
    <x:row r="1241">
      <x:c r="A1241" s="26" t="str">
        <x:v>PUBMED-19583740</x:v>
      </x:c>
      <x:c r="B1241" s="26" t="n">
        <x:v>2010</x:v>
      </x:c>
      <x:c r="C1241" s="26" t="str">
        <x:v>19583740</x:v>
      </x:c>
      <x:c r="D1241" s="28" t="str">
        <x:v>Selection and assessment of children with Developmental Coordination Disorder.</x:v>
      </x:c>
      <x:c r="E1241" s="28" t="str">
        <x:v>Contextual - editorial/comment</x:v>
      </x:c>
      <x:c r="F1241" s="28" t="str">
        <x:v>Development &amp; presentation; Recognition &amp; diagnosis; Family &amp; education; Social &amp; structural</x:v>
      </x:c>
      <x:c r="G1241" s="28" t="str">
        <x:v>Childhood</x:v>
      </x:c>
      <x:c r="H1241" s="28" t="str">
        <x:v>Exclude/incidental</x:v>
      </x:c>
      <x:c r="I1241" s="28" t="str">
        <x:v>ADHD appears peripheral or insufficiently aligned with the requested corpus scope based on accessible metadata/abstract.</x:v>
      </x:c>
      <x:c r="J1241" s="38" t="e">
        <x:f>HYPERLINK("https://pubmed.ncbi.nlm.nih.gov/"&amp;C1241&amp;"/","Open PubMed")</x:f>
        <x:v>HYPERLINK is not implemented. linkLocation=https://pubmed.ncbi.nlm.nih.gov/19583740/, friendlyName=Open PubMed</x:v>
      </x:c>
    </x:row>
    <x:row r="1242">
      <x:c r="A1242" s="26" t="str">
        <x:v>PUBMED-19568826</x:v>
      </x:c>
      <x:c r="B1242" s="26" t="n">
        <x:v>2010</x:v>
      </x:c>
      <x:c r="C1242" s="26" t="str">
        <x:v>19568826</x:v>
      </x:c>
      <x:c r="D1242" s="28" t="str">
        <x:v>Atomoxetine in children and adolescents with attention-deficit/hyperactivity disorder: a 6-week, randomized, placebo-controlled, double-blind trial in Russia.</x:v>
      </x:c>
      <x:c r="E1242" s="28" t="str">
        <x:v>Primary study - randomized controlled trial</x:v>
      </x:c>
      <x:c r="F1242" s="28" t="str">
        <x:v>Development &amp; presentation; Recognition &amp; diagnosis; Family &amp; education; Social &amp; structural; Environmental &amp; lifestyle; Treatment &amp; support; Life outcomes &amp; lived experience</x:v>
      </x:c>
      <x:c r="G1242" s="28" t="str">
        <x:v>Childhood; Adolescence</x:v>
      </x:c>
      <x:c r="H1242" s="28" t="str">
        <x:v>Later specialized</x:v>
      </x:c>
      <x:c r="I1242" s="28" t="str">
        <x:v>Direct or strongly ADHD-related record retained for later screening; typically narrower treatment, biomarker, mechanistic, or single-comorbidity focus.</x:v>
      </x:c>
      <x:c r="J1242" s="38" t="e">
        <x:f>HYPERLINK("https://pubmed.ncbi.nlm.nih.gov/"&amp;C1242&amp;"/","Open PubMed")</x:f>
        <x:v>HYPERLINK is not implemented. linkLocation=https://pubmed.ncbi.nlm.nih.gov/19568826/, friendlyName=Open PubMed</x:v>
      </x:c>
    </x:row>
    <x:row r="1243">
      <x:c r="A1243" s="26" t="str">
        <x:v>PUBMED-19552920</x:v>
      </x:c>
      <x:c r="B1243" s="26" t="n">
        <x:v>2010</x:v>
      </x:c>
      <x:c r="C1243" s="26" t="str">
        <x:v>19552920</x:v>
      </x:c>
      <x:c r="D1243" s="28" t="str">
        <x:v>Is NOS1 a genetic link between RLS and ADHD?</x:v>
      </x:c>
      <x:c r="E1243" s="28" t="str">
        <x:v>Contextual - editorial/comment</x:v>
      </x:c>
      <x:c r="F1243" s="28" t="str">
        <x:v>Development &amp; presentation</x:v>
      </x:c>
      <x:c r="G1243" s="28" t="str">
        <x:v>Not specified</x:v>
      </x:c>
      <x:c r="H1243" s="28" t="str">
        <x:v>Later specialized</x:v>
      </x:c>
      <x:c r="I1243" s="28" t="str">
        <x:v>Direct or strongly ADHD-related record retained for later screening; typically narrower treatment, biomarker, mechanistic, or single-comorbidity focus.</x:v>
      </x:c>
      <x:c r="J1243" s="38" t="e">
        <x:f>HYPERLINK("https://pubmed.ncbi.nlm.nih.gov/"&amp;C1243&amp;"/","Open PubMed")</x:f>
        <x:v>HYPERLINK is not implemented. linkLocation=https://pubmed.ncbi.nlm.nih.gov/19552920/, friendlyName=Open PubMed</x:v>
      </x:c>
    </x:row>
    <x:row r="1244">
      <x:c r="A1244" s="26" t="str">
        <x:v>PUBMED-19549204</x:v>
      </x:c>
      <x:c r="B1244" s="26" t="n">
        <x:v>2010</x:v>
      </x:c>
      <x:c r="C1244" s="26" t="str">
        <x:v>19549204</x:v>
      </x:c>
      <x:c r="D1244" s="28" t="str">
        <x:v>Congenital perisylvian dysfunction - is it a spectrum?</x:v>
      </x:c>
      <x:c r="E1244" s="28" t="str">
        <x:v>Primary/contextual journal article</x:v>
      </x:c>
      <x:c r="F1244" s="28" t="str">
        <x:v>Development &amp; presentation; Recognition &amp; diagnosis; Family &amp; education; Social &amp; structural; Environmental &amp; lifestyle</x:v>
      </x:c>
      <x:c r="G1244" s="28" t="str">
        <x:v>Childhood; Adolescence</x:v>
      </x:c>
      <x:c r="H1244" s="28" t="str">
        <x:v>Exclude/incidental</x:v>
      </x:c>
      <x:c r="I1244" s="28" t="str">
        <x:v>ADHD appears peripheral or insufficiently aligned with the requested corpus scope based on accessible metadata/abstract.</x:v>
      </x:c>
      <x:c r="J1244" s="38" t="e">
        <x:f>HYPERLINK("https://pubmed.ncbi.nlm.nih.gov/"&amp;C1244&amp;"/","Open PubMed")</x:f>
        <x:v>HYPERLINK is not implemented. linkLocation=https://pubmed.ncbi.nlm.nih.gov/19549204/, friendlyName=Open PubMed</x:v>
      </x:c>
    </x:row>
    <x:row r="1245">
      <x:c r="A1245" s="26" t="str">
        <x:v>PUBMED-19487578</x:v>
      </x:c>
      <x:c r="B1245" s="26" t="n">
        <x:v>2010</x:v>
      </x:c>
      <x:c r="C1245" s="26" t="str">
        <x:v>19487578</x:v>
      </x:c>
      <x:c r="D1245" s="28" t="str">
        <x:v>Cultural structures of the Persian parents' ratings of ADHD.</x:v>
      </x:c>
      <x:c r="E1245" s="28" t="str">
        <x:v>Primary/contextual journal article</x:v>
      </x:c>
      <x:c r="F1245" s="28" t="str">
        <x:v>Development &amp; presentation; Recognition &amp; diagnosis; Family &amp; education; Social &amp; structural</x:v>
      </x:c>
      <x:c r="G1245" s="28" t="str">
        <x:v>Childhood; Adolescence</x:v>
      </x:c>
      <x:c r="H1245" s="28" t="str">
        <x:v>Later specialized</x:v>
      </x:c>
      <x:c r="I1245" s="28" t="str">
        <x:v>Direct or strongly ADHD-related record retained for later screening; typically narrower treatment, biomarker, mechanistic, or single-comorbidity focus.</x:v>
      </x:c>
      <x:c r="J1245" s="38" t="e">
        <x:f>HYPERLINK("https://pubmed.ncbi.nlm.nih.gov/"&amp;C1245&amp;"/","Open PubMed")</x:f>
        <x:v>HYPERLINK is not implemented. linkLocation=https://pubmed.ncbi.nlm.nih.gov/19487578/, friendlyName=Open PubMed</x:v>
      </x:c>
    </x:row>
    <x:row r="1246">
      <x:c r="A1246" s="26" t="str">
        <x:v>PUBMED-19458384</x:v>
      </x:c>
      <x:c r="B1246" s="26" t="n">
        <x:v>2010</x:v>
      </x:c>
      <x:c r="C1246" s="26" t="str">
        <x:v>19458384</x:v>
      </x:c>
      <x:c r="D1246" s="28" t="str">
        <x:v>Open-label trial of atomoxetine hydrochloride in adults with ADHD.</x:v>
      </x:c>
      <x:c r="E1246" s="28" t="str">
        <x:v>Primary study - clinical trial</x:v>
      </x:c>
      <x:c r="F1246" s="28" t="str">
        <x:v>Development &amp; presentation; Recognition &amp; diagnosis; Social &amp; structural; Treatment &amp; support; Life outcomes &amp; lived experience</x:v>
      </x:c>
      <x:c r="G1246" s="28" t="str">
        <x:v>Childhood; Adulthood</x:v>
      </x:c>
      <x:c r="H1246" s="28" t="str">
        <x:v>Later specialized</x:v>
      </x:c>
      <x:c r="I1246" s="28" t="str">
        <x:v>Direct or strongly ADHD-related record retained for later screening; typically narrower treatment, biomarker, mechanistic, or single-comorbidity focus.</x:v>
      </x:c>
      <x:c r="J1246" s="38" t="e">
        <x:f>HYPERLINK("https://pubmed.ncbi.nlm.nih.gov/"&amp;C1246&amp;"/","Open PubMed")</x:f>
        <x:v>HYPERLINK is not implemented. linkLocation=https://pubmed.ncbi.nlm.nih.gov/19458384/, friendlyName=Open PubMed</x:v>
      </x:c>
    </x:row>
    <x:row r="1247">
      <x:c r="A1247" s="26" t="str">
        <x:v>PUBMED-19439760</x:v>
      </x:c>
      <x:c r="B1247" s="26" t="n">
        <x:v>2010</x:v>
      </x:c>
      <x:c r="C1247" s="26" t="str">
        <x:v>19439760</x:v>
      </x:c>
      <x:c r="D1247" s="28" t="str">
        <x:v>Ability of college students to simulate ADHD on objective measures of attention.</x:v>
      </x:c>
      <x:c r="E1247" s="28" t="str">
        <x:v>Primary/contextual journal article</x:v>
      </x:c>
      <x:c r="F1247" s="28" t="str">
        <x:v>Development &amp; presentation; Recognition &amp; diagnosis; Social &amp; structural; Life outcomes &amp; lived experience</x:v>
      </x:c>
      <x:c r="G1247" s="28" t="str">
        <x:v>Adolescence; Adulthood</x:v>
      </x:c>
      <x:c r="H1247" s="28" t="str">
        <x:v>Later specialized</x:v>
      </x:c>
      <x:c r="I1247" s="28" t="str">
        <x:v>Direct or strongly ADHD-related record retained for later screening; typically narrower treatment, biomarker, mechanistic, or single-comorbidity focus.</x:v>
      </x:c>
      <x:c r="J1247" s="38" t="e">
        <x:f>HYPERLINK("https://pubmed.ncbi.nlm.nih.gov/"&amp;C1247&amp;"/","Open PubMed")</x:f>
        <x:v>HYPERLINK is not implemented. linkLocation=https://pubmed.ncbi.nlm.nih.gov/19439760/, friendlyName=Open PubMed</x:v>
      </x:c>
    </x:row>
    <x:row r="1248">
      <x:c r="A1248" s="26" t="str">
        <x:v>PUBMED-19418498</x:v>
      </x:c>
      <x:c r="B1248" s="26" t="n">
        <x:v>2010</x:v>
      </x:c>
      <x:c r="C1248" s="26" t="str">
        <x:v>19418498</x:v>
      </x:c>
      <x:c r="D1248" s="28" t="str">
        <x:v>Familiality and molecular genetics of attention networks in ADHD.</x:v>
      </x:c>
      <x:c r="E1248" s="28" t="str">
        <x:v>Primary study - case-control</x:v>
      </x:c>
      <x:c r="F1248" s="28" t="str">
        <x:v>Development &amp; presentation; Recognition &amp; diagnosis; Social &amp; structural; Treatment &amp; support</x:v>
      </x:c>
      <x:c r="G1248" s="28" t="str">
        <x:v>Childhood</x:v>
      </x:c>
      <x:c r="H1248" s="28" t="str">
        <x:v>Batch 1 core</x:v>
      </x:c>
      <x:c r="I1248" s="28" t="str">
        <x:v>Direct ADHD primary study on diagnosis, family/education, structural conditions, lived experience/outcomes, or environment/lifestyle.</x:v>
      </x:c>
      <x:c r="J1248" s="38" t="e">
        <x:f>HYPERLINK("https://pubmed.ncbi.nlm.nih.gov/"&amp;C1248&amp;"/","Open PubMed")</x:f>
        <x:v>HYPERLINK is not implemented. linkLocation=https://pubmed.ncbi.nlm.nih.gov/19418498/, friendlyName=Open PubMed</x:v>
      </x:c>
    </x:row>
    <x:row r="1249">
      <x:c r="A1249" s="26" t="str">
        <x:v>PUBMED-19380516</x:v>
      </x:c>
      <x:c r="B1249" s="26" t="n">
        <x:v>2010</x:v>
      </x:c>
      <x:c r="C1249" s="26" t="str">
        <x:v>19380516</x:v>
      </x:c>
      <x:c r="D1249" s="28" t="str">
        <x:v>Comorbidity of enuresis in children with attention-deficit/hyperactivity disorder.</x:v>
      </x:c>
      <x:c r="E1249" s="28" t="str">
        <x:v>Primary/contextual journal article</x:v>
      </x:c>
      <x:c r="F1249" s="28" t="str">
        <x:v>Development &amp; presentation; Recognition &amp; diagnosis; Family &amp; education; Social &amp; structural; Treatment &amp; support; Life outcomes &amp; lived experience</x:v>
      </x:c>
      <x:c r="G1249" s="28" t="str">
        <x:v>Childhood</x:v>
      </x:c>
      <x:c r="H1249" s="28" t="str">
        <x:v>Later specialized</x:v>
      </x:c>
      <x:c r="I1249" s="28" t="str">
        <x:v>Direct or strongly ADHD-related record retained for later screening; typically narrower treatment, biomarker, mechanistic, or single-comorbidity focus.</x:v>
      </x:c>
      <x:c r="J1249" s="38" t="e">
        <x:f>HYPERLINK("https://pubmed.ncbi.nlm.nih.gov/"&amp;C1249&amp;"/","Open PubMed")</x:f>
        <x:v>HYPERLINK is not implemented. linkLocation=https://pubmed.ncbi.nlm.nih.gov/19380516/, friendlyName=Open PubMed</x:v>
      </x:c>
    </x:row>
    <x:row r="1250">
      <x:c r="A1250" s="26" t="str">
        <x:v>PUBMED-19378318</x:v>
      </x:c>
      <x:c r="B1250" s="26" t="n">
        <x:v>2010</x:v>
      </x:c>
      <x:c r="C1250" s="26" t="str">
        <x:v>19378318</x:v>
      </x:c>
      <x:c r="D1250" s="28" t="str">
        <x:v>Bulimia nervosa symptoms in the multimodal treatment study of children with ADHD.</x:v>
      </x:c>
      <x:c r="E1250" s="28" t="str">
        <x:v>Primary study - randomized controlled trial</x:v>
      </x:c>
      <x:c r="F1250" s="28" t="str">
        <x:v>Development &amp; presentation; Recognition &amp; diagnosis; Social &amp; structural; Treatment &amp; support</x:v>
      </x:c>
      <x:c r="G1250" s="28" t="str">
        <x:v>Childhood; Adolescence</x:v>
      </x:c>
      <x:c r="H1250" s="28" t="str">
        <x:v>Later specialized</x:v>
      </x:c>
      <x:c r="I1250" s="28" t="str">
        <x:v>Direct or strongly ADHD-related record retained for later screening; typically narrower treatment, biomarker, mechanistic, or single-comorbidity focus.</x:v>
      </x:c>
      <x:c r="J1250" s="38" t="e">
        <x:f>HYPERLINK("https://pubmed.ncbi.nlm.nih.gov/"&amp;C1250&amp;"/","Open PubMed")</x:f>
        <x:v>HYPERLINK is not implemented. linkLocation=https://pubmed.ncbi.nlm.nih.gov/19378318/, friendlyName=Open PubMed</x:v>
      </x:c>
    </x:row>
    <x:row r="1251">
      <x:c r="A1251" s="26" t="str">
        <x:v>PUBMED-19372496</x:v>
      </x:c>
      <x:c r="B1251" s="26" t="n">
        <x:v>2010</x:v>
      </x:c>
      <x:c r="C1251" s="26" t="str">
        <x:v>19372496</x:v>
      </x:c>
      <x:c r="D1251" s="28" t="str">
        <x:v>The moderating role of sensory Overresponsivity in HPA activity: a pilot study with children diagnosed with ADHD.</x:v>
      </x:c>
      <x:c r="E1251" s="28" t="str">
        <x:v>Primary/contextual journal article</x:v>
      </x:c>
      <x:c r="F1251" s="28" t="str">
        <x:v>Development &amp; presentation; Recognition &amp; diagnosis</x:v>
      </x:c>
      <x:c r="G1251" s="28" t="str">
        <x:v>Childhood</x:v>
      </x:c>
      <x:c r="H1251" s="28" t="str">
        <x:v>Later specialized</x:v>
      </x:c>
      <x:c r="I1251" s="28" t="str">
        <x:v>Direct or strongly ADHD-related record retained for later screening; typically narrower treatment, biomarker, mechanistic, or single-comorbidity focus.</x:v>
      </x:c>
      <x:c r="J1251" s="38" t="e">
        <x:f>HYPERLINK("https://pubmed.ncbi.nlm.nih.gov/"&amp;C1251&amp;"/","Open PubMed")</x:f>
        <x:v>HYPERLINK is not implemented. linkLocation=https://pubmed.ncbi.nlm.nih.gov/19372496/, friendlyName=Open PubMed</x:v>
      </x:c>
    </x:row>
    <x:row r="1252">
      <x:c r="A1252" s="26" t="str">
        <x:v>PUBMED-19366290</x:v>
      </x:c>
      <x:c r="B1252" s="26" t="n">
        <x:v>2010</x:v>
      </x:c>
      <x:c r="C1252" s="26" t="str">
        <x:v>19366290</x:v>
      </x:c>
      <x:c r="D1252" s="28" t="str">
        <x:v>Multisensory spatial attention deficits are predictive of phonological decoding skills in developmental dyslexia.</x:v>
      </x:c>
      <x:c r="E1252" s="28" t="str">
        <x:v>Primary/contextual journal article</x:v>
      </x:c>
      <x:c r="F1252" s="28" t="str">
        <x:v>Development &amp; presentation; Social &amp; structural; Treatment &amp; support</x:v>
      </x:c>
      <x:c r="G1252" s="28" t="str">
        <x:v>Childhood; Adolescence</x:v>
      </x:c>
      <x:c r="H1252" s="28" t="str">
        <x:v>Later specialized</x:v>
      </x:c>
      <x:c r="I1252" s="28" t="str">
        <x:v>Direct or strongly ADHD-related record retained for later screening; typically narrower treatment, biomarker, mechanistic, or single-comorbidity focus.</x:v>
      </x:c>
      <x:c r="J1252" s="38" t="e">
        <x:f>HYPERLINK("https://pubmed.ncbi.nlm.nih.gov/"&amp;C1252&amp;"/","Open PubMed")</x:f>
        <x:v>HYPERLINK is not implemented. linkLocation=https://pubmed.ncbi.nlm.nih.gov/19366290/, friendlyName=Open PubMed</x:v>
      </x:c>
    </x:row>
    <x:row r="1253">
      <x:c r="A1253" s="26" t="str">
        <x:v>PUBMED-19365087</x:v>
      </x:c>
      <x:c r="B1253" s="26" t="n">
        <x:v>2010</x:v>
      </x:c>
      <x:c r="C1253" s="26" t="str">
        <x:v>19365087</x:v>
      </x:c>
      <x:c r="D1253" s="28" t="str">
        <x:v>Atomoxetine's effect on societal costs in Sweden.</x:v>
      </x:c>
      <x:c r="E1253" s="28" t="str">
        <x:v>Primary study - randomized controlled trial</x:v>
      </x:c>
      <x:c r="F1253" s="28" t="str">
        <x:v>Development &amp; presentation; Family &amp; education; Social &amp; structural; Treatment &amp; support</x:v>
      </x:c>
      <x:c r="G1253" s="28" t="str">
        <x:v>Childhood; Adolescence</x:v>
      </x:c>
      <x:c r="H1253" s="28" t="str">
        <x:v>Later specialized</x:v>
      </x:c>
      <x:c r="I1253" s="28" t="str">
        <x:v>Direct or strongly ADHD-related record retained for later screening; typically narrower treatment, biomarker, mechanistic, or single-comorbidity focus.</x:v>
      </x:c>
      <x:c r="J1253" s="38" t="e">
        <x:f>HYPERLINK("https://pubmed.ncbi.nlm.nih.gov/"&amp;C1253&amp;"/","Open PubMed")</x:f>
        <x:v>HYPERLINK is not implemented. linkLocation=https://pubmed.ncbi.nlm.nih.gov/19365087/, friendlyName=Open PubMed</x:v>
      </x:c>
    </x:row>
    <x:row r="1254">
      <x:c r="A1254" s="26" t="str">
        <x:v>PUBMED-19365086</x:v>
      </x:c>
      <x:c r="B1254" s="26" t="n">
        <x:v>2010</x:v>
      </x:c>
      <x:c r="C1254" s="26" t="str">
        <x:v>19365086</x:v>
      </x:c>
      <x:c r="D1254" s="28" t="str">
        <x:v>Symptom prevalence of ADHD in a community residential substance abuse treatment program.</x:v>
      </x:c>
      <x:c r="E1254" s="28" t="str">
        <x:v>Primary/contextual journal article</x:v>
      </x:c>
      <x:c r="F1254" s="28" t="str">
        <x:v>Development &amp; presentation; Recognition &amp; diagnosis; Social &amp; structural; Treatment &amp; support; Life outcomes &amp; lived experience</x:v>
      </x:c>
      <x:c r="G1254" s="28" t="str">
        <x:v>Adulthood</x:v>
      </x:c>
      <x:c r="H1254" s="28" t="str">
        <x:v>Later specialized</x:v>
      </x:c>
      <x:c r="I1254" s="28" t="str">
        <x:v>Direct or strongly ADHD-related record retained for later screening; typically narrower treatment, biomarker, mechanistic, or single-comorbidity focus.</x:v>
      </x:c>
      <x:c r="J1254" s="38" t="e">
        <x:f>HYPERLINK("https://pubmed.ncbi.nlm.nih.gov/"&amp;C1254&amp;"/","Open PubMed")</x:f>
        <x:v>HYPERLINK is not implemented. linkLocation=https://pubmed.ncbi.nlm.nih.gov/19365086/, friendlyName=Open PubMed</x:v>
      </x:c>
    </x:row>
    <x:row r="1255">
      <x:c r="A1255" s="26" t="str">
        <x:v>PUBMED-19346466</x:v>
      </x:c>
      <x:c r="B1255" s="26" t="n">
        <x:v>2010</x:v>
      </x:c>
      <x:c r="C1255" s="26" t="str">
        <x:v>19346466</x:v>
      </x:c>
      <x:c r="D1255" s="28" t="str">
        <x:v>Cognitive-behaviorally-oriented group rehabilitation of adults with ADHD: results of a 6-month follow-up.</x:v>
      </x:c>
      <x:c r="E1255" s="28" t="str">
        <x:v>Primary/contextual journal article</x:v>
      </x:c>
      <x:c r="F1255" s="28" t="str">
        <x:v>Development &amp; presentation; Recognition &amp; diagnosis; Social &amp; structural; Treatment &amp; support; Life outcomes &amp; lived experience</x:v>
      </x:c>
      <x:c r="G1255" s="28" t="str">
        <x:v>Adulthood</x:v>
      </x:c>
      <x:c r="H1255" s="28" t="str">
        <x:v>Later specialized</x:v>
      </x:c>
      <x:c r="I1255" s="28" t="str">
        <x:v>Direct or strongly ADHD-related record retained for later screening; typically narrower treatment, biomarker, mechanistic, or single-comorbidity focus.</x:v>
      </x:c>
      <x:c r="J1255" s="38" t="e">
        <x:f>HYPERLINK("https://pubmed.ncbi.nlm.nih.gov/"&amp;C1255&amp;"/","Open PubMed")</x:f>
        <x:v>HYPERLINK is not implemented. linkLocation=https://pubmed.ncbi.nlm.nih.gov/19346466/, friendlyName=Open PubMed</x:v>
      </x:c>
    </x:row>
    <x:row r="1256">
      <x:c r="A1256" s="26" t="str">
        <x:v>PUBMED-18024065</x:v>
      </x:c>
      <x:c r="B1256" s="26" t="n">
        <x:v>2010</x:v>
      </x:c>
      <x:c r="C1256" s="26" t="str">
        <x:v>18024065</x:v>
      </x:c>
      <x:c r="D1256" s="28" t="str">
        <x:v>Acute myocardial infarction related to methylphenidate for adult attention deficit disorder.</x:v>
      </x:c>
      <x:c r="E1256" s="28" t="str">
        <x:v>Primary/contextual journal article</x:v>
      </x:c>
      <x:c r="F1256" s="28" t="str">
        <x:v>Development &amp; presentation; Recognition &amp; diagnosis; Treatment &amp; support</x:v>
      </x:c>
      <x:c r="G1256" s="28" t="str">
        <x:v>Adulthood</x:v>
      </x:c>
      <x:c r="H1256" s="28" t="str">
        <x:v>Later specialized</x:v>
      </x:c>
      <x:c r="I1256" s="28" t="str">
        <x:v>Direct or strongly ADHD-related record retained for later screening; typically narrower treatment, biomarker, mechanistic, or single-comorbidity focus.</x:v>
      </x:c>
      <x:c r="J1256" s="38" t="e">
        <x:f>HYPERLINK("https://pubmed.ncbi.nlm.nih.gov/"&amp;C1256&amp;"/","Open PubMed")</x:f>
        <x:v>HYPERLINK is not implemented. linkLocation=https://pubmed.ncbi.nlm.nih.gov/18024065/, friendlyName=Open PubMed</x:v>
      </x:c>
    </x:row>
    <x:row r="1257">
      <x:c r="A1257" s="26" t="str">
        <x:v>PUBMED-20732626</x:v>
      </x:c>
      <x:c r="B1257" s="26" t="n">
        <x:v>2010</x:v>
      </x:c>
      <x:c r="C1257" s="26" t="str">
        <x:v>20732626</x:v>
      </x:c>
      <x:c r="D1257" s="28" t="str">
        <x:v>Family-based genome-wide association scan of attention-deficit/hyperactivity disorder.</x:v>
      </x:c>
      <x:c r="E1257" s="28" t="str">
        <x:v>Primary/contextual journal article</x:v>
      </x:c>
      <x:c r="F1257" s="28" t="str">
        <x:v>Development &amp; presentation; Recognition &amp; diagnosis; Family &amp; education; Social &amp; structural</x:v>
      </x:c>
      <x:c r="G1257" s="28" t="str">
        <x:v>Childhood; Adolescence</x:v>
      </x:c>
      <x:c r="H1257" s="28" t="str">
        <x:v>Later specialized</x:v>
      </x:c>
      <x:c r="I1257" s="28" t="str">
        <x:v>Direct or strongly ADHD-related record retained for later screening; typically narrower treatment, biomarker, mechanistic, or single-comorbidity focus.</x:v>
      </x:c>
      <x:c r="J1257" s="38" t="e">
        <x:f>HYPERLINK("https://pubmed.ncbi.nlm.nih.gov/"&amp;C1257&amp;"/","Open PubMed")</x:f>
        <x:v>HYPERLINK is not implemented. linkLocation=https://pubmed.ncbi.nlm.nih.gov/20732626/, friendlyName=Open PubMed</x:v>
      </x:c>
    </x:row>
    <x:row r="1258">
      <x:c r="A1258" s="26" t="str">
        <x:v>PUBMED-20732625</x:v>
      </x:c>
      <x:c r="B1258" s="26" t="n">
        <x:v>2010</x:v>
      </x:c>
      <x:c r="C1258" s="26" t="str">
        <x:v>20732625</x:v>
      </x:c>
      <x:c r="D1258" s="28" t="str">
        <x:v>Meta-analysis of genome-wide association studies of attention-deficit/hyperactivity disorder.</x:v>
      </x:c>
      <x:c r="E1258" s="28" t="str">
        <x:v>Evidence synthesis - meta-analysis</x:v>
      </x:c>
      <x:c r="F1258" s="28" t="str">
        <x:v>Development &amp; presentation; Recognition &amp; diagnosis; Family &amp; education</x:v>
      </x:c>
      <x:c r="G1258" s="28" t="str">
        <x:v>Childhood; Adolescence</x:v>
      </x:c>
      <x:c r="H1258" s="28" t="str">
        <x:v>Batch 1 core</x:v>
      </x:c>
      <x:c r="I1258" s="28" t="str">
        <x:v>Direct ADHD evidence synthesis/guideline with broad multi-topic relevance.</x:v>
      </x:c>
      <x:c r="J1258" s="38" t="e">
        <x:f>HYPERLINK("https://pubmed.ncbi.nlm.nih.gov/"&amp;C1258&amp;"/","Open PubMed")</x:f>
        <x:v>HYPERLINK is not implemented. linkLocation=https://pubmed.ncbi.nlm.nih.gov/20732625/, friendlyName=Open PubMed</x:v>
      </x:c>
    </x:row>
    <x:row r="1259">
      <x:c r="A1259" s="26" t="str">
        <x:v>PUBMED-20732624</x:v>
      </x:c>
      <x:c r="B1259" s="26" t="n">
        <x:v>2010</x:v>
      </x:c>
      <x:c r="C1259" s="26" t="str">
        <x:v>20732624</x:v>
      </x:c>
      <x:c r="D1259" s="28" t="str">
        <x:v>Twin studies and their implications for molecular genetic studies: endophenotypes integrate quantitative and molecular genetics in ADHD research.</x:v>
      </x:c>
      <x:c r="E1259" s="28" t="str">
        <x:v>Evidence synthesis - review</x:v>
      </x:c>
      <x:c r="F1259" s="28" t="str">
        <x:v>Development &amp; presentation; Recognition &amp; diagnosis; Family &amp; education; Social &amp; structural; Environmental &amp; lifestyle; Treatment &amp; support</x:v>
      </x:c>
      <x:c r="G1259" s="28" t="str">
        <x:v>Childhood; Adolescence</x:v>
      </x:c>
      <x:c r="H1259" s="28" t="str">
        <x:v>Later specialized</x:v>
      </x:c>
      <x:c r="I1259" s="28" t="str">
        <x:v>Direct or strongly ADHD-related record retained for later screening; typically narrower treatment, biomarker, mechanistic, or single-comorbidity focus.</x:v>
      </x:c>
      <x:c r="J1259" s="38" t="e">
        <x:f>HYPERLINK("https://pubmed.ncbi.nlm.nih.gov/"&amp;C1259&amp;"/","Open PubMed")</x:f>
        <x:v>HYPERLINK is not implemented. linkLocation=https://pubmed.ncbi.nlm.nih.gov/20732624/, friendlyName=Open PubMed</x:v>
      </x:c>
    </x:row>
    <x:row r="1260">
      <x:c r="A1260" s="26" t="str">
        <x:v>PUBMED-20731965</x:v>
      </x:c>
      <x:c r="B1260" s="26" t="n">
        <x:v>2010</x:v>
      </x:c>
      <x:c r="C1260" s="26" t="str">
        <x:v>20731965</x:v>
      </x:c>
      <x:c r="D1260" s="28" t="str">
        <x:v>Regional differences in cerebral perfusion associated with the alpha-2A-adrenergic receptor genotypes in attention deficit hyperactivity disorder.</x:v>
      </x:c>
      <x:c r="E1260" s="28" t="str">
        <x:v>Primary/contextual journal article</x:v>
      </x:c>
      <x:c r="F1260" s="28" t="str">
        <x:v>Development &amp; presentation; Recognition &amp; diagnosis; Social &amp; structural</x:v>
      </x:c>
      <x:c r="G1260" s="28" t="str">
        <x:v>Childhood</x:v>
      </x:c>
      <x:c r="H1260" s="28" t="str">
        <x:v>Later specialized</x:v>
      </x:c>
      <x:c r="I1260" s="28" t="str">
        <x:v>Direct or strongly ADHD-related record retained for later screening; typically narrower treatment, biomarker, mechanistic, or single-comorbidity focus.</x:v>
      </x:c>
      <x:c r="J1260" s="38" t="e">
        <x:f>HYPERLINK("https://pubmed.ncbi.nlm.nih.gov/"&amp;C1260&amp;"/","Open PubMed")</x:f>
        <x:v>HYPERLINK is not implemented. linkLocation=https://pubmed.ncbi.nlm.nih.gov/20731965/, friendlyName=Open PubMed</x:v>
      </x:c>
    </x:row>
    <x:row r="1261">
      <x:c r="A1261" s="26" t="str">
        <x:v>PUBMED-20730306</x:v>
      </x:c>
      <x:c r="B1261" s="26" t="n">
        <x:v>2010</x:v>
      </x:c>
      <x:c r="C1261" s="26" t="str">
        <x:v>20730306</x:v>
      </x:c>
      <x:c r="D1261" s="28" t="str">
        <x:v>Attention deficit/hyperactivity disorder symptoms in indigenous children from the Brazilian Amazon.</x:v>
      </x:c>
      <x:c r="E1261" s="28" t="str">
        <x:v>Primary/contextual journal article</x:v>
      </x:c>
      <x:c r="F1261" s="28" t="str">
        <x:v>Development &amp; presentation; Recognition &amp; diagnosis; Family &amp; education; Social &amp; structural</x:v>
      </x:c>
      <x:c r="G1261" s="28" t="str">
        <x:v>Childhood; Adolescence</x:v>
      </x:c>
      <x:c r="H1261" s="28" t="str">
        <x:v>Later specialized</x:v>
      </x:c>
      <x:c r="I1261" s="28" t="str">
        <x:v>Direct or strongly ADHD-related record retained for later screening; typically narrower treatment, biomarker, mechanistic, or single-comorbidity focus.</x:v>
      </x:c>
      <x:c r="J1261" s="38" t="e">
        <x:f>HYPERLINK("https://pubmed.ncbi.nlm.nih.gov/"&amp;C1261&amp;"/","Open PubMed")</x:f>
        <x:v>HYPERLINK is not implemented. linkLocation=https://pubmed.ncbi.nlm.nih.gov/20730306/, friendlyName=Open PubMed</x:v>
      </x:c>
    </x:row>
    <x:row r="1262">
      <x:c r="A1262" s="26" t="str">
        <x:v>PUBMED-20723278</x:v>
      </x:c>
      <x:c r="B1262" s="26" t="n">
        <x:v>2010</x:v>
      </x:c>
      <x:c r="C1262" s="26" t="str">
        <x:v>20723278</x:v>
      </x:c>
      <x:c r="D1262" s="28" t="str">
        <x:v>Does early emotional distress predict later child involvement in gambling?</x:v>
      </x:c>
      <x:c r="E1262" s="28" t="str">
        <x:v>Primary study - cohort</x:v>
      </x:c>
      <x:c r="F1262" s="28" t="str">
        <x:v>Development &amp; presentation; Recognition &amp; diagnosis; Family &amp; education; Social &amp; structural; Environmental &amp; lifestyle; Life outcomes &amp; lived experience</x:v>
      </x:c>
      <x:c r="G1262" s="28" t="str">
        <x:v>Childhood</x:v>
      </x:c>
      <x:c r="H1262" s="28" t="str">
        <x:v>Exclude/incidental</x:v>
      </x:c>
      <x:c r="I1262" s="28" t="str">
        <x:v>ADHD appears peripheral or insufficiently aligned with the requested corpus scope based on accessible metadata/abstract.</x:v>
      </x:c>
      <x:c r="J1262" s="38" t="e">
        <x:f>HYPERLINK("https://pubmed.ncbi.nlm.nih.gov/"&amp;C1262&amp;"/","Open PubMed")</x:f>
        <x:v>HYPERLINK is not implemented. linkLocation=https://pubmed.ncbi.nlm.nih.gov/20723278/, friendlyName=Open PubMed</x:v>
      </x:c>
    </x:row>
    <x:row r="1263">
      <x:c r="A1263" s="26" t="str">
        <x:v>PUBMED-20721771</x:v>
      </x:c>
      <x:c r="B1263" s="26" t="n">
        <x:v>2010</x:v>
      </x:c>
      <x:c r="C1263" s="26" t="str">
        <x:v>20721771</x:v>
      </x:c>
      <x:c r="D1263" s="28" t="str">
        <x:v>Two forms of implicit learning in childhood ADHD.</x:v>
      </x:c>
      <x:c r="E1263" s="28" t="str">
        <x:v>Primary/contextual journal article</x:v>
      </x:c>
      <x:c r="F1263" s="28" t="str">
        <x:v>Development &amp; presentation</x:v>
      </x:c>
      <x:c r="G1263" s="28" t="str">
        <x:v>Childhood; Adolescence</x:v>
      </x:c>
      <x:c r="H1263" s="28" t="str">
        <x:v>Later specialized</x:v>
      </x:c>
      <x:c r="I1263" s="28" t="str">
        <x:v>Direct or strongly ADHD-related record retained for later screening; typically narrower treatment, biomarker, mechanistic, or single-comorbidity focus.</x:v>
      </x:c>
      <x:c r="J1263" s="38" t="e">
        <x:f>HYPERLINK("https://pubmed.ncbi.nlm.nih.gov/"&amp;C1263&amp;"/","Open PubMed")</x:f>
        <x:v>HYPERLINK is not implemented. linkLocation=https://pubmed.ncbi.nlm.nih.gov/20721771/, friendlyName=Open PubMed</x:v>
      </x:c>
    </x:row>
    <x:row r="1264">
      <x:c r="A1264" s="26" t="str">
        <x:v>PUBMED-20721770</x:v>
      </x:c>
      <x:c r="B1264" s="26" t="n">
        <x:v>2010</x:v>
      </x:c>
      <x:c r="C1264" s="26" t="str">
        <x:v>20721770</x:v>
      </x:c>
      <x:c r="D1264" s="28" t="str">
        <x:v>Comorbidity of ADHD and dyslexia.</x:v>
      </x:c>
      <x:c r="E1264" s="28" t="str">
        <x:v>Evidence synthesis - review</x:v>
      </x:c>
      <x:c r="F1264" s="28" t="str">
        <x:v>Development &amp; presentation; Family &amp; education; Treatment &amp; support; Life outcomes &amp; lived experience</x:v>
      </x:c>
      <x:c r="G1264" s="28" t="str">
        <x:v>Childhood</x:v>
      </x:c>
      <x:c r="H1264" s="28" t="str">
        <x:v>Later specialized</x:v>
      </x:c>
      <x:c r="I1264" s="28" t="str">
        <x:v>Direct or strongly ADHD-related record retained for later screening; typically narrower treatment, biomarker, mechanistic, or single-comorbidity focus.</x:v>
      </x:c>
      <x:c r="J1264" s="38" t="e">
        <x:f>HYPERLINK("https://pubmed.ncbi.nlm.nih.gov/"&amp;C1264&amp;"/","Open PubMed")</x:f>
        <x:v>HYPERLINK is not implemented. linkLocation=https://pubmed.ncbi.nlm.nih.gov/20721770/, friendlyName=Open PubMed</x:v>
      </x:c>
    </x:row>
    <x:row r="1265">
      <x:c r="A1265" s="26" t="str">
        <x:v>PUBMED-20721631</x:v>
      </x:c>
      <x:c r="B1265" s="26" t="n">
        <x:v>2010</x:v>
      </x:c>
      <x:c r="C1265" s="26" t="str">
        <x:v>20721631</x:v>
      </x:c>
      <x:c r="D1265" s="28" t="str">
        <x:v>Explanatory pluralism in the medical sciences: theory and practice.</x:v>
      </x:c>
      <x:c r="E1265" s="28" t="str">
        <x:v>Primary/contextual journal article</x:v>
      </x:c>
      <x:c r="F1265" s="28" t="str">
        <x:v>Development &amp; presentation; Family &amp; education; Environmental &amp; lifestyle; Treatment &amp; support</x:v>
      </x:c>
      <x:c r="G1265" s="28" t="str">
        <x:v>Not specified</x:v>
      </x:c>
      <x:c r="H1265" s="28" t="str">
        <x:v>Exclude/incidental</x:v>
      </x:c>
      <x:c r="I1265" s="28" t="str">
        <x:v>ADHD appears peripheral or insufficiently aligned with the requested corpus scope based on accessible metadata/abstract.</x:v>
      </x:c>
      <x:c r="J1265" s="38" t="e">
        <x:f>HYPERLINK("https://pubmed.ncbi.nlm.nih.gov/"&amp;C1265&amp;"/","Open PubMed")</x:f>
        <x:v>HYPERLINK is not implemented. linkLocation=https://pubmed.ncbi.nlm.nih.gov/20721631/, friendlyName=Open PubMed</x:v>
      </x:c>
    </x:row>
    <x:row r="1266">
      <x:c r="A1266" s="26" t="str">
        <x:v>PUBMED-20716320</x:v>
      </x:c>
      <x:c r="B1266" s="26" t="n">
        <x:v>2010</x:v>
      </x:c>
      <x:c r="C1266" s="26" t="str">
        <x:v>20716320</x:v>
      </x:c>
      <x:c r="D1266" s="28" t="str">
        <x:v>Is atopic disease a risk factor for attention-deficit/hyperactivity disorder? A systematic review.</x:v>
      </x:c>
      <x:c r="E1266" s="28" t="str">
        <x:v>Evidence synthesis - meta-analysis</x:v>
      </x:c>
      <x:c r="F1266" s="28" t="str">
        <x:v>Development &amp; presentation; Recognition &amp; diagnosis; Social &amp; structural; Environmental &amp; lifestyle; Treatment &amp; support; Life outcomes &amp; lived experience</x:v>
      </x:c>
      <x:c r="G1266" s="28" t="str">
        <x:v>Not specified</x:v>
      </x:c>
      <x:c r="H1266" s="28" t="str">
        <x:v>Batch 1 core</x:v>
      </x:c>
      <x:c r="I1266" s="28" t="str">
        <x:v>Direct ADHD evidence synthesis/guideline with broad multi-topic relevance.</x:v>
      </x:c>
      <x:c r="J1266" s="38" t="e">
        <x:f>HYPERLINK("https://pubmed.ncbi.nlm.nih.gov/"&amp;C1266&amp;"/","Open PubMed")</x:f>
        <x:v>HYPERLINK is not implemented. linkLocation=https://pubmed.ncbi.nlm.nih.gov/20716320/, friendlyName=Open PubMed</x:v>
      </x:c>
    </x:row>
    <x:row r="1267">
      <x:c r="A1267" s="26" t="str">
        <x:v>PUBMED-20702694</x:v>
      </x:c>
      <x:c r="B1267" s="26" t="n">
        <x:v>2010</x:v>
      </x:c>
      <x:c r="C1267" s="26" t="str">
        <x:v>20702694</x:v>
      </x:c>
      <x:c r="D1267" s="28" t="str">
        <x:v>Describing the brain in autism in five dimensions--magnetic resonance imaging-assisted diagnosis of autism spectrum disorder using a multiparameter classification approach.</x:v>
      </x:c>
      <x:c r="E1267" s="28" t="str">
        <x:v>Primary study - case-control</x:v>
      </x:c>
      <x:c r="F1267" s="28" t="str">
        <x:v>Development &amp; presentation; Recognition &amp; diagnosis; Social &amp; structural</x:v>
      </x:c>
      <x:c r="G1267" s="28" t="str">
        <x:v>Childhood; Adulthood</x:v>
      </x:c>
      <x:c r="H1267" s="28" t="str">
        <x:v>Exclude/incidental</x:v>
      </x:c>
      <x:c r="I1267" s="28" t="str">
        <x:v>ADHD appears peripheral or insufficiently aligned with the requested corpus scope based on accessible metadata/abstract.</x:v>
      </x:c>
      <x:c r="J1267" s="38" t="e">
        <x:f>HYPERLINK("https://pubmed.ncbi.nlm.nih.gov/"&amp;C1267&amp;"/","Open PubMed")</x:f>
        <x:v>HYPERLINK is not implemented. linkLocation=https://pubmed.ncbi.nlm.nih.gov/20702694/, friendlyName=Open PubMed</x:v>
      </x:c>
    </x:row>
    <x:row r="1268">
      <x:c r="A1268" s="26" t="str">
        <x:v>PUBMED-20690167</x:v>
      </x:c>
      <x:c r="B1268" s="26" t="n">
        <x:v>2010</x:v>
      </x:c>
      <x:c r="C1268" s="26" t="str">
        <x:v>20690167</x:v>
      </x:c>
      <x:c r="D1268" s="28" t="str">
        <x:v>Tourette's syndrome in adults.</x:v>
      </x:c>
      <x:c r="E1268" s="28" t="str">
        <x:v>Primary/contextual journal article</x:v>
      </x:c>
      <x:c r="F1268" s="28" t="str">
        <x:v>Development &amp; presentation; Social &amp; structural; Historical &amp; contemporary context</x:v>
      </x:c>
      <x:c r="G1268" s="28" t="str">
        <x:v>Childhood; Adolescence; Adulthood</x:v>
      </x:c>
      <x:c r="H1268" s="28" t="str">
        <x:v>Later specialized</x:v>
      </x:c>
      <x:c r="I1268" s="28" t="str">
        <x:v>Direct or strongly ADHD-related record retained for later screening; typically narrower treatment, biomarker, mechanistic, or single-comorbidity focus.</x:v>
      </x:c>
      <x:c r="J1268" s="38" t="e">
        <x:f>HYPERLINK("https://pubmed.ncbi.nlm.nih.gov/"&amp;C1268&amp;"/","Open PubMed")</x:f>
        <x:v>HYPERLINK is not implemented. linkLocation=https://pubmed.ncbi.nlm.nih.gov/20690167/, friendlyName=Open PubMed</x:v>
      </x:c>
    </x:row>
    <x:row r="1269">
      <x:c r="A1269" s="26" t="str">
        <x:v>PUBMED-20687998</x:v>
      </x:c>
      <x:c r="B1269" s="26" t="n">
        <x:v>2010</x:v>
      </x:c>
      <x:c r="C1269" s="26" t="str">
        <x:v>20687998</x:v>
      </x:c>
      <x:c r="D1269" s="28" t="str">
        <x:v>[Attention deficit hyperactivity disorder (ADHD) in children: neurobiological aspects, diagnosis and therapeutic approach].</x:v>
      </x:c>
      <x:c r="E1269" s="28" t="str">
        <x:v>Evidence synthesis - systematic review</x:v>
      </x:c>
      <x:c r="F1269" s="28" t="str">
        <x:v>Development &amp; presentation; Recognition &amp; diagnosis; Social &amp; structural; Treatment &amp; support</x:v>
      </x:c>
      <x:c r="G1269" s="28" t="str">
        <x:v>Childhood</x:v>
      </x:c>
      <x:c r="H1269" s="28" t="str">
        <x:v>Later specialized</x:v>
      </x:c>
      <x:c r="I1269" s="28" t="str">
        <x:v>Direct or strongly ADHD-related record retained for later screening; typically narrower treatment, biomarker, mechanistic, or single-comorbidity focus.</x:v>
      </x:c>
      <x:c r="J1269" s="38" t="e">
        <x:f>HYPERLINK("https://pubmed.ncbi.nlm.nih.gov/"&amp;C1269&amp;"/","Open PubMed")</x:f>
        <x:v>HYPERLINK is not implemented. linkLocation=https://pubmed.ncbi.nlm.nih.gov/20687998/, friendlyName=Open PubMed</x:v>
      </x:c>
    </x:row>
    <x:row r="1270">
      <x:c r="A1270" s="26" t="str">
        <x:v>PUBMED-20686188</x:v>
      </x:c>
      <x:c r="B1270" s="26" t="n">
        <x:v>2010</x:v>
      </x:c>
      <x:c r="C1270" s="26" t="str">
        <x:v>20686188</x:v>
      </x:c>
      <x:c r="D1270" s="28" t="str">
        <x:v>The genetics of autism spectrum disorders and related neuropsychiatric disorders in childhood.</x:v>
      </x:c>
      <x:c r="E1270" s="28" t="str">
        <x:v>Primary/contextual journal article</x:v>
      </x:c>
      <x:c r="F1270" s="28" t="str">
        <x:v>Development &amp; presentation; Recognition &amp; diagnosis; Family &amp; education; Social &amp; structural; Environmental &amp; lifestyle</x:v>
      </x:c>
      <x:c r="G1270" s="28" t="str">
        <x:v>Childhood</x:v>
      </x:c>
      <x:c r="H1270" s="28" t="str">
        <x:v>Later specialized</x:v>
      </x:c>
      <x:c r="I1270" s="28" t="str">
        <x:v>Direct or strongly ADHD-related record retained for later screening; typically narrower treatment, biomarker, mechanistic, or single-comorbidity focus.</x:v>
      </x:c>
      <x:c r="J1270" s="38" t="e">
        <x:f>HYPERLINK("https://pubmed.ncbi.nlm.nih.gov/"&amp;C1270&amp;"/","Open PubMed")</x:f>
        <x:v>HYPERLINK is not implemented. linkLocation=https://pubmed.ncbi.nlm.nih.gov/20686188/, friendlyName=Open PubMed</x:v>
      </x:c>
    </x:row>
    <x:row r="1271">
      <x:c r="A1271" s="26" t="str">
        <x:v>PUBMED-20677848</x:v>
      </x:c>
      <x:c r="B1271" s="26" t="n">
        <x:v>2010</x:v>
      </x:c>
      <x:c r="C1271" s="26" t="str">
        <x:v>20677848</x:v>
      </x:c>
      <x:c r="D1271" s="28" t="str">
        <x:v>Early attentional deficits in an attention-to-prepulse paradigm in ADHD adults.</x:v>
      </x:c>
      <x:c r="E1271" s="28" t="str">
        <x:v>Primary study - case-control</x:v>
      </x:c>
      <x:c r="F1271" s="28" t="str">
        <x:v>Development &amp; presentation; Social &amp; structural</x:v>
      </x:c>
      <x:c r="G1271" s="28" t="str">
        <x:v>Adulthood</x:v>
      </x:c>
      <x:c r="H1271" s="28" t="str">
        <x:v>Later specialized</x:v>
      </x:c>
      <x:c r="I1271" s="28" t="str">
        <x:v>Direct or strongly ADHD-related record retained for later screening; typically narrower treatment, biomarker, mechanistic, or single-comorbidity focus.</x:v>
      </x:c>
      <x:c r="J1271" s="38" t="e">
        <x:f>HYPERLINK("https://pubmed.ncbi.nlm.nih.gov/"&amp;C1271&amp;"/","Open PubMed")</x:f>
        <x:v>HYPERLINK is not implemented. linkLocation=https://pubmed.ncbi.nlm.nih.gov/20677848/, friendlyName=Open PubMed</x:v>
      </x:c>
    </x:row>
    <x:row r="1272">
      <x:c r="A1272" s="26" t="str">
        <x:v>PUBMED-20674507</x:v>
      </x:c>
      <x:c r="B1272" s="26" t="n">
        <x:v>2010</x:v>
      </x:c>
      <x:c r="C1272" s="26" t="str">
        <x:v>20674507</x:v>
      </x:c>
      <x:c r="D1272" s="28" t="str">
        <x:v>Differentiation of attention-related problems in childhood absence epilepsy.</x:v>
      </x:c>
      <x:c r="E1272" s="28" t="str">
        <x:v>Primary/contextual journal article</x:v>
      </x:c>
      <x:c r="F1272" s="28" t="str">
        <x:v>Development &amp; presentation; Recognition &amp; diagnosis; Family &amp; education; Social &amp; structural</x:v>
      </x:c>
      <x:c r="G1272" s="28" t="str">
        <x:v>Childhood; Adolescence</x:v>
      </x:c>
      <x:c r="H1272" s="28" t="str">
        <x:v>Later specialized</x:v>
      </x:c>
      <x:c r="I1272" s="28" t="str">
        <x:v>Direct or strongly ADHD-related record retained for later screening; typically narrower treatment, biomarker, mechanistic, or single-comorbidity focus.</x:v>
      </x:c>
      <x:c r="J1272" s="38" t="e">
        <x:f>HYPERLINK("https://pubmed.ncbi.nlm.nih.gov/"&amp;C1272&amp;"/","Open PubMed")</x:f>
        <x:v>HYPERLINK is not implemented. linkLocation=https://pubmed.ncbi.nlm.nih.gov/20674507/, friendlyName=Open PubMed</x:v>
      </x:c>
    </x:row>
    <x:row r="1273">
      <x:c r="A1273" s="26" t="str">
        <x:v>PUBMED-20670268</x:v>
      </x:c>
      <x:c r="B1273" s="26" t="n">
        <x:v>2010</x:v>
      </x:c>
      <x:c r="C1273" s="26" t="str">
        <x:v>20670268</x:v>
      </x:c>
      <x:c r="D1273" s="28" t="str">
        <x:v>Correlating family nurse practitioners' perspectives of adult ADD/ADHD with employed pharmacotherapy: a pilot study.</x:v>
      </x:c>
      <x:c r="E1273" s="28" t="str">
        <x:v>Primary/contextual journal article</x:v>
      </x:c>
      <x:c r="F1273" s="28" t="str">
        <x:v>Development &amp; presentation; Recognition &amp; diagnosis; Family &amp; education; Treatment &amp; support; Historical &amp; contemporary context</x:v>
      </x:c>
      <x:c r="G1273" s="28" t="str">
        <x:v>Childhood; Adulthood</x:v>
      </x:c>
      <x:c r="H1273" s="28" t="str">
        <x:v>Later specialized</x:v>
      </x:c>
      <x:c r="I1273" s="28" t="str">
        <x:v>Direct or strongly ADHD-related record retained for later screening; typically narrower treatment, biomarker, mechanistic, or single-comorbidity focus.</x:v>
      </x:c>
      <x:c r="J1273" s="38" t="e">
        <x:f>HYPERLINK("https://pubmed.ncbi.nlm.nih.gov/"&amp;C1273&amp;"/","Open PubMed")</x:f>
        <x:v>HYPERLINK is not implemented. linkLocation=https://pubmed.ncbi.nlm.nih.gov/20670268/, friendlyName=Open PubMed</x:v>
      </x:c>
    </x:row>
    <x:row r="1274">
      <x:c r="A1274" s="26" t="str">
        <x:v>PUBMED-20667890</x:v>
      </x:c>
      <x:c r="B1274" s="26" t="n">
        <x:v>2010</x:v>
      </x:c>
      <x:c r="C1274" s="26" t="str">
        <x:v>20667890</x:v>
      </x:c>
      <x:c r="D1274" s="28" t="str">
        <x:v>Memory and attention profiles in pediatric traumatic brain injury.</x:v>
      </x:c>
      <x:c r="E1274" s="28" t="str">
        <x:v>Primary/contextual journal article</x:v>
      </x:c>
      <x:c r="F1274" s="28" t="str">
        <x:v>Development &amp; presentation; Recognition &amp; diagnosis; Family &amp; education; Social &amp; structural; Treatment &amp; support; Life outcomes &amp; lived experience</x:v>
      </x:c>
      <x:c r="G1274" s="28" t="str">
        <x:v>Childhood; Adolescence; Adulthood</x:v>
      </x:c>
      <x:c r="H1274" s="28" t="str">
        <x:v>Later specialized</x:v>
      </x:c>
      <x:c r="I1274" s="28" t="str">
        <x:v>Direct or strongly ADHD-related record retained for later screening; typically narrower treatment, biomarker, mechanistic, or single-comorbidity focus.</x:v>
      </x:c>
      <x:c r="J1274" s="38" t="e">
        <x:f>HYPERLINK("https://pubmed.ncbi.nlm.nih.gov/"&amp;C1274&amp;"/","Open PubMed")</x:f>
        <x:v>HYPERLINK is not implemented. linkLocation=https://pubmed.ncbi.nlm.nih.gov/20667890/, friendlyName=Open PubMed</x:v>
      </x:c>
    </x:row>
    <x:row r="1275">
      <x:c r="A1275" s="26" t="str">
        <x:v>PUBMED-20663649</x:v>
      </x:c>
      <x:c r="B1275" s="26" t="n">
        <x:v>2010</x:v>
      </x:c>
      <x:c r="C1275" s="26" t="str">
        <x:v>20663649</x:v>
      </x:c>
      <x:c r="D1275" s="28" t="str">
        <x:v>[Alert symptoms and related disorders in gifted children].</x:v>
      </x:c>
      <x:c r="E1275" s="28" t="str">
        <x:v>Primary/contextual journal article</x:v>
      </x:c>
      <x:c r="F1275" s="28" t="str">
        <x:v>Development &amp; presentation; Recognition &amp; diagnosis; Family &amp; education; Social &amp; structural; Environmental &amp; lifestyle</x:v>
      </x:c>
      <x:c r="G1275" s="28" t="str">
        <x:v>Childhood; Adolescence</x:v>
      </x:c>
      <x:c r="H1275" s="28" t="str">
        <x:v>Exclude/incidental</x:v>
      </x:c>
      <x:c r="I1275" s="28" t="str">
        <x:v>ADHD appears peripheral or insufficiently aligned with the requested corpus scope based on accessible metadata/abstract.</x:v>
      </x:c>
      <x:c r="J1275" s="38" t="e">
        <x:f>HYPERLINK("https://pubmed.ncbi.nlm.nih.gov/"&amp;C1275&amp;"/","Open PubMed")</x:f>
        <x:v>HYPERLINK is not implemented. linkLocation=https://pubmed.ncbi.nlm.nih.gov/20663649/, friendlyName=Open PubMed</x:v>
      </x:c>
    </x:row>
    <x:row r="1276">
      <x:c r="A1276" s="26" t="str">
        <x:v>PUBMED-20660925</x:v>
      </x:c>
      <x:c r="B1276" s="26" t="n">
        <x:v>2010</x:v>
      </x:c>
      <x:c r="C1276" s="26" t="str">
        <x:v>20660925</x:v>
      </x:c>
      <x:c r="D1276" s="28" t="str">
        <x:v>Elements of working memory as predictors of goal-setting skills in children with attention-deficit/ hyperactivity disorder.</x:v>
      </x:c>
      <x:c r="E1276" s="28" t="str">
        <x:v>Primary study - case-control</x:v>
      </x:c>
      <x:c r="F1276" s="28" t="str">
        <x:v>Development &amp; presentation; Recognition &amp; diagnosis; Family &amp; education; Social &amp; structural</x:v>
      </x:c>
      <x:c r="G1276" s="28" t="str">
        <x:v>Childhood</x:v>
      </x:c>
      <x:c r="H1276" s="28" t="str">
        <x:v>Later specialized</x:v>
      </x:c>
      <x:c r="I1276" s="28" t="str">
        <x:v>Direct or strongly ADHD-related record retained for later screening; typically narrower treatment, biomarker, mechanistic, or single-comorbidity focus.</x:v>
      </x:c>
      <x:c r="J1276" s="38" t="e">
        <x:f>HYPERLINK("https://pubmed.ncbi.nlm.nih.gov/"&amp;C1276&amp;"/","Open PubMed")</x:f>
        <x:v>HYPERLINK is not implemented. linkLocation=https://pubmed.ncbi.nlm.nih.gov/20660925/, friendlyName=Open PubMed</x:v>
      </x:c>
    </x:row>
    <x:row r="1277">
      <x:c r="A1277" s="26" t="str">
        <x:v>PUBMED-20659814</x:v>
      </x:c>
      <x:c r="B1277" s="26" t="n">
        <x:v>2010</x:v>
      </x:c>
      <x:c r="C1277" s="26" t="str">
        <x:v>20659814</x:v>
      </x:c>
      <x:c r="D1277" s="28" t="str">
        <x:v>Linear and non-linear EEG analysis of adolescents with attention-deficit/hyperactivity disorder during a cognitive task.</x:v>
      </x:c>
      <x:c r="E1277" s="28" t="str">
        <x:v>Primary/contextual journal article</x:v>
      </x:c>
      <x:c r="F1277" s="28" t="str">
        <x:v>Development &amp; presentation; Recognition &amp; diagnosis; Social &amp; structural; Historical &amp; contemporary context</x:v>
      </x:c>
      <x:c r="G1277" s="28" t="str">
        <x:v>Adolescence</x:v>
      </x:c>
      <x:c r="H1277" s="28" t="str">
        <x:v>Later specialized</x:v>
      </x:c>
      <x:c r="I1277" s="28" t="str">
        <x:v>Direct or strongly ADHD-related record retained for later screening; typically narrower treatment, biomarker, mechanistic, or single-comorbidity focus.</x:v>
      </x:c>
      <x:c r="J1277" s="38" t="e">
        <x:f>HYPERLINK("https://pubmed.ncbi.nlm.nih.gov/"&amp;C1277&amp;"/","Open PubMed")</x:f>
        <x:v>HYPERLINK is not implemented. linkLocation=https://pubmed.ncbi.nlm.nih.gov/20659814/, friendlyName=Open PubMed</x:v>
      </x:c>
    </x:row>
    <x:row r="1278">
      <x:c r="A1278" s="26" t="str">
        <x:v>PUBMED-20652773</x:v>
      </x:c>
      <x:c r="B1278" s="26" t="n">
        <x:v>2010</x:v>
      </x:c>
      <x:c r="C1278" s="26" t="str">
        <x:v>20652773</x:v>
      </x:c>
      <x:c r="D1278" s="28" t="str">
        <x:v>Alpha-2 adrenergic receptors and attention-deficit/hyperactivity disorder.</x:v>
      </x:c>
      <x:c r="E1278" s="28" t="str">
        <x:v>Evidence synthesis - review</x:v>
      </x:c>
      <x:c r="F1278" s="28" t="str">
        <x:v>Development &amp; presentation; Social &amp; structural; Treatment &amp; support</x:v>
      </x:c>
      <x:c r="G1278" s="28" t="str">
        <x:v>Not specified</x:v>
      </x:c>
      <x:c r="H1278" s="28" t="str">
        <x:v>Later specialized</x:v>
      </x:c>
      <x:c r="I1278" s="28" t="str">
        <x:v>Direct or strongly ADHD-related record retained for later screening; typically narrower treatment, biomarker, mechanistic, or single-comorbidity focus.</x:v>
      </x:c>
      <x:c r="J1278" s="38" t="e">
        <x:f>HYPERLINK("https://pubmed.ncbi.nlm.nih.gov/"&amp;C1278&amp;"/","Open PubMed")</x:f>
        <x:v>HYPERLINK is not implemented. linkLocation=https://pubmed.ncbi.nlm.nih.gov/20652773/, friendlyName=Open PubMed</x:v>
      </x:c>
    </x:row>
    <x:row r="1279">
      <x:c r="A1279" s="26" t="str">
        <x:v>PUBMED-20652772</x:v>
      </x:c>
      <x:c r="B1279" s="26" t="n">
        <x:v>2010</x:v>
      </x:c>
      <x:c r="C1279" s="26" t="str">
        <x:v>20652772</x:v>
      </x:c>
      <x:c r="D1279" s="28" t="str">
        <x:v>Use of treatment services for attention-deficit/hyperactivity disorder in latino children.</x:v>
      </x:c>
      <x:c r="E1279" s="28" t="str">
        <x:v>Evidence synthesis - review</x:v>
      </x:c>
      <x:c r="F1279" s="28" t="str">
        <x:v>Development &amp; presentation; Family &amp; education; Social &amp; structural; Treatment &amp; support; Historical &amp; contemporary context</x:v>
      </x:c>
      <x:c r="G1279" s="28" t="str">
        <x:v>Childhood</x:v>
      </x:c>
      <x:c r="H1279" s="28" t="str">
        <x:v>Later specialized</x:v>
      </x:c>
      <x:c r="I1279" s="28" t="str">
        <x:v>Direct or strongly ADHD-related record retained for later screening; typically narrower treatment, biomarker, mechanistic, or single-comorbidity focus.</x:v>
      </x:c>
      <x:c r="J1279" s="38" t="e">
        <x:f>HYPERLINK("https://pubmed.ncbi.nlm.nih.gov/"&amp;C1279&amp;"/","Open PubMed")</x:f>
        <x:v>HYPERLINK is not implemented. linkLocation=https://pubmed.ncbi.nlm.nih.gov/20652772/, friendlyName=Open PubMed</x:v>
      </x:c>
    </x:row>
    <x:row r="1280">
      <x:c r="A1280" s="26" t="str">
        <x:v>PUBMED-20650602</x:v>
      </x:c>
      <x:c r="B1280" s="26" t="n">
        <x:v>2010</x:v>
      </x:c>
      <x:c r="C1280" s="26" t="str">
        <x:v>20650602</x:v>
      </x:c>
      <x:c r="D1280" s="28" t="str">
        <x:v>A preliminary study on the effect of methylphenidate on motor performance in children with comorbid DCD and ADHD.</x:v>
      </x:c>
      <x:c r="E1280" s="28" t="str">
        <x:v>Primary study - clinical trial</x:v>
      </x:c>
      <x:c r="F1280" s="28" t="str">
        <x:v>Development &amp; presentation; Recognition &amp; diagnosis; Family &amp; education; Social &amp; structural; Treatment &amp; support; Life outcomes &amp; lived experience</x:v>
      </x:c>
      <x:c r="G1280" s="28" t="str">
        <x:v>Childhood</x:v>
      </x:c>
      <x:c r="H1280" s="28" t="str">
        <x:v>Later specialized</x:v>
      </x:c>
      <x:c r="I1280" s="28" t="str">
        <x:v>Direct or strongly ADHD-related record retained for later screening; typically narrower treatment, biomarker, mechanistic, or single-comorbidity focus.</x:v>
      </x:c>
      <x:c r="J1280" s="38" t="e">
        <x:f>HYPERLINK("https://pubmed.ncbi.nlm.nih.gov/"&amp;C1280&amp;"/","Open PubMed")</x:f>
        <x:v>HYPERLINK is not implemented. linkLocation=https://pubmed.ncbi.nlm.nih.gov/20650602/, friendlyName=Open PubMed</x:v>
      </x:c>
    </x:row>
    <x:row r="1281">
      <x:c r="A1281" s="26" t="str">
        <x:v>PUBMED-20649623</x:v>
      </x:c>
      <x:c r="B1281" s="26" t="n">
        <x:v>2010</x:v>
      </x:c>
      <x:c r="C1281" s="26" t="str">
        <x:v>20649623</x:v>
      </x:c>
      <x:c r="D1281" s="28" t="str">
        <x:v>Developmental coordination disorder in children with ADHD and physical therapy intervention.</x:v>
      </x:c>
      <x:c r="E1281" s="28" t="str">
        <x:v>Contextual - editorial/comment</x:v>
      </x:c>
      <x:c r="F1281" s="28" t="str">
        <x:v>Development &amp; presentation; Recognition &amp; diagnosis; Social &amp; structural; Treatment &amp; support</x:v>
      </x:c>
      <x:c r="G1281" s="28" t="str">
        <x:v>Childhood</x:v>
      </x:c>
      <x:c r="H1281" s="28" t="str">
        <x:v>Later specialized</x:v>
      </x:c>
      <x:c r="I1281" s="28" t="str">
        <x:v>Direct or strongly ADHD-related record retained for later screening; typically narrower treatment, biomarker, mechanistic, or single-comorbidity focus.</x:v>
      </x:c>
      <x:c r="J1281" s="38" t="e">
        <x:f>HYPERLINK("https://pubmed.ncbi.nlm.nih.gov/"&amp;C1281&amp;"/","Open PubMed")</x:f>
        <x:v>HYPERLINK is not implemented. linkLocation=https://pubmed.ncbi.nlm.nih.gov/20649623/, friendlyName=Open PubMed</x:v>
      </x:c>
    </x:row>
    <x:row r="1282">
      <x:c r="A1282" s="26" t="str">
        <x:v>PUBMED-20646881</x:v>
      </x:c>
      <x:c r="B1282" s="26" t="n">
        <x:v>2010</x:v>
      </x:c>
      <x:c r="C1282" s="26" t="str">
        <x:v>20646881</x:v>
      </x:c>
      <x:c r="D1282" s="28" t="str">
        <x:v>The link between sleep problems in infancy and early childhood and attention problems at 5 and 14 years: Evidence from a birth cohort study.</x:v>
      </x:c>
      <x:c r="E1282" s="28" t="str">
        <x:v>Primary study - cohort</x:v>
      </x:c>
      <x:c r="F1282" s="28" t="str">
        <x:v>Development &amp; presentation; Family &amp; education; Social &amp; structural; Environmental &amp; lifestyle; Life outcomes &amp; lived experience</x:v>
      </x:c>
      <x:c r="G1282" s="28" t="str">
        <x:v>Childhood; Adolescence</x:v>
      </x:c>
      <x:c r="H1282" s="28" t="str">
        <x:v>Later specialized</x:v>
      </x:c>
      <x:c r="I1282" s="28" t="str">
        <x:v>Direct or strongly ADHD-related record retained for later screening; typically narrower treatment, biomarker, mechanistic, or single-comorbidity focus.</x:v>
      </x:c>
      <x:c r="J1282" s="38" t="e">
        <x:f>HYPERLINK("https://pubmed.ncbi.nlm.nih.gov/"&amp;C1282&amp;"/","Open PubMed")</x:f>
        <x:v>HYPERLINK is not implemented. linkLocation=https://pubmed.ncbi.nlm.nih.gov/20646881/, friendlyName=Open PubMed</x:v>
      </x:c>
    </x:row>
    <x:row r="1283">
      <x:c r="A1283" s="26" t="str">
        <x:v>PUBMED-20645293</x:v>
      </x:c>
      <x:c r="B1283" s="26" t="n">
        <x:v>2010</x:v>
      </x:c>
      <x:c r="C1283" s="26" t="str">
        <x:v>20645293</x:v>
      </x:c>
      <x:c r="D1283" s="28" t="str">
        <x:v>ADHD in a representative sample of the Brazilian population: estimated prevalence and comparative adequacy of criteria between adolescents and adults according to the item response theory.</x:v>
      </x:c>
      <x:c r="E1283" s="28" t="str">
        <x:v>Primary/contextual journal article</x:v>
      </x:c>
      <x:c r="F1283" s="28" t="str">
        <x:v>Development &amp; presentation; Recognition &amp; diagnosis; Family &amp; education; Social &amp; structural</x:v>
      </x:c>
      <x:c r="G1283" s="28" t="str">
        <x:v>Adolescence; Adulthood</x:v>
      </x:c>
      <x:c r="H1283" s="28" t="str">
        <x:v>Later specialized</x:v>
      </x:c>
      <x:c r="I1283" s="28" t="str">
        <x:v>Direct or strongly ADHD-related record retained for later screening; typically narrower treatment, biomarker, mechanistic, or single-comorbidity focus.</x:v>
      </x:c>
      <x:c r="J1283" s="38" t="e">
        <x:f>HYPERLINK("https://pubmed.ncbi.nlm.nih.gov/"&amp;C1283&amp;"/","Open PubMed")</x:f>
        <x:v>HYPERLINK is not implemented. linkLocation=https://pubmed.ncbi.nlm.nih.gov/20645293/, friendlyName=Open PubMed</x:v>
      </x:c>
    </x:row>
    <x:row r="1284">
      <x:c r="A1284" s="26" t="str">
        <x:v>PUBMED-20644992</x:v>
      </x:c>
      <x:c r="B1284" s="26" t="n">
        <x:v>2010</x:v>
      </x:c>
      <x:c r="C1284" s="26" t="str">
        <x:v>20644992</x:v>
      </x:c>
      <x:c r="D1284" s="28" t="str">
        <x:v>Dimensions and correlates of attention deficit/hyperactivity disorder and Sluggish Cognitive Tempo.</x:v>
      </x:c>
      <x:c r="E1284" s="28" t="str">
        <x:v>Primary/contextual journal article</x:v>
      </x:c>
      <x:c r="F1284" s="28" t="str">
        <x:v>Development &amp; presentation; Recognition &amp; diagnosis; Family &amp; education; Social &amp; structural; Treatment &amp; support</x:v>
      </x:c>
      <x:c r="G1284" s="28" t="str">
        <x:v>Childhood; Adolescence</x:v>
      </x:c>
      <x:c r="H1284" s="28" t="str">
        <x:v>Later specialized</x:v>
      </x:c>
      <x:c r="I1284" s="28" t="str">
        <x:v>Direct or strongly ADHD-related record retained for later screening; typically narrower treatment, biomarker, mechanistic, or single-comorbidity focus.</x:v>
      </x:c>
      <x:c r="J1284" s="38" t="e">
        <x:f>HYPERLINK("https://pubmed.ncbi.nlm.nih.gov/"&amp;C1284&amp;"/","Open PubMed")</x:f>
        <x:v>HYPERLINK is not implemented. linkLocation=https://pubmed.ncbi.nlm.nih.gov/20644992/, friendlyName=Open PubMed</x:v>
      </x:c>
    </x:row>
    <x:row r="1285">
      <x:c r="A1285" s="26" t="str">
        <x:v>PUBMED-20643317</x:v>
      </x:c>
      <x:c r="B1285" s="26" t="n">
        <x:v>2010</x:v>
      </x:c>
      <x:c r="C1285" s="26" t="str">
        <x:v>20643317</x:v>
      </x:c>
      <x:c r="D1285" s="28" t="str">
        <x:v>COMT Val158Met genotype as a risk factor for problem behaviors in youth.</x:v>
      </x:c>
      <x:c r="E1285" s="28" t="str">
        <x:v>Primary/contextual journal article</x:v>
      </x:c>
      <x:c r="F1285" s="28" t="str">
        <x:v>Development &amp; presentation; Recognition &amp; diagnosis; Family &amp; education; Social &amp; structural</x:v>
      </x:c>
      <x:c r="G1285" s="28" t="str">
        <x:v>Childhood; Adolescence</x:v>
      </x:c>
      <x:c r="H1285" s="28" t="str">
        <x:v>Exclude/incidental</x:v>
      </x:c>
      <x:c r="I1285" s="28" t="str">
        <x:v>ADHD appears peripheral or insufficiently aligned with the requested corpus scope based on accessible metadata/abstract.</x:v>
      </x:c>
      <x:c r="J1285" s="38" t="e">
        <x:f>HYPERLINK("https://pubmed.ncbi.nlm.nih.gov/"&amp;C1285&amp;"/","Open PubMed")</x:f>
        <x:v>HYPERLINK is not implemented. linkLocation=https://pubmed.ncbi.nlm.nih.gov/20643317/, friendlyName=Open PubMed</x:v>
      </x:c>
    </x:row>
    <x:row r="1286">
      <x:c r="A1286" s="26" t="str">
        <x:v>PUBMED-20643309</x:v>
      </x:c>
      <x:c r="B1286" s="26" t="n">
        <x:v>2010</x:v>
      </x:c>
      <x:c r="C1286" s="26" t="str">
        <x:v>20643309</x:v>
      </x:c>
      <x:c r="D1286" s="28" t="str">
        <x:v>Progress in cytogenetics: implications for child psychopathology.</x:v>
      </x:c>
      <x:c r="E1286" s="28" t="str">
        <x:v>Evidence synthesis - review</x:v>
      </x:c>
      <x:c r="F1286" s="28" t="str">
        <x:v>Development &amp; presentation; Recognition &amp; diagnosis; Family &amp; education; Social &amp; structural; Life outcomes &amp; lived experience</x:v>
      </x:c>
      <x:c r="G1286" s="28" t="str">
        <x:v>Childhood; Adolescence</x:v>
      </x:c>
      <x:c r="H1286" s="28" t="str">
        <x:v>Exclude/incidental</x:v>
      </x:c>
      <x:c r="I1286" s="28" t="str">
        <x:v>ADHD appears peripheral or insufficiently aligned with the requested corpus scope based on accessible metadata/abstract.</x:v>
      </x:c>
      <x:c r="J1286" s="38" t="e">
        <x:f>HYPERLINK("https://pubmed.ncbi.nlm.nih.gov/"&amp;C1286&amp;"/","Open PubMed")</x:f>
        <x:v>HYPERLINK is not implemented. linkLocation=https://pubmed.ncbi.nlm.nih.gov/20643309/, friendlyName=Open PubMed</x:v>
      </x:c>
    </x:row>
    <x:row r="1287">
      <x:c r="A1287" s="26" t="str">
        <x:v>PUBMED-20638739</x:v>
      </x:c>
      <x:c r="B1287" s="26" t="n">
        <x:v>2010</x:v>
      </x:c>
      <x:c r="C1287" s="26" t="str">
        <x:v>20638739</x:v>
      </x:c>
      <x:c r="D1287" s="28" t="str">
        <x:v>The importance of relative standards in ADHD diagnoses: evidence based on exact birth dates.</x:v>
      </x:c>
      <x:c r="E1287" s="28" t="str">
        <x:v>Primary/contextual journal article</x:v>
      </x:c>
      <x:c r="F1287" s="28" t="str">
        <x:v>Development &amp; presentation; Recognition &amp; diagnosis; Family &amp; education; Social &amp; structural; Environmental &amp; lifestyle; Treatment &amp; support</x:v>
      </x:c>
      <x:c r="G1287" s="28" t="str">
        <x:v>Childhood</x:v>
      </x:c>
      <x:c r="H1287" s="28" t="str">
        <x:v>Later specialized</x:v>
      </x:c>
      <x:c r="I1287" s="28" t="str">
        <x:v>Direct or strongly ADHD-related record retained for later screening; typically narrower treatment, biomarker, mechanistic, or single-comorbidity focus.</x:v>
      </x:c>
      <x:c r="J1287" s="38" t="e">
        <x:f>HYPERLINK("https://pubmed.ncbi.nlm.nih.gov/"&amp;C1287&amp;"/","Open PubMed")</x:f>
        <x:v>HYPERLINK is not implemented. linkLocation=https://pubmed.ncbi.nlm.nih.gov/20638739/, friendlyName=Open PubMed</x:v>
      </x:c>
    </x:row>
    <x:row r="1288">
      <x:c r="A1288" s="26" t="str">
        <x:v>PUBMED-20632134</x:v>
      </x:c>
      <x:c r="B1288" s="26" t="n">
        <x:v>2010</x:v>
      </x:c>
      <x:c r="C1288" s="26" t="str">
        <x:v>20632134</x:v>
      </x:c>
      <x:c r="D1288" s="28" t="str">
        <x:v>Attention-deficit/hyperactivity disorder: associations with overeating and obesity.</x:v>
      </x:c>
      <x:c r="E1288" s="28" t="str">
        <x:v>Evidence synthesis - review</x:v>
      </x:c>
      <x:c r="F1288" s="28" t="str">
        <x:v>Development &amp; presentation; Social &amp; structural; Environmental &amp; lifestyle; Treatment &amp; support; Life outcomes &amp; lived experience</x:v>
      </x:c>
      <x:c r="G1288" s="28" t="str">
        <x:v>Childhood; Adolescence; Adulthood</x:v>
      </x:c>
      <x:c r="H1288" s="28" t="str">
        <x:v>Later specialized</x:v>
      </x:c>
      <x:c r="I1288" s="28" t="str">
        <x:v>Direct or strongly ADHD-related record retained for later screening; typically narrower treatment, biomarker, mechanistic, or single-comorbidity focus.</x:v>
      </x:c>
      <x:c r="J1288" s="38" t="e">
        <x:f>HYPERLINK("https://pubmed.ncbi.nlm.nih.gov/"&amp;C1288&amp;"/","Open PubMed")</x:f>
        <x:v>HYPERLINK is not implemented. linkLocation=https://pubmed.ncbi.nlm.nih.gov/20632134/, friendlyName=Open PubMed</x:v>
      </x:c>
    </x:row>
    <x:row r="1289">
      <x:c r="A1289" s="26" t="str">
        <x:v>PUBMED-20623519</x:v>
      </x:c>
      <x:c r="B1289" s="26" t="n">
        <x:v>2010</x:v>
      </x:c>
      <x:c r="C1289" s="26" t="str">
        <x:v>20623519</x:v>
      </x:c>
      <x:c r="D1289" s="28" t="str">
        <x:v>Cardiovascular safety of ADHD medications: rationale for and design of an investigator-initiated observational study.</x:v>
      </x:c>
      <x:c r="E1289" s="28" t="str">
        <x:v>Primary study - cohort</x:v>
      </x:c>
      <x:c r="F1289" s="28" t="str">
        <x:v>Development &amp; presentation; Recognition &amp; diagnosis; Social &amp; structural; Treatment &amp; support; Life outcomes &amp; lived experience</x:v>
      </x:c>
      <x:c r="G1289" s="28" t="str">
        <x:v>Childhood; Adolescence; Adulthood</x:v>
      </x:c>
      <x:c r="H1289" s="28" t="str">
        <x:v>Later specialized</x:v>
      </x:c>
      <x:c r="I1289" s="28" t="str">
        <x:v>Direct or strongly ADHD-related record retained for later screening; typically narrower treatment, biomarker, mechanistic, or single-comorbidity focus.</x:v>
      </x:c>
      <x:c r="J1289" s="38" t="e">
        <x:f>HYPERLINK("https://pubmed.ncbi.nlm.nih.gov/"&amp;C1289&amp;"/","Open PubMed")</x:f>
        <x:v>HYPERLINK is not implemented. linkLocation=https://pubmed.ncbi.nlm.nih.gov/20623519/, friendlyName=Open PubMed</x:v>
      </x:c>
    </x:row>
    <x:row r="1290">
      <x:c r="A1290" s="26" t="str">
        <x:v>PUBMED-20620105</x:v>
      </x:c>
      <x:c r="B1290" s="26" t="n">
        <x:v>2010</x:v>
      </x:c>
      <x:c r="C1290" s="26" t="str">
        <x:v>20620105</x:v>
      </x:c>
      <x:c r="D1290" s="28" t="str">
        <x:v>Advances in pediatric restless legs syndrome: Iron, genetics, diagnosis and treatment.</x:v>
      </x:c>
      <x:c r="E1290" s="28" t="str">
        <x:v>Evidence synthesis - review</x:v>
      </x:c>
      <x:c r="F1290" s="28" t="str">
        <x:v>Development &amp; presentation; Recognition &amp; diagnosis; Social &amp; structural; Environmental &amp; lifestyle; Treatment &amp; support; Life outcomes &amp; lived experience</x:v>
      </x:c>
      <x:c r="G1290" s="28" t="str">
        <x:v>Childhood</x:v>
      </x:c>
      <x:c r="H1290" s="28" t="str">
        <x:v>Exclude/incidental</x:v>
      </x:c>
      <x:c r="I1290" s="28" t="str">
        <x:v>ADHD appears peripheral or insufficiently aligned with the requested corpus scope based on accessible metadata/abstract.</x:v>
      </x:c>
      <x:c r="J1290" s="38" t="e">
        <x:f>HYPERLINK("https://pubmed.ncbi.nlm.nih.gov/"&amp;C1290&amp;"/","Open PubMed")</x:f>
        <x:v>HYPERLINK is not implemented. linkLocation=https://pubmed.ncbi.nlm.nih.gov/20620105/, friendlyName=Open PubMed</x:v>
      </x:c>
    </x:row>
    <x:row r="1291">
      <x:c r="A1291" s="26" t="str">
        <x:v>PUBMED-20617498</x:v>
      </x:c>
      <x:c r="B1291" s="26" t="n">
        <x:v>2010</x:v>
      </x:c>
      <x:c r="C1291" s="26" t="str">
        <x:v>20617498</x:v>
      </x:c>
      <x:c r="D1291" s="28" t="str">
        <x:v>[Relationship between phonological awareness and behavioral problems in preschool children].</x:v>
      </x:c>
      <x:c r="E1291" s="28" t="str">
        <x:v>Primary study - cross-sectional</x:v>
      </x:c>
      <x:c r="F1291" s="28" t="str">
        <x:v>Development &amp; presentation; Recognition &amp; diagnosis; Family &amp; education; Social &amp; structural; Treatment &amp; support; Life outcomes &amp; lived experience</x:v>
      </x:c>
      <x:c r="G1291" s="28" t="str">
        <x:v>Childhood</x:v>
      </x:c>
      <x:c r="H1291" s="28" t="str">
        <x:v>Exclude/incidental</x:v>
      </x:c>
      <x:c r="I1291" s="28" t="str">
        <x:v>ADHD appears peripheral or insufficiently aligned with the requested corpus scope based on accessible metadata/abstract.</x:v>
      </x:c>
      <x:c r="J1291" s="38" t="e">
        <x:f>HYPERLINK("https://pubmed.ncbi.nlm.nih.gov/"&amp;C1291&amp;"/","Open PubMed")</x:f>
        <x:v>HYPERLINK is not implemented. linkLocation=https://pubmed.ncbi.nlm.nih.gov/20617498/, friendlyName=Open PubMed</x:v>
      </x:c>
    </x:row>
    <x:row r="1292">
      <x:c r="A1292" s="26" t="str">
        <x:v>PUBMED-20615078</x:v>
      </x:c>
      <x:c r="B1292" s="26" t="n">
        <x:v>2010</x:v>
      </x:c>
      <x:c r="C1292" s="26" t="str">
        <x:v>20615078</x:v>
      </x:c>
      <x:c r="D1292" s="28" t="str">
        <x:v>Safety of stimulant treatment in attention deficit hyperactivity disorder: part II.</x:v>
      </x:c>
      <x:c r="E1292" s="28" t="str">
        <x:v>Evidence synthesis - review</x:v>
      </x:c>
      <x:c r="F1292" s="28" t="str">
        <x:v>Development &amp; presentation; Social &amp; structural; Treatment &amp; support</x:v>
      </x:c>
      <x:c r="G1292" s="28" t="str">
        <x:v>Childhood; Adulthood</x:v>
      </x:c>
      <x:c r="H1292" s="28" t="str">
        <x:v>Later specialized</x:v>
      </x:c>
      <x:c r="I1292" s="28" t="str">
        <x:v>Direct or strongly ADHD-related record retained for later screening; typically narrower treatment, biomarker, mechanistic, or single-comorbidity focus.</x:v>
      </x:c>
      <x:c r="J1292" s="38" t="e">
        <x:f>HYPERLINK("https://pubmed.ncbi.nlm.nih.gov/"&amp;C1292&amp;"/","Open PubMed")</x:f>
        <x:v>HYPERLINK is not implemented. linkLocation=https://pubmed.ncbi.nlm.nih.gov/20615078/, friendlyName=Open PubMed</x:v>
      </x:c>
    </x:row>
    <x:row r="1293">
      <x:c r="A1293" s="26" t="str">
        <x:v>PUBMED-20610135</x:v>
      </x:c>
      <x:c r="B1293" s="26" t="n">
        <x:v>2010</x:v>
      </x:c>
      <x:c r="C1293" s="26" t="str">
        <x:v>20610135</x:v>
      </x:c>
      <x:c r="D1293" s="28" t="str">
        <x:v>Etiology of different developmental trajectories of callous-unemotional traits.</x:v>
      </x:c>
      <x:c r="E1293" s="28" t="str">
        <x:v>Primary/contextual journal article</x:v>
      </x:c>
      <x:c r="F1293" s="28" t="str">
        <x:v>Development &amp; presentation; Family &amp; education; Social &amp; structural; Environmental &amp; lifestyle</x:v>
      </x:c>
      <x:c r="G1293" s="28" t="str">
        <x:v>Childhood; Adolescence</x:v>
      </x:c>
      <x:c r="H1293" s="28" t="str">
        <x:v>Exclude/incidental</x:v>
      </x:c>
      <x:c r="I1293" s="28" t="str">
        <x:v>ADHD appears peripheral or insufficiently aligned with the requested corpus scope based on accessible metadata/abstract.</x:v>
      </x:c>
      <x:c r="J1293" s="38" t="e">
        <x:f>HYPERLINK("https://pubmed.ncbi.nlm.nih.gov/"&amp;C1293&amp;"/","Open PubMed")</x:f>
        <x:v>HYPERLINK is not implemented. linkLocation=https://pubmed.ncbi.nlm.nih.gov/20610135/, friendlyName=Open PubMed</x:v>
      </x:c>
    </x:row>
    <x:row r="1294">
      <x:c r="A1294" s="26" t="str">
        <x:v>PUBMED-20610121</x:v>
      </x:c>
      <x:c r="B1294" s="26" t="n">
        <x:v>2010</x:v>
      </x:c>
      <x:c r="C1294" s="26" t="str">
        <x:v>20610121</x:v>
      </x:c>
      <x:c r="D1294" s="28" t="str">
        <x:v>Fetal alcohol syndrome, Tourette syndrome, and hyperactivity in nine adopted children.</x:v>
      </x:c>
      <x:c r="E1294" s="28" t="str">
        <x:v>Primary/contextual journal article</x:v>
      </x:c>
      <x:c r="F1294" s="28" t="str">
        <x:v>Development &amp; presentation; Recognition &amp; diagnosis; Family &amp; education; Social &amp; structural; Environmental &amp; lifestyle; Treatment &amp; support</x:v>
      </x:c>
      <x:c r="G1294" s="28" t="str">
        <x:v>Childhood</x:v>
      </x:c>
      <x:c r="H1294" s="28" t="str">
        <x:v>Later specialized</x:v>
      </x:c>
      <x:c r="I1294" s="28" t="str">
        <x:v>Direct or strongly ADHD-related record retained for later screening; typically narrower treatment, biomarker, mechanistic, or single-comorbidity focus.</x:v>
      </x:c>
      <x:c r="J1294" s="38" t="e">
        <x:f>HYPERLINK("https://pubmed.ncbi.nlm.nih.gov/"&amp;C1294&amp;"/","Open PubMed")</x:f>
        <x:v>HYPERLINK is not implemented. linkLocation=https://pubmed.ncbi.nlm.nih.gov/20610121/, friendlyName=Open PubMed</x:v>
      </x:c>
    </x:row>
    <x:row r="1295">
      <x:c r="A1295" s="26" t="str">
        <x:v>PUBMED-20606139</x:v>
      </x:c>
      <x:c r="B1295" s="26" t="n">
        <x:v>2010</x:v>
      </x:c>
      <x:c r="C1295" s="26" t="str">
        <x:v>20606139</x:v>
      </x:c>
      <x:c r="D1295" s="28" t="str">
        <x:v>Increased risk of ADHD associated with early exposure to pesticides, PCBs.</x:v>
      </x:c>
      <x:c r="E1295" s="28" t="str">
        <x:v>Other/unclear</x:v>
      </x:c>
      <x:c r="F1295" s="28" t="str">
        <x:v>Development &amp; presentation; Social &amp; structural; Environmental &amp; lifestyle; Treatment &amp; support</x:v>
      </x:c>
      <x:c r="G1295" s="28" t="str">
        <x:v>Childhood</x:v>
      </x:c>
      <x:c r="H1295" s="28" t="str">
        <x:v>Later specialized</x:v>
      </x:c>
      <x:c r="I1295" s="28" t="str">
        <x:v>Direct or strongly ADHD-related record retained for later screening; typically narrower treatment, biomarker, mechanistic, or single-comorbidity focus.</x:v>
      </x:c>
      <x:c r="J1295" s="38" t="e">
        <x:f>HYPERLINK("https://pubmed.ncbi.nlm.nih.gov/"&amp;C1295&amp;"/","Open PubMed")</x:f>
        <x:v>HYPERLINK is not implemented. linkLocation=https://pubmed.ncbi.nlm.nih.gov/20606139/, friendlyName=Open PubMed</x:v>
      </x:c>
    </x:row>
    <x:row r="1296">
      <x:c r="A1296" s="26" t="str">
        <x:v>PUBMED-20605842</x:v>
      </x:c>
      <x:c r="B1296" s="26" t="n">
        <x:v>2010</x:v>
      </x:c>
      <x:c r="C1296" s="26" t="str">
        <x:v>20605842</x:v>
      </x:c>
      <x:c r="D1296" s="28" t="str">
        <x:v>Response inhibition and academic abilities in typically developing children with attention-deficit-hyperactivity disorder-combined subtype.</x:v>
      </x:c>
      <x:c r="E1296" s="28" t="str">
        <x:v>Primary/contextual journal article</x:v>
      </x:c>
      <x:c r="F1296" s="28" t="str">
        <x:v>Development &amp; presentation; Recognition &amp; diagnosis; Family &amp; education; Social &amp; structural; Life outcomes &amp; lived experience</x:v>
      </x:c>
      <x:c r="G1296" s="28" t="str">
        <x:v>Childhood; Adolescence</x:v>
      </x:c>
      <x:c r="H1296" s="28" t="str">
        <x:v>Later specialized</x:v>
      </x:c>
      <x:c r="I1296" s="28" t="str">
        <x:v>Direct or strongly ADHD-related record retained for later screening; typically narrower treatment, biomarker, mechanistic, or single-comorbidity focus.</x:v>
      </x:c>
      <x:c r="J1296" s="38" t="e">
        <x:f>HYPERLINK("https://pubmed.ncbi.nlm.nih.gov/"&amp;C1296&amp;"/","Open PubMed")</x:f>
        <x:v>HYPERLINK is not implemented. linkLocation=https://pubmed.ncbi.nlm.nih.gov/20605842/, friendlyName=Open PubMed</x:v>
      </x:c>
    </x:row>
    <x:row r="1297">
      <x:c r="A1297" s="26" t="str">
        <x:v>PUBMED-20605163</x:v>
      </x:c>
      <x:c r="B1297" s="26" t="n">
        <x:v>2010</x:v>
      </x:c>
      <x:c r="C1297" s="26" t="str">
        <x:v>20605163</x:v>
      </x:c>
      <x:c r="D1297" s="28" t="str">
        <x:v>A naturalistic 10-year prospective study of height and weight in children with attention-deficit hyperactivity disorder grown up: sex and treatment effects.</x:v>
      </x:c>
      <x:c r="E1297" s="28" t="str">
        <x:v>Primary study - case-control</x:v>
      </x:c>
      <x:c r="F1297" s="28" t="str">
        <x:v>Development &amp; presentation; Recognition &amp; diagnosis; Family &amp; education; Social &amp; structural; Treatment &amp; support; Life outcomes &amp; lived experience</x:v>
      </x:c>
      <x:c r="G1297" s="28" t="str">
        <x:v>Childhood; Adolescence; Adulthood</x:v>
      </x:c>
      <x:c r="H1297" s="28" t="str">
        <x:v>Later specialized</x:v>
      </x:c>
      <x:c r="I1297" s="28" t="str">
        <x:v>Direct or strongly ADHD-related record retained for later screening; typically narrower treatment, biomarker, mechanistic, or single-comorbidity focus.</x:v>
      </x:c>
      <x:c r="J1297" s="38" t="e">
        <x:f>HYPERLINK("https://pubmed.ncbi.nlm.nih.gov/"&amp;C1297&amp;"/","Open PubMed")</x:f>
        <x:v>HYPERLINK is not implemented. linkLocation=https://pubmed.ncbi.nlm.nih.gov/20605163/, friendlyName=Open PubMed</x:v>
      </x:c>
    </x:row>
    <x:row r="1298">
      <x:c r="A1298" s="26" t="str">
        <x:v>PUBMED-20605120</x:v>
      </x:c>
      <x:c r="B1298" s="26" t="n">
        <x:v>2010</x:v>
      </x:c>
      <x:c r="C1298" s="26" t="str">
        <x:v>20605120</x:v>
      </x:c>
      <x:c r="D1298" s="28" t="str">
        <x:v>[Methylphenidate and sleep: Results of a multicentre study on a population of children with attention deficit hyperactivity disorder].</x:v>
      </x:c>
      <x:c r="E1298" s="28" t="str">
        <x:v>Primary/contextual journal article</x:v>
      </x:c>
      <x:c r="F1298" s="28" t="str">
        <x:v>Development &amp; presentation; Recognition &amp; diagnosis; Family &amp; education; Social &amp; structural; Environmental &amp; lifestyle; Treatment &amp; support</x:v>
      </x:c>
      <x:c r="G1298" s="28" t="str">
        <x:v>Childhood; Adolescence</x:v>
      </x:c>
      <x:c r="H1298" s="28" t="str">
        <x:v>Later specialized</x:v>
      </x:c>
      <x:c r="I1298" s="28" t="str">
        <x:v>Direct or strongly ADHD-related record retained for later screening; typically narrower treatment, biomarker, mechanistic, or single-comorbidity focus.</x:v>
      </x:c>
      <x:c r="J1298" s="38" t="e">
        <x:f>HYPERLINK("https://pubmed.ncbi.nlm.nih.gov/"&amp;C1298&amp;"/","Open PubMed")</x:f>
        <x:v>HYPERLINK is not implemented. linkLocation=https://pubmed.ncbi.nlm.nih.gov/20605120/, friendlyName=Open PubMed</x:v>
      </x:c>
    </x:row>
    <x:row r="1299">
      <x:c r="A1299" s="26" t="str">
        <x:v>PUBMED-20604617</x:v>
      </x:c>
      <x:c r="B1299" s="26" t="n">
        <x:v>2010</x:v>
      </x:c>
      <x:c r="C1299" s="26" t="str">
        <x:v>20604617</x:v>
      </x:c>
      <x:c r="D1299" s="28" t="str">
        <x:v>Perceptual and motor inhibition in adolescents/young adults with childhood-diagnosed ADHD.</x:v>
      </x:c>
      <x:c r="E1299" s="28" t="str">
        <x:v>Primary/contextual journal article</x:v>
      </x:c>
      <x:c r="F1299" s="28" t="str">
        <x:v>Development &amp; presentation; Recognition &amp; diagnosis; Life outcomes &amp; lived experience</x:v>
      </x:c>
      <x:c r="G1299" s="28" t="str">
        <x:v>Childhood; Adolescence; Adulthood</x:v>
      </x:c>
      <x:c r="H1299" s="28" t="str">
        <x:v>Later specialized</x:v>
      </x:c>
      <x:c r="I1299" s="28" t="str">
        <x:v>Direct or strongly ADHD-related record retained for later screening; typically narrower treatment, biomarker, mechanistic, or single-comorbidity focus.</x:v>
      </x:c>
      <x:c r="J1299" s="38" t="e">
        <x:f>HYPERLINK("https://pubmed.ncbi.nlm.nih.gov/"&amp;C1299&amp;"/","Open PubMed")</x:f>
        <x:v>HYPERLINK is not implemented. linkLocation=https://pubmed.ncbi.nlm.nih.gov/20604617/, friendlyName=Open PubMed</x:v>
      </x:c>
    </x:row>
    <x:row r="1300">
      <x:c r="A1300" s="26" t="str">
        <x:v>PUBMED-20603454</x:v>
      </x:c>
      <x:c r="B1300" s="26" t="n">
        <x:v>2010</x:v>
      </x:c>
      <x:c r="C1300" s="26" t="str">
        <x:v>20603454</x:v>
      </x:c>
      <x:c r="D1300" s="28" t="str">
        <x:v>Neural abnormalities in early-onset and adolescence-onset conduct disorder.</x:v>
      </x:c>
      <x:c r="E1300" s="28" t="str">
        <x:v>Primary study - case-control</x:v>
      </x:c>
      <x:c r="F1300" s="28" t="str">
        <x:v>Development &amp; presentation; Recognition &amp; diagnosis; Social &amp; structural; Life outcomes &amp; lived experience</x:v>
      </x:c>
      <x:c r="G1300" s="28" t="str">
        <x:v>Childhood; Adolescence; Adulthood</x:v>
      </x:c>
      <x:c r="H1300" s="28" t="str">
        <x:v>Exclude/incidental</x:v>
      </x:c>
      <x:c r="I1300" s="28" t="str">
        <x:v>ADHD appears peripheral or insufficiently aligned with the requested corpus scope based on accessible metadata/abstract.</x:v>
      </x:c>
      <x:c r="J1300" s="38" t="e">
        <x:f>HYPERLINK("https://pubmed.ncbi.nlm.nih.gov/"&amp;C1300&amp;"/","Open PubMed")</x:f>
        <x:v>HYPERLINK is not implemented. linkLocation=https://pubmed.ncbi.nlm.nih.gov/20603454/, friendlyName=Open PubMed</x:v>
      </x:c>
    </x:row>
    <x:row r="1301">
      <x:c r="A1301" s="26" t="str">
        <x:v>PUBMED-20603258</x:v>
      </x:c>
      <x:c r="B1301" s="26" t="n">
        <x:v>2010</x:v>
      </x:c>
      <x:c r="C1301" s="26" t="str">
        <x:v>20603258</x:v>
      </x:c>
      <x:c r="D1301" s="28" t="str">
        <x:v>Television and video game exposure and the development of attention problems.</x:v>
      </x:c>
      <x:c r="E1301" s="28" t="str">
        <x:v>Primary/contextual journal article</x:v>
      </x:c>
      <x:c r="F1301" s="28" t="str">
        <x:v>Development &amp; presentation; Recognition &amp; diagnosis; Family &amp; education; Social &amp; structural; Environmental &amp; lifestyle</x:v>
      </x:c>
      <x:c r="G1301" s="28" t="str">
        <x:v>Childhood; Adolescence; Adulthood</x:v>
      </x:c>
      <x:c r="H1301" s="28" t="str">
        <x:v>Later specialized</x:v>
      </x:c>
      <x:c r="I1301" s="28" t="str">
        <x:v>Direct or strongly ADHD-related record retained for later screening; typically narrower treatment, biomarker, mechanistic, or single-comorbidity focus.</x:v>
      </x:c>
      <x:c r="J1301" s="38" t="e">
        <x:f>HYPERLINK("https://pubmed.ncbi.nlm.nih.gov/"&amp;C1301&amp;"/","Open PubMed")</x:f>
        <x:v>HYPERLINK is not implemented. linkLocation=https://pubmed.ncbi.nlm.nih.gov/20603258/, friendlyName=Open PubMed</x:v>
      </x:c>
    </x:row>
    <x:row r="1302">
      <x:c r="A1302" s="26" t="str">
        <x:v>PUBMED-20600342</x:v>
      </x:c>
      <x:c r="B1302" s="26" t="n">
        <x:v>2010</x:v>
      </x:c>
      <x:c r="C1302" s="26" t="str">
        <x:v>20600342</x:v>
      </x:c>
      <x:c r="D1302" s="28" t="str">
        <x:v>Chronic caffeine treatment during prepubertal period confers long-term cognitive benefits in adult spontaneously hypertensive rats (SHR), an animal model of attention deficit hyperactivity disorder (ADHD).</x:v>
      </x:c>
      <x:c r="E1302" s="28" t="str">
        <x:v>Primary/contextual journal article</x:v>
      </x:c>
      <x:c r="F1302" s="28" t="str">
        <x:v>Development &amp; presentation; Recognition &amp; diagnosis; Social &amp; structural; Treatment &amp; support</x:v>
      </x:c>
      <x:c r="G1302" s="28" t="str">
        <x:v>Adulthood</x:v>
      </x:c>
      <x:c r="H1302" s="28" t="str">
        <x:v>Exclude/incidental</x:v>
      </x:c>
      <x:c r="I1302" s="28" t="str">
        <x:v>Animal-only record; retained outside the human-focused core corpus.</x:v>
      </x:c>
      <x:c r="J1302" s="38" t="e">
        <x:f>HYPERLINK("https://pubmed.ncbi.nlm.nih.gov/"&amp;C1302&amp;"/","Open PubMed")</x:f>
        <x:v>HYPERLINK is not implemented. linkLocation=https://pubmed.ncbi.nlm.nih.gov/20600342/, friendlyName=Open PubMed</x:v>
      </x:c>
    </x:row>
    <x:row r="1303">
      <x:c r="A1303" s="26" t="str">
        <x:v>PUBMED-20599129</x:v>
      </x:c>
      <x:c r="B1303" s="26" t="n">
        <x:v>2010</x:v>
      </x:c>
      <x:c r="C1303" s="26" t="str">
        <x:v>20599129</x:v>
      </x:c>
      <x:c r="D1303" s="28" t="str">
        <x:v>Current status of cognitive behavioral therapy for adult attention-deficit hyperactivity disorder.</x:v>
      </x:c>
      <x:c r="E1303" s="28" t="str">
        <x:v>Evidence synthesis - review</x:v>
      </x:c>
      <x:c r="F1303" s="28" t="str">
        <x:v>Development &amp; presentation; Social &amp; structural; Treatment &amp; support</x:v>
      </x:c>
      <x:c r="G1303" s="28" t="str">
        <x:v>Adulthood</x:v>
      </x:c>
      <x:c r="H1303" s="28" t="str">
        <x:v>Later specialized</x:v>
      </x:c>
      <x:c r="I1303" s="28" t="str">
        <x:v>Direct or strongly ADHD-related record retained for later screening; typically narrower treatment, biomarker, mechanistic, or single-comorbidity focus.</x:v>
      </x:c>
      <x:c r="J1303" s="38" t="e">
        <x:f>HYPERLINK("https://pubmed.ncbi.nlm.nih.gov/"&amp;C1303&amp;"/","Open PubMed")</x:f>
        <x:v>HYPERLINK is not implemented. linkLocation=https://pubmed.ncbi.nlm.nih.gov/20599129/, friendlyName=Open PubMed</x:v>
      </x:c>
    </x:row>
    <x:row r="1304">
      <x:c r="A1304" s="26" t="str">
        <x:v>PUBMED-20595414</x:v>
      </x:c>
      <x:c r="B1304" s="26" t="n">
        <x:v>2010</x:v>
      </x:c>
      <x:c r="C1304" s="26" t="str">
        <x:v>20595414</x:v>
      </x:c>
      <x:c r="D1304" s="28" t="str">
        <x:v>Basal ganglia surface morphology and the effects of stimulant medications in youth with attention deficit hyperactivity disorder.</x:v>
      </x:c>
      <x:c r="E1304" s="28" t="str">
        <x:v>Primary study - case-control</x:v>
      </x:c>
      <x:c r="F1304" s="28" t="str">
        <x:v>Development &amp; presentation; Recognition &amp; diagnosis; Social &amp; structural; Treatment &amp; support</x:v>
      </x:c>
      <x:c r="G1304" s="28" t="str">
        <x:v>Childhood; Adolescence</x:v>
      </x:c>
      <x:c r="H1304" s="28" t="str">
        <x:v>Later specialized</x:v>
      </x:c>
      <x:c r="I1304" s="28" t="str">
        <x:v>Direct or strongly ADHD-related record retained for later screening; typically narrower treatment, biomarker, mechanistic, or single-comorbidity focus.</x:v>
      </x:c>
      <x:c r="J1304" s="38" t="e">
        <x:f>HYPERLINK("https://pubmed.ncbi.nlm.nih.gov/"&amp;C1304&amp;"/","Open PubMed")</x:f>
        <x:v>HYPERLINK is not implemented. linkLocation=https://pubmed.ncbi.nlm.nih.gov/20595414/, friendlyName=Open PubMed</x:v>
      </x:c>
    </x:row>
    <x:row r="1305">
      <x:c r="A1305" s="26" t="str">
        <x:v>PUBMED-20589561</x:v>
      </x:c>
      <x:c r="B1305" s="26" t="n">
        <x:v>2010</x:v>
      </x:c>
      <x:c r="C1305" s="26" t="str">
        <x:v>20589561</x:v>
      </x:c>
      <x:c r="D1305" s="28" t="str">
        <x:v>Mental disorders in five-year-old children with or without developmental delay: focus on ADHD.</x:v>
      </x:c>
      <x:c r="E1305" s="28" t="str">
        <x:v>Primary/contextual journal article</x:v>
      </x:c>
      <x:c r="F1305" s="28" t="str">
        <x:v>Development &amp; presentation; Recognition &amp; diagnosis; Family &amp; education; Social &amp; structural; Environmental &amp; lifestyle</x:v>
      </x:c>
      <x:c r="G1305" s="28" t="str">
        <x:v>Childhood; Adolescence</x:v>
      </x:c>
      <x:c r="H1305" s="28" t="str">
        <x:v>Later specialized</x:v>
      </x:c>
      <x:c r="I1305" s="28" t="str">
        <x:v>Direct or strongly ADHD-related record retained for later screening; typically narrower treatment, biomarker, mechanistic, or single-comorbidity focus.</x:v>
      </x:c>
      <x:c r="J1305" s="38" t="e">
        <x:f>HYPERLINK("https://pubmed.ncbi.nlm.nih.gov/"&amp;C1305&amp;"/","Open PubMed")</x:f>
        <x:v>HYPERLINK is not implemented. linkLocation=https://pubmed.ncbi.nlm.nih.gov/20589561/, friendlyName=Open PubMed</x:v>
      </x:c>
    </x:row>
    <x:row r="1306">
      <x:c r="A1306" s="26" t="str">
        <x:v>PUBMED-20585213</x:v>
      </x:c>
      <x:c r="B1306" s="26" t="n">
        <x:v>2010</x:v>
      </x:c>
      <x:c r="C1306" s="26" t="str">
        <x:v>20585213</x:v>
      </x:c>
      <x:c r="D1306" s="28" t="str">
        <x:v>Perspectives of college students on their childhood ADHD.</x:v>
      </x:c>
      <x:c r="E1306" s="28" t="str">
        <x:v>Primary/contextual journal article</x:v>
      </x:c>
      <x:c r="F1306" s="28" t="str">
        <x:v>Development &amp; presentation; Family &amp; education; Life outcomes &amp; lived experience; Historical &amp; contemporary context</x:v>
      </x:c>
      <x:c r="G1306" s="28" t="str">
        <x:v>Childhood; Adolescence; Adulthood</x:v>
      </x:c>
      <x:c r="H1306" s="28" t="str">
        <x:v>Later specialized</x:v>
      </x:c>
      <x:c r="I1306" s="28" t="str">
        <x:v>Direct or strongly ADHD-related record retained for later screening; typically narrower treatment, biomarker, mechanistic, or single-comorbidity focus.</x:v>
      </x:c>
      <x:c r="J1306" s="38" t="e">
        <x:f>HYPERLINK("https://pubmed.ncbi.nlm.nih.gov/"&amp;C1306&amp;"/","Open PubMed")</x:f>
        <x:v>HYPERLINK is not implemented. linkLocation=https://pubmed.ncbi.nlm.nih.gov/20585213/, friendlyName=Open PubMed</x:v>
      </x:c>
    </x:row>
    <x:row r="1307">
      <x:c r="A1307" s="26" t="str">
        <x:v>PUBMED-20584517</x:v>
      </x:c>
      <x:c r="B1307" s="26" t="n">
        <x:v>2010</x:v>
      </x:c>
      <x:c r="C1307" s="26" t="str">
        <x:v>20584517</x:v>
      </x:c>
      <x:c r="D1307" s="28" t="str">
        <x:v>Two-year outcome of treatment with central stimulant medication in adult attention-deficit/hyperactivity disorder: a prospective study.</x:v>
      </x:c>
      <x:c r="E1307" s="28" t="str">
        <x:v>Primary study - cohort</x:v>
      </x:c>
      <x:c r="F1307" s="28" t="str">
        <x:v>Development &amp; presentation; Recognition &amp; diagnosis; Social &amp; structural; Treatment &amp; support; Life outcomes &amp; lived experience</x:v>
      </x:c>
      <x:c r="G1307" s="28" t="str">
        <x:v>Adulthood</x:v>
      </x:c>
      <x:c r="H1307" s="28" t="str">
        <x:v>Later specialized</x:v>
      </x:c>
      <x:c r="I1307" s="28" t="str">
        <x:v>Direct or strongly ADHD-related record retained for later screening; typically narrower treatment, biomarker, mechanistic, or single-comorbidity focus.</x:v>
      </x:c>
      <x:c r="J1307" s="38" t="e">
        <x:f>HYPERLINK("https://pubmed.ncbi.nlm.nih.gov/"&amp;C1307&amp;"/","Open PubMed")</x:f>
        <x:v>HYPERLINK is not implemented. linkLocation=https://pubmed.ncbi.nlm.nih.gov/20584517/, friendlyName=Open PubMed</x:v>
      </x:c>
    </x:row>
    <x:row r="1308">
      <x:c r="A1308" s="26" t="str">
        <x:v>PUBMED-20584388</x:v>
      </x:c>
      <x:c r="B1308" s="26" t="n">
        <x:v>2010</x:v>
      </x:c>
      <x:c r="C1308" s="26" t="str">
        <x:v>20584388</x:v>
      </x:c>
      <x:c r="D1308" s="28" t="str">
        <x:v>Comorbidity: cognition and biology count!</x:v>
      </x:c>
      <x:c r="E1308" s="28" t="str">
        <x:v>Primary/contextual journal article</x:v>
      </x:c>
      <x:c r="F1308" s="28" t="str">
        <x:v>Development &amp; presentation; Recognition &amp; diagnosis; Family &amp; education; Treatment &amp; support</x:v>
      </x:c>
      <x:c r="G1308" s="28" t="str">
        <x:v>Childhood</x:v>
      </x:c>
      <x:c r="H1308" s="28" t="str">
        <x:v>Exclude/incidental</x:v>
      </x:c>
      <x:c r="I1308" s="28" t="str">
        <x:v>ADHD appears peripheral or insufficiently aligned with the requested corpus scope based on accessible metadata/abstract.</x:v>
      </x:c>
      <x:c r="J1308" s="38" t="e">
        <x:f>HYPERLINK("https://pubmed.ncbi.nlm.nih.gov/"&amp;C1308&amp;"/","Open PubMed")</x:f>
        <x:v>HYPERLINK is not implemented. linkLocation=https://pubmed.ncbi.nlm.nih.gov/20584388/, friendlyName=Open PubMed</x:v>
      </x:c>
    </x:row>
    <x:row r="1309">
      <x:c r="A1309" s="26" t="str">
        <x:v>PUBMED-20584387</x:v>
      </x:c>
      <x:c r="B1309" s="26" t="n">
        <x:v>2010</x:v>
      </x:c>
      <x:c r="C1309" s="26" t="str">
        <x:v>20584387</x:v>
      </x:c>
      <x:c r="D1309" s="28" t="str">
        <x:v>Comorbidity: the case of developmental psychopathology.</x:v>
      </x:c>
      <x:c r="E1309" s="28" t="str">
        <x:v>Primary/contextual journal article</x:v>
      </x:c>
      <x:c r="F1309" s="28" t="str">
        <x:v>Development &amp; presentation; Recognition &amp; diagnosis; Social &amp; structural</x:v>
      </x:c>
      <x:c r="G1309" s="28" t="str">
        <x:v>Childhood</x:v>
      </x:c>
      <x:c r="H1309" s="28" t="str">
        <x:v>Exclude/incidental</x:v>
      </x:c>
      <x:c r="I1309" s="28" t="str">
        <x:v>ADHD appears peripheral or insufficiently aligned with the requested corpus scope based on accessible metadata/abstract.</x:v>
      </x:c>
      <x:c r="J1309" s="38" t="e">
        <x:f>HYPERLINK("https://pubmed.ncbi.nlm.nih.gov/"&amp;C1309&amp;"/","Open PubMed")</x:f>
        <x:v>HYPERLINK is not implemented. linkLocation=https://pubmed.ncbi.nlm.nih.gov/20584387/, friendlyName=Open PubMed</x:v>
      </x:c>
    </x:row>
    <x:row r="1310">
      <x:c r="A1310" s="26" t="str">
        <x:v>PUBMED-20578932</x:v>
      </x:c>
      <x:c r="B1310" s="26" t="n">
        <x:v>2010</x:v>
      </x:c>
      <x:c r="C1310" s="26" t="str">
        <x:v>20578932</x:v>
      </x:c>
      <x:c r="D1310" s="28" t="str">
        <x:v>Factors associated with atomoxetine efficacy for treatment of attention-deficit/hyperactivity disorder in children and adolescents.</x:v>
      </x:c>
      <x:c r="E1310" s="28" t="str">
        <x:v>Primary/contextual journal article</x:v>
      </x:c>
      <x:c r="F1310" s="28" t="str">
        <x:v>Development &amp; presentation; Recognition &amp; diagnosis; Family &amp; education; Social &amp; structural; Treatment &amp; support; Life outcomes &amp; lived experience</x:v>
      </x:c>
      <x:c r="G1310" s="28" t="str">
        <x:v>Childhood; Adolescence</x:v>
      </x:c>
      <x:c r="H1310" s="28" t="str">
        <x:v>Later specialized</x:v>
      </x:c>
      <x:c r="I1310" s="28" t="str">
        <x:v>Direct or strongly ADHD-related record retained for later screening; typically narrower treatment, biomarker, mechanistic, or single-comorbidity focus.</x:v>
      </x:c>
      <x:c r="J1310" s="38" t="e">
        <x:f>HYPERLINK("https://pubmed.ncbi.nlm.nih.gov/"&amp;C1310&amp;"/","Open PubMed")</x:f>
        <x:v>HYPERLINK is not implemented. linkLocation=https://pubmed.ncbi.nlm.nih.gov/20578932/, friendlyName=Open PubMed</x:v>
      </x:c>
    </x:row>
    <x:row r="1311">
      <x:c r="A1311" s="26" t="str">
        <x:v>PUBMED-20576647</x:v>
      </x:c>
      <x:c r="B1311" s="26" t="n">
        <x:v>2010</x:v>
      </x:c>
      <x:c r="C1311" s="26" t="str">
        <x:v>20576647</x:v>
      </x:c>
      <x:c r="D1311" s="28" t="str">
        <x:v>Stimulant medication and prefrontal functional connectivity during working memory in ADHD: a preliminary report.</x:v>
      </x:c>
      <x:c r="E1311" s="28" t="str">
        <x:v>Primary/contextual journal article</x:v>
      </x:c>
      <x:c r="F1311" s="28" t="str">
        <x:v>Development &amp; presentation; Environmental &amp; lifestyle; Treatment &amp; support</x:v>
      </x:c>
      <x:c r="G1311" s="28" t="str">
        <x:v>Childhood; Adolescence</x:v>
      </x:c>
      <x:c r="H1311" s="28" t="str">
        <x:v>Later specialized</x:v>
      </x:c>
      <x:c r="I1311" s="28" t="str">
        <x:v>Direct or strongly ADHD-related record retained for later screening; typically narrower treatment, biomarker, mechanistic, or single-comorbidity focus.</x:v>
      </x:c>
      <x:c r="J1311" s="38" t="e">
        <x:f>HYPERLINK("https://pubmed.ncbi.nlm.nih.gov/"&amp;C1311&amp;"/","Open PubMed")</x:f>
        <x:v>HYPERLINK is not implemented. linkLocation=https://pubmed.ncbi.nlm.nih.gov/20576647/, friendlyName=Open PubMed</x:v>
      </x:c>
    </x:row>
    <x:row r="1312">
      <x:c r="A1312" s="26" t="str">
        <x:v>PUBMED-20576646</x:v>
      </x:c>
      <x:c r="B1312" s="26" t="n">
        <x:v>2010</x:v>
      </x:c>
      <x:c r="C1312" s="26" t="str">
        <x:v>20576646</x:v>
      </x:c>
      <x:c r="D1312" s="28" t="str">
        <x:v>ADHD in the college student: is anyone else worried?</x:v>
      </x:c>
      <x:c r="E1312" s="28" t="str">
        <x:v>Evidence synthesis - review</x:v>
      </x:c>
      <x:c r="F1312" s="28" t="str">
        <x:v>Development &amp; presentation; Recognition &amp; diagnosis; Social &amp; structural; Treatment &amp; support; Historical &amp; contemporary context</x:v>
      </x:c>
      <x:c r="G1312" s="28" t="str">
        <x:v>Adulthood</x:v>
      </x:c>
      <x:c r="H1312" s="28" t="str">
        <x:v>Later specialized</x:v>
      </x:c>
      <x:c r="I1312" s="28" t="str">
        <x:v>Direct or strongly ADHD-related record retained for later screening; typically narrower treatment, biomarker, mechanistic, or single-comorbidity focus.</x:v>
      </x:c>
      <x:c r="J1312" s="38" t="e">
        <x:f>HYPERLINK("https://pubmed.ncbi.nlm.nih.gov/"&amp;C1312&amp;"/","Open PubMed")</x:f>
        <x:v>HYPERLINK is not implemented. linkLocation=https://pubmed.ncbi.nlm.nih.gov/20576646/, friendlyName=Open PubMed</x:v>
      </x:c>
    </x:row>
    <x:row r="1313">
      <x:c r="A1313" s="26" t="str">
        <x:v>PUBMED-20571380</x:v>
      </x:c>
      <x:c r="B1313" s="26" t="n">
        <x:v>2010</x:v>
      </x:c>
      <x:c r="C1313" s="26" t="str">
        <x:v>20571380</x:v>
      </x:c>
      <x:c r="D1313" s="28" t="str">
        <x:v>Methylphenidate-induced psychosis in adult attention-deficit/hyperactivity disorder: report of 3 new cases and review of the literature.</x:v>
      </x:c>
      <x:c r="E1313" s="28" t="str">
        <x:v>Evidence synthesis - review</x:v>
      </x:c>
      <x:c r="F1313" s="28" t="str">
        <x:v>Development &amp; presentation; Treatment &amp; support</x:v>
      </x:c>
      <x:c r="G1313" s="28" t="str">
        <x:v>Adulthood</x:v>
      </x:c>
      <x:c r="H1313" s="28" t="str">
        <x:v>Later specialized</x:v>
      </x:c>
      <x:c r="I1313" s="28" t="str">
        <x:v>Direct or strongly ADHD-related record retained for later screening; typically narrower treatment, biomarker, mechanistic, or single-comorbidity focus.</x:v>
      </x:c>
      <x:c r="J1313" s="38" t="e">
        <x:f>HYPERLINK("https://pubmed.ncbi.nlm.nih.gov/"&amp;C1313&amp;"/","Open PubMed")</x:f>
        <x:v>HYPERLINK is not implemented. linkLocation=https://pubmed.ncbi.nlm.nih.gov/20571380/, friendlyName=Open PubMed</x:v>
      </x:c>
    </x:row>
    <x:row r="1314">
      <x:c r="A1314" s="26" t="str">
        <x:v>PUBMED-20549526</x:v>
      </x:c>
      <x:c r="B1314" s="26" t="n">
        <x:v>2010</x:v>
      </x:c>
      <x:c r="C1314" s="26" t="str">
        <x:v>20549526</x:v>
      </x:c>
      <x:c r="D1314" s="28" t="str">
        <x:v>Eunethydis: a statement of the ethical principles governing the relationship between the European group for ADHD guidelines, and its members, with commercial for-profit organisations.</x:v>
      </x:c>
      <x:c r="E1314" s="28" t="str">
        <x:v>Primary/contextual journal article</x:v>
      </x:c>
      <x:c r="F1314" s="28" t="str">
        <x:v>Development &amp; presentation; Recognition &amp; diagnosis; Family &amp; education; Social &amp; structural; Life outcomes &amp; lived experience</x:v>
      </x:c>
      <x:c r="G1314" s="28" t="str">
        <x:v>Not specified</x:v>
      </x:c>
      <x:c r="H1314" s="28" t="str">
        <x:v>Later specialized</x:v>
      </x:c>
      <x:c r="I1314" s="28" t="str">
        <x:v>Direct or strongly ADHD-related record retained for later screening; typically narrower treatment, biomarker, mechanistic, or single-comorbidity focus.</x:v>
      </x:c>
      <x:c r="J1314" s="38" t="e">
        <x:f>HYPERLINK("https://pubmed.ncbi.nlm.nih.gov/"&amp;C1314&amp;"/","Open PubMed")</x:f>
        <x:v>HYPERLINK is not implemented. linkLocation=https://pubmed.ncbi.nlm.nih.gov/20549526/, friendlyName=Open PubMed</x:v>
      </x:c>
    </x:row>
    <x:row r="1315">
      <x:c r="A1315" s="26" t="str">
        <x:v>PUBMED-20545816</x:v>
      </x:c>
      <x:c r="B1315" s="26" t="n">
        <x:v>2010</x:v>
      </x:c>
      <x:c r="C1315" s="26" t="str">
        <x:v>20545816</x:v>
      </x:c>
      <x:c r="D1315" s="28" t="str">
        <x:v>Can disorganized and positive schizotypy be discriminated from dissociation?</x:v>
      </x:c>
      <x:c r="E1315" s="28" t="str">
        <x:v>Primary/contextual journal article</x:v>
      </x:c>
      <x:c r="F1315" s="28" t="str">
        <x:v>Development &amp; presentation; Recognition &amp; diagnosis</x:v>
      </x:c>
      <x:c r="G1315" s="28" t="str">
        <x:v>Childhood; Adolescence; Adulthood</x:v>
      </x:c>
      <x:c r="H1315" s="28" t="str">
        <x:v>Exclude/incidental</x:v>
      </x:c>
      <x:c r="I1315" s="28" t="str">
        <x:v>ADHD appears peripheral or insufficiently aligned with the requested corpus scope based on accessible metadata/abstract.</x:v>
      </x:c>
      <x:c r="J1315" s="38" t="e">
        <x:f>HYPERLINK("https://pubmed.ncbi.nlm.nih.gov/"&amp;C1315&amp;"/","Open PubMed")</x:f>
        <x:v>HYPERLINK is not implemented. linkLocation=https://pubmed.ncbi.nlm.nih.gov/20545816/, friendlyName=Open PubMed</x:v>
      </x:c>
    </x:row>
    <x:row r="1316">
      <x:c r="A1316" s="26" t="str">
        <x:v>PUBMED-20545386</x:v>
      </x:c>
      <x:c r="B1316" s="26" t="n">
        <x:v>2010</x:v>
      </x:c>
      <x:c r="C1316" s="26" t="str">
        <x:v>20545386</x:v>
      </x:c>
      <x:c r="D1316" s="28" t="str">
        <x:v>Monetary incentives promote smoking abstinence in adults with attention deficit hyperactivity disorder (ADHD).</x:v>
      </x:c>
      <x:c r="E1316" s="28" t="str">
        <x:v>Primary study - clinical trial</x:v>
      </x:c>
      <x:c r="F1316" s="28" t="str">
        <x:v>Development &amp; presentation; Recognition &amp; diagnosis; Social &amp; structural; Environmental &amp; lifestyle; Treatment &amp; support; Life outcomes &amp; lived experience</x:v>
      </x:c>
      <x:c r="G1316" s="28" t="str">
        <x:v>Adolescence; Adulthood</x:v>
      </x:c>
      <x:c r="H1316" s="28" t="str">
        <x:v>Later specialized</x:v>
      </x:c>
      <x:c r="I1316" s="28" t="str">
        <x:v>Direct or strongly ADHD-related record retained for later screening; typically narrower treatment, biomarker, mechanistic, or single-comorbidity focus.</x:v>
      </x:c>
      <x:c r="J1316" s="38" t="e">
        <x:f>HYPERLINK("https://pubmed.ncbi.nlm.nih.gov/"&amp;C1316&amp;"/","Open PubMed")</x:f>
        <x:v>HYPERLINK is not implemented. linkLocation=https://pubmed.ncbi.nlm.nih.gov/20545386/, friendlyName=Open PubMed</x:v>
      </x:c>
    </x:row>
    <x:row r="1317">
      <x:c r="A1317" s="26" t="str">
        <x:v>PUBMED-20528073</x:v>
      </x:c>
      <x:c r="B1317" s="26" t="n">
        <x:v>2010</x:v>
      </x:c>
      <x:c r="C1317" s="26" t="str">
        <x:v>20528073</x:v>
      </x:c>
      <x:c r="D1317" s="28" t="str">
        <x:v>Validity of the WISC-IV Spanish for a clinically referred sample of Hispanic children.</x:v>
      </x:c>
      <x:c r="E1317" s="28" t="str">
        <x:v>Primary/contextual journal article</x:v>
      </x:c>
      <x:c r="F1317" s="28" t="str">
        <x:v>Development &amp; presentation; Recognition &amp; diagnosis; Family &amp; education</x:v>
      </x:c>
      <x:c r="G1317" s="28" t="str">
        <x:v>Childhood; Adolescence</x:v>
      </x:c>
      <x:c r="H1317" s="28" t="str">
        <x:v>Exclude/incidental</x:v>
      </x:c>
      <x:c r="I1317" s="28" t="str">
        <x:v>ADHD appears peripheral or insufficiently aligned with the requested corpus scope based on accessible metadata/abstract.</x:v>
      </x:c>
      <x:c r="J1317" s="38" t="e">
        <x:f>HYPERLINK("https://pubmed.ncbi.nlm.nih.gov/"&amp;C1317&amp;"/","Open PubMed")</x:f>
        <x:v>HYPERLINK is not implemented. linkLocation=https://pubmed.ncbi.nlm.nih.gov/20528073/, friendlyName=Open PubMed</x:v>
      </x:c>
    </x:row>
    <x:row r="1318">
      <x:c r="A1318" s="26" t="str">
        <x:v>PUBMED-20524554</x:v>
      </x:c>
      <x:c r="B1318" s="26" t="n">
        <x:v>2010</x:v>
      </x:c>
      <x:c r="C1318" s="26" t="str">
        <x:v>20524554</x:v>
      </x:c>
      <x:c r="D1318" s="28" t="str">
        <x:v>Classical and Bayesian estimation in the logistic regression model applied to diagnosis of child attention deficit hyperactivity disorder.</x:v>
      </x:c>
      <x:c r="E1318" s="28" t="str">
        <x:v>Primary/contextual journal article</x:v>
      </x:c>
      <x:c r="F1318" s="28" t="str">
        <x:v>Development &amp; presentation; Recognition &amp; diagnosis; Social &amp; structural</x:v>
      </x:c>
      <x:c r="G1318" s="28" t="str">
        <x:v>Childhood</x:v>
      </x:c>
      <x:c r="H1318" s="28" t="str">
        <x:v>Later specialized</x:v>
      </x:c>
      <x:c r="I1318" s="28" t="str">
        <x:v>Direct or strongly ADHD-related record retained for later screening; typically narrower treatment, biomarker, mechanistic, or single-comorbidity focus.</x:v>
      </x:c>
      <x:c r="J1318" s="38" t="e">
        <x:f>HYPERLINK("https://pubmed.ncbi.nlm.nih.gov/"&amp;C1318&amp;"/","Open PubMed")</x:f>
        <x:v>HYPERLINK is not implemented. linkLocation=https://pubmed.ncbi.nlm.nih.gov/20524554/, friendlyName=Open PubMed</x:v>
      </x:c>
    </x:row>
    <x:row r="1319">
      <x:c r="A1319" s="26" t="str">
        <x:v>PUBMED-20525316</x:v>
      </x:c>
      <x:c r="B1319" s="26" t="n">
        <x:v>2010</x:v>
      </x:c>
      <x:c r="C1319" s="26" t="str">
        <x:v>20525316</x:v>
      </x:c>
      <x:c r="D1319" s="28" t="str">
        <x:v>The impact of instruction and response cost on the modulation of response-style in children with ADHD.</x:v>
      </x:c>
      <x:c r="E1319" s="28" t="str">
        <x:v>Primary study - case-control</x:v>
      </x:c>
      <x:c r="F1319" s="28" t="str">
        <x:v>Development &amp; presentation; Recognition &amp; diagnosis; Environmental &amp; lifestyle</x:v>
      </x:c>
      <x:c r="G1319" s="28" t="str">
        <x:v>Childhood; Adolescence</x:v>
      </x:c>
      <x:c r="H1319" s="28" t="str">
        <x:v>Later specialized</x:v>
      </x:c>
      <x:c r="I1319" s="28" t="str">
        <x:v>Direct or strongly ADHD-related record retained for later screening; typically narrower treatment, biomarker, mechanistic, or single-comorbidity focus.</x:v>
      </x:c>
      <x:c r="J1319" s="38" t="e">
        <x:f>HYPERLINK("https://pubmed.ncbi.nlm.nih.gov/"&amp;C1319&amp;"/","Open PubMed")</x:f>
        <x:v>HYPERLINK is not implemented. linkLocation=https://pubmed.ncbi.nlm.nih.gov/20525316/, friendlyName=Open PubMed</x:v>
      </x:c>
    </x:row>
    <x:row r="1320">
      <x:c r="A1320" s="26" t="str">
        <x:v>PUBMED-20517532</x:v>
      </x:c>
      <x:c r="B1320" s="26" t="n">
        <x:v>2010</x:v>
      </x:c>
      <x:c r="C1320" s="26" t="str">
        <x:v>20517532</x:v>
      </x:c>
      <x:c r="D1320" s="28" t="str">
        <x:v>Guanfacine extended release in the treatment of attention deficit hyperactivity disorder in children and adolescents.</x:v>
      </x:c>
      <x:c r="E1320" s="28" t="str">
        <x:v>Evidence synthesis - review</x:v>
      </x:c>
      <x:c r="F1320" s="28" t="str">
        <x:v>Development &amp; presentation; Social &amp; structural; Environmental &amp; lifestyle; Treatment &amp; support; Historical &amp; contemporary context</x:v>
      </x:c>
      <x:c r="G1320" s="28" t="str">
        <x:v>Childhood; Adolescence</x:v>
      </x:c>
      <x:c r="H1320" s="28" t="str">
        <x:v>Later specialized</x:v>
      </x:c>
      <x:c r="I1320" s="28" t="str">
        <x:v>Direct or strongly ADHD-related record retained for later screening; typically narrower treatment, biomarker, mechanistic, or single-comorbidity focus.</x:v>
      </x:c>
      <x:c r="J1320" s="38" t="e">
        <x:f>HYPERLINK("https://pubmed.ncbi.nlm.nih.gov/"&amp;C1320&amp;"/","Open PubMed")</x:f>
        <x:v>HYPERLINK is not implemented. linkLocation=https://pubmed.ncbi.nlm.nih.gov/20517532/, friendlyName=Open PubMed</x:v>
      </x:c>
    </x:row>
    <x:row r="1321">
      <x:c r="A1321" s="26" t="str">
        <x:v>PUBMED-20513228</x:v>
      </x:c>
      <x:c r="B1321" s="26" t="n">
        <x:v>2010</x:v>
      </x:c>
      <x:c r="C1321" s="26" t="str">
        <x:v>20513228</x:v>
      </x:c>
      <x:c r="D1321" s="28" t="str">
        <x:v>Improving medication adherence in chronic pediatric health conditions: a focus on ADHD in youth.</x:v>
      </x:c>
      <x:c r="E1321" s="28" t="str">
        <x:v>Evidence synthesis - review</x:v>
      </x:c>
      <x:c r="F1321" s="28" t="str">
        <x:v>Development &amp; presentation; Family &amp; education; Social &amp; structural; Treatment &amp; support; Life outcomes &amp; lived experience</x:v>
      </x:c>
      <x:c r="G1321" s="28" t="str">
        <x:v>Childhood; Adolescence</x:v>
      </x:c>
      <x:c r="H1321" s="28" t="str">
        <x:v>Later specialized</x:v>
      </x:c>
      <x:c r="I1321" s="28" t="str">
        <x:v>Direct or strongly ADHD-related record retained for later screening; typically narrower treatment, biomarker, mechanistic, or single-comorbidity focus.</x:v>
      </x:c>
      <x:c r="J1321" s="38" t="e">
        <x:f>HYPERLINK("https://pubmed.ncbi.nlm.nih.gov/"&amp;C1321&amp;"/","Open PubMed")</x:f>
        <x:v>HYPERLINK is not implemented. linkLocation=https://pubmed.ncbi.nlm.nih.gov/20513228/, friendlyName=Open PubMed</x:v>
      </x:c>
    </x:row>
    <x:row r="1322">
      <x:c r="A1322" s="26" t="str">
        <x:v>PUBMED-20510427</x:v>
      </x:c>
      <x:c r="B1322" s="26" t="n">
        <x:v>2010</x:v>
      </x:c>
      <x:c r="C1322" s="26" t="str">
        <x:v>20510427</x:v>
      </x:c>
      <x:c r="D1322" s="28" t="str">
        <x:v>Fatigue-related diurnal variations of cognitive performance in multiple sclerosis and stroke patients.</x:v>
      </x:c>
      <x:c r="E1322" s="28" t="str">
        <x:v>Primary/contextual journal article</x:v>
      </x:c>
      <x:c r="F1322" s="28" t="str">
        <x:v>Development &amp; presentation; Social &amp; structural</x:v>
      </x:c>
      <x:c r="G1322" s="28" t="str">
        <x:v>Adulthood</x:v>
      </x:c>
      <x:c r="H1322" s="28" t="str">
        <x:v>Exclude/incidental</x:v>
      </x:c>
      <x:c r="I1322" s="28" t="str">
        <x:v>ADHD appears peripheral or insufficiently aligned with the requested corpus scope based on accessible metadata/abstract.</x:v>
      </x:c>
      <x:c r="J1322" s="38" t="e">
        <x:f>HYPERLINK("https://pubmed.ncbi.nlm.nih.gov/"&amp;C1322&amp;"/","Open PubMed")</x:f>
        <x:v>HYPERLINK is not implemented. linkLocation=https://pubmed.ncbi.nlm.nih.gov/20510427/, friendlyName=Open PubMed</x:v>
      </x:c>
    </x:row>
    <x:row r="1323">
      <x:c r="A1323" s="26" t="str">
        <x:v>PUBMED-20510147</x:v>
      </x:c>
      <x:c r="B1323" s="26" t="n">
        <x:v>2010</x:v>
      </x:c>
      <x:c r="C1323" s="26" t="str">
        <x:v>20510147</x:v>
      </x:c>
      <x:c r="D1323" s="28" t="str">
        <x:v>[Neurobiology of attention deficit/hyperactivity disorder].</x:v>
      </x:c>
      <x:c r="E1323" s="28" t="str">
        <x:v>Evidence synthesis - review</x:v>
      </x:c>
      <x:c r="F1323" s="28" t="str">
        <x:v>Development &amp; presentation; Recognition &amp; diagnosis; Family &amp; education; Social &amp; structural; Environmental &amp; lifestyle; Treatment &amp; support</x:v>
      </x:c>
      <x:c r="G1323" s="28" t="str">
        <x:v>Childhood; Adulthood</x:v>
      </x:c>
      <x:c r="H1323" s="28" t="str">
        <x:v>Later specialized</x:v>
      </x:c>
      <x:c r="I1323" s="28" t="str">
        <x:v>Direct or strongly ADHD-related record retained for later screening; typically narrower treatment, biomarker, mechanistic, or single-comorbidity focus.</x:v>
      </x:c>
      <x:c r="J1323" s="38" t="e">
        <x:f>HYPERLINK("https://pubmed.ncbi.nlm.nih.gov/"&amp;C1323&amp;"/","Open PubMed")</x:f>
        <x:v>HYPERLINK is not implemented. linkLocation=https://pubmed.ncbi.nlm.nih.gov/20510147/, friendlyName=Open PubMed</x:v>
      </x:c>
    </x:row>
    <x:row r="1324">
      <x:c r="A1324" s="26" t="str">
        <x:v>PUBMED-20503166</x:v>
      </x:c>
      <x:c r="B1324" s="26" t="n">
        <x:v>2010</x:v>
      </x:c>
      <x:c r="C1324" s="26" t="str">
        <x:v>20503166</x:v>
      </x:c>
      <x:c r="D1324" s="28" t="str">
        <x:v>[Follow-up of the MTA-study in children with ADHD: what do the data tell us, and what not?].</x:v>
      </x:c>
      <x:c r="E1324" s="28" t="str">
        <x:v>Contextual - editorial/comment</x:v>
      </x:c>
      <x:c r="F1324" s="28" t="str">
        <x:v>Development &amp; presentation; Social &amp; structural; Treatment &amp; support; Life outcomes &amp; lived experience</x:v>
      </x:c>
      <x:c r="G1324" s="28" t="str">
        <x:v>Childhood</x:v>
      </x:c>
      <x:c r="H1324" s="28" t="str">
        <x:v>Later specialized</x:v>
      </x:c>
      <x:c r="I1324" s="28" t="str">
        <x:v>Direct or strongly ADHD-related record retained for later screening; typically narrower treatment, biomarker, mechanistic, or single-comorbidity focus.</x:v>
      </x:c>
      <x:c r="J1324" s="38" t="e">
        <x:f>HYPERLINK("https://pubmed.ncbi.nlm.nih.gov/"&amp;C1324&amp;"/","Open PubMed")</x:f>
        <x:v>HYPERLINK is not implemented. linkLocation=https://pubmed.ncbi.nlm.nih.gov/20503166/, friendlyName=Open PubMed</x:v>
      </x:c>
    </x:row>
    <x:row r="1325">
      <x:c r="A1325" s="26" t="str">
        <x:v>PUBMED-20500640</x:v>
      </x:c>
      <x:c r="B1325" s="26" t="n">
        <x:v>2010</x:v>
      </x:c>
      <x:c r="C1325" s="26" t="str">
        <x:v>20500640</x:v>
      </x:c>
      <x:c r="D1325" s="28" t="str">
        <x:v>X. Conclusions: overview of findings from the era study, inferences, and research implications.</x:v>
      </x:c>
      <x:c r="E1325" s="28" t="str">
        <x:v>Evidence synthesis - meta-analysis</x:v>
      </x:c>
      <x:c r="F1325" s="28" t="str">
        <x:v>Development &amp; presentation; Social &amp; structural; Environmental &amp; lifestyle; Life outcomes &amp; lived experience</x:v>
      </x:c>
      <x:c r="G1325" s="28" t="str">
        <x:v>Childhood; Adolescence; Adulthood</x:v>
      </x:c>
      <x:c r="H1325" s="28" t="str">
        <x:v>Exclude/incidental</x:v>
      </x:c>
      <x:c r="I1325" s="28" t="str">
        <x:v>ADHD appears peripheral or insufficiently aligned with the requested corpus scope based on accessible metadata/abstract.</x:v>
      </x:c>
      <x:c r="J1325" s="38" t="e">
        <x:f>HYPERLINK("https://pubmed.ncbi.nlm.nih.gov/"&amp;C1325&amp;"/","Open PubMed")</x:f>
        <x:v>HYPERLINK is not implemented. linkLocation=https://pubmed.ncbi.nlm.nih.gov/20500640/, friendlyName=Open PubMed</x:v>
      </x:c>
    </x:row>
    <x:row r="1326">
      <x:c r="A1326" s="26" t="str">
        <x:v>PUBMED-20499120</x:v>
      </x:c>
      <x:c r="B1326" s="26" t="n">
        <x:v>2010</x:v>
      </x:c>
      <x:c r="C1326" s="26" t="str">
        <x:v>20499120</x:v>
      </x:c>
      <x:c r="D1326" s="28" t="str">
        <x:v>Neurofeedback training in children with ADHD: 6-month follow-up of a randomised controlled trial.</x:v>
      </x:c>
      <x:c r="E1326" s="28" t="str">
        <x:v>Primary study - randomized controlled trial</x:v>
      </x:c>
      <x:c r="F1326" s="28" t="str">
        <x:v>Development &amp; presentation; Recognition &amp; diagnosis; Family &amp; education; Social &amp; structural; Treatment &amp; support; Life outcomes &amp; lived experience</x:v>
      </x:c>
      <x:c r="G1326" s="28" t="str">
        <x:v>Childhood</x:v>
      </x:c>
      <x:c r="H1326" s="28" t="str">
        <x:v>Later specialized</x:v>
      </x:c>
      <x:c r="I1326" s="28" t="str">
        <x:v>Direct or strongly ADHD-related record retained for later screening; typically narrower treatment, biomarker, mechanistic, or single-comorbidity focus.</x:v>
      </x:c>
      <x:c r="J1326" s="38" t="e">
        <x:f>HYPERLINK("https://pubmed.ncbi.nlm.nih.gov/"&amp;C1326&amp;"/","Open PubMed")</x:f>
        <x:v>HYPERLINK is not implemented. linkLocation=https://pubmed.ncbi.nlm.nih.gov/20499120/, friendlyName=Open PubMed</x:v>
      </x:c>
    </x:row>
    <x:row r="1327">
      <x:c r="A1327" s="26" t="str">
        <x:v>PUBMED-20497899</x:v>
      </x:c>
      <x:c r="B1327" s="26" t="n">
        <x:v>2010</x:v>
      </x:c>
      <x:c r="C1327" s="26" t="str">
        <x:v>20497899</x:v>
      </x:c>
      <x:c r="D1327" s="28" t="str">
        <x:v>Delayed maturation in brain electrical activity partially explains the association between early environmental deprivation and symptoms of attention-deficit/hyperactivity disorder.</x:v>
      </x:c>
      <x:c r="E1327" s="28" t="str">
        <x:v>Primary study - randomized controlled trial</x:v>
      </x:c>
      <x:c r="F1327" s="28" t="str">
        <x:v>Development &amp; presentation; Recognition &amp; diagnosis; Family &amp; education; Social &amp; structural; Environmental &amp; lifestyle</x:v>
      </x:c>
      <x:c r="G1327" s="28" t="str">
        <x:v>Childhood</x:v>
      </x:c>
      <x:c r="H1327" s="28" t="str">
        <x:v>Later specialized</x:v>
      </x:c>
      <x:c r="I1327" s="28" t="str">
        <x:v>Direct or strongly ADHD-related record retained for later screening; typically narrower treatment, biomarker, mechanistic, or single-comorbidity focus.</x:v>
      </x:c>
      <x:c r="J1327" s="38" t="e">
        <x:f>HYPERLINK("https://pubmed.ncbi.nlm.nih.gov/"&amp;C1327&amp;"/","Open PubMed")</x:f>
        <x:v>HYPERLINK is not implemented. linkLocation=https://pubmed.ncbi.nlm.nih.gov/20497899/, friendlyName=Open PubMed</x:v>
      </x:c>
    </x:row>
    <x:row r="1328">
      <x:c r="A1328" s="26" t="str">
        <x:v>PUBMED-20497456</x:v>
      </x:c>
      <x:c r="B1328" s="26" t="n">
        <x:v>2010</x:v>
      </x:c>
      <x:c r="C1328" s="26" t="str">
        <x:v>20497456</x:v>
      </x:c>
      <x:c r="D1328" s="28" t="str">
        <x:v>Why fewer females than males are diagnosed with attention-deficit-hyperactivity disorder: it might not be hormones.</x:v>
      </x:c>
      <x:c r="E1328" s="28" t="str">
        <x:v>Contextual - editorial/comment</x:v>
      </x:c>
      <x:c r="F1328" s="28" t="str">
        <x:v>Development &amp; presentation; Recognition &amp; diagnosis</x:v>
      </x:c>
      <x:c r="G1328" s="28" t="str">
        <x:v>Childhood</x:v>
      </x:c>
      <x:c r="H1328" s="28" t="str">
        <x:v>Later specialized</x:v>
      </x:c>
      <x:c r="I1328" s="28" t="str">
        <x:v>Direct or strongly ADHD-related record retained for later screening; typically narrower treatment, biomarker, mechanistic, or single-comorbidity focus.</x:v>
      </x:c>
      <x:c r="J1328" s="38" t="e">
        <x:f>HYPERLINK("https://pubmed.ncbi.nlm.nih.gov/"&amp;C1328&amp;"/","Open PubMed")</x:f>
        <x:v>HYPERLINK is not implemented. linkLocation=https://pubmed.ncbi.nlm.nih.gov/20497456/, friendlyName=Open PubMed</x:v>
      </x:c>
    </x:row>
    <x:row r="1329">
      <x:c r="A1329" s="26" t="str">
        <x:v>PUBMED-20494267</x:v>
      </x:c>
      <x:c r="B1329" s="26" t="n">
        <x:v>2010</x:v>
      </x:c>
      <x:c r="C1329" s="26" t="str">
        <x:v>20494267</x:v>
      </x:c>
      <x:c r="D1329" s="28" t="str">
        <x:v>Randomized, controlled trial of atomoxetine for attention-deficit/hyperactivity disorder in adolescents with substance use disorder.</x:v>
      </x:c>
      <x:c r="E1329" s="28" t="str">
        <x:v>Primary study - randomized controlled trial</x:v>
      </x:c>
      <x:c r="F1329" s="28" t="str">
        <x:v>Development &amp; presentation; Recognition &amp; diagnosis; Social &amp; structural; Environmental &amp; lifestyle; Treatment &amp; support; Life outcomes &amp; lived experience</x:v>
      </x:c>
      <x:c r="G1329" s="28" t="str">
        <x:v>Adolescence</x:v>
      </x:c>
      <x:c r="H1329" s="28" t="str">
        <x:v>Later specialized</x:v>
      </x:c>
      <x:c r="I1329" s="28" t="str">
        <x:v>Direct or strongly ADHD-related record retained for later screening; typically narrower treatment, biomarker, mechanistic, or single-comorbidity focus.</x:v>
      </x:c>
      <x:c r="J1329" s="38" t="e">
        <x:f>HYPERLINK("https://pubmed.ncbi.nlm.nih.gov/"&amp;C1329&amp;"/","Open PubMed")</x:f>
        <x:v>HYPERLINK is not implemented. linkLocation=https://pubmed.ncbi.nlm.nih.gov/20494267/, friendlyName=Open PubMed</x:v>
      </x:c>
    </x:row>
    <x:row r="1330">
      <x:c r="A1330" s="26" t="str">
        <x:v>PUBMED-20493783</x:v>
      </x:c>
      <x:c r="B1330" s="26" t="n">
        <x:v>2010</x:v>
      </x:c>
      <x:c r="C1330" s="26" t="str">
        <x:v>20493783</x:v>
      </x:c>
      <x:c r="D1330" s="28" t="str">
        <x:v>Adaptive phase I study of OROS methylphenidate treatment of attention deficit hyperactivity disorder with epilepsy.</x:v>
      </x:c>
      <x:c r="E1330" s="28" t="str">
        <x:v>Primary study - randomized controlled trial</x:v>
      </x:c>
      <x:c r="F1330" s="28" t="str">
        <x:v>Development &amp; presentation; Recognition &amp; diagnosis; Social &amp; structural; Environmental &amp; lifestyle; Treatment &amp; support; Life outcomes &amp; lived experience</x:v>
      </x:c>
      <x:c r="G1330" s="28" t="str">
        <x:v>Childhood; Adolescence</x:v>
      </x:c>
      <x:c r="H1330" s="28" t="str">
        <x:v>Later specialized</x:v>
      </x:c>
      <x:c r="I1330" s="28" t="str">
        <x:v>Direct or strongly ADHD-related record retained for later screening; typically narrower treatment, biomarker, mechanistic, or single-comorbidity focus.</x:v>
      </x:c>
      <x:c r="J1330" s="38" t="e">
        <x:f>HYPERLINK("https://pubmed.ncbi.nlm.nih.gov/"&amp;C1330&amp;"/","Open PubMed")</x:f>
        <x:v>HYPERLINK is not implemented. linkLocation=https://pubmed.ncbi.nlm.nih.gov/20493783/, friendlyName=Open PubMed</x:v>
      </x:c>
    </x:row>
    <x:row r="1331">
      <x:c r="A1331" s="26" t="str">
        <x:v>PUBMED-20493667</x:v>
      </x:c>
      <x:c r="B1331" s="26" t="n">
        <x:v>2010</x:v>
      </x:c>
      <x:c r="C1331" s="26" t="str">
        <x:v>20493667</x:v>
      </x:c>
      <x:c r="D1331" s="28" t="str">
        <x:v>The effect of chronic methylphenidate administration on presynaptic dopaminergic parameters in a rat model for ADHD.</x:v>
      </x:c>
      <x:c r="E1331" s="28" t="str">
        <x:v>Primary/contextual journal article</x:v>
      </x:c>
      <x:c r="F1331" s="28" t="str">
        <x:v>Development &amp; presentation; Social &amp; structural; Treatment &amp; support</x:v>
      </x:c>
      <x:c r="G1331" s="28" t="str">
        <x:v>Not specified</x:v>
      </x:c>
      <x:c r="H1331" s="28" t="str">
        <x:v>Exclude/incidental</x:v>
      </x:c>
      <x:c r="I1331" s="28" t="str">
        <x:v>Animal-only record; retained outside the human-focused core corpus.</x:v>
      </x:c>
      <x:c r="J1331" s="38" t="e">
        <x:f>HYPERLINK("https://pubmed.ncbi.nlm.nih.gov/"&amp;C1331&amp;"/","Open PubMed")</x:f>
        <x:v>HYPERLINK is not implemented. linkLocation=https://pubmed.ncbi.nlm.nih.gov/20493667/, friendlyName=Open PubMed</x:v>
      </x:c>
    </x:row>
    <x:row r="1332">
      <x:c r="A1332" s="26" t="str">
        <x:v>PUBMED-20492837</x:v>
      </x:c>
      <x:c r="B1332" s="26" t="n">
        <x:v>2010</x:v>
      </x:c>
      <x:c r="C1332" s="26" t="str">
        <x:v>20492837</x:v>
      </x:c>
      <x:c r="D1332" s="28" t="str">
        <x:v>Impact of attention-deficit/hyperactivity disorder (ADHD) treatment on smoking cessation intervention in ADHD smokers: a randomized, double-blind, placebo-controlled trial.</x:v>
      </x:c>
      <x:c r="E1332" s="28" t="str">
        <x:v>Primary study - randomized controlled trial</x:v>
      </x:c>
      <x:c r="F1332" s="28" t="str">
        <x:v>Development &amp; presentation; Recognition &amp; diagnosis; Social &amp; structural; Environmental &amp; lifestyle; Treatment &amp; support; Life outcomes &amp; lived experience</x:v>
      </x:c>
      <x:c r="G1332" s="28" t="str">
        <x:v>Adulthood</x:v>
      </x:c>
      <x:c r="H1332" s="28" t="str">
        <x:v>Later specialized</x:v>
      </x:c>
      <x:c r="I1332" s="28" t="str">
        <x:v>Direct or strongly ADHD-related record retained for later screening; typically narrower treatment, biomarker, mechanistic, or single-comorbidity focus.</x:v>
      </x:c>
      <x:c r="J1332" s="38" t="e">
        <x:f>HYPERLINK("https://pubmed.ncbi.nlm.nih.gov/"&amp;C1332&amp;"/","Open PubMed")</x:f>
        <x:v>HYPERLINK is not implemented. linkLocation=https://pubmed.ncbi.nlm.nih.gov/20492837/, friendlyName=Open PubMed</x:v>
      </x:c>
    </x:row>
    <x:row r="1333">
      <x:c r="A1333" s="26" t="str">
        <x:v>PUBMED-20491709</x:v>
      </x:c>
      <x:c r="B1333" s="26" t="n">
        <x:v>2010</x:v>
      </x:c>
      <x:c r="C1333" s="26" t="str">
        <x:v>20491709</x:v>
      </x:c>
      <x:c r="D1333" s="28" t="str">
        <x:v>EPA supplementation improves teacher-rated behaviour and oppositional symptoms in children with ADHD.</x:v>
      </x:c>
      <x:c r="E1333" s="28" t="str">
        <x:v>Primary study - randomized controlled trial</x:v>
      </x:c>
      <x:c r="F1333" s="28" t="str">
        <x:v>Development &amp; presentation; Recognition &amp; diagnosis; Family &amp; education; Social &amp; structural; Treatment &amp; support; Life outcomes &amp; lived experience</x:v>
      </x:c>
      <x:c r="G1333" s="28" t="str">
        <x:v>Childhood</x:v>
      </x:c>
      <x:c r="H1333" s="28" t="str">
        <x:v>Later specialized</x:v>
      </x:c>
      <x:c r="I1333" s="28" t="str">
        <x:v>Direct or strongly ADHD-related record retained for later screening; typically narrower treatment, biomarker, mechanistic, or single-comorbidity focus.</x:v>
      </x:c>
      <x:c r="J1333" s="38" t="e">
        <x:f>HYPERLINK("https://pubmed.ncbi.nlm.nih.gov/"&amp;C1333&amp;"/","Open PubMed")</x:f>
        <x:v>HYPERLINK is not implemented. linkLocation=https://pubmed.ncbi.nlm.nih.gov/20491709/, friendlyName=Open PubMed</x:v>
      </x:c>
    </x:row>
    <x:row r="1334">
      <x:c r="A1334" s="26" t="str">
        <x:v>PUBMED-20491612</x:v>
      </x:c>
      <x:c r="B1334" s="26" t="n">
        <x:v>2010</x:v>
      </x:c>
      <x:c r="C1334" s="26" t="str">
        <x:v>20491612</x:v>
      </x:c>
      <x:c r="D1334" s="28" t="str">
        <x:v>Duration of effect of oral long-acting stimulant medications for ADHD throughout the day.</x:v>
      </x:c>
      <x:c r="E1334" s="28" t="str">
        <x:v>Evidence synthesis - review</x:v>
      </x:c>
      <x:c r="F1334" s="28" t="str">
        <x:v>Development &amp; presentation; Recognition &amp; diagnosis; Family &amp; education; Social &amp; structural; Treatment &amp; support; Life outcomes &amp; lived experience</x:v>
      </x:c>
      <x:c r="G1334" s="28" t="str">
        <x:v>Childhood; Adulthood</x:v>
      </x:c>
      <x:c r="H1334" s="28" t="str">
        <x:v>Later specialized</x:v>
      </x:c>
      <x:c r="I1334" s="28" t="str">
        <x:v>Direct or strongly ADHD-related record retained for later screening; typically narrower treatment, biomarker, mechanistic, or single-comorbidity focus.</x:v>
      </x:c>
      <x:c r="J1334" s="38" t="e">
        <x:f>HYPERLINK("https://pubmed.ncbi.nlm.nih.gov/"&amp;C1334&amp;"/","Open PubMed")</x:f>
        <x:v>HYPERLINK is not implemented. linkLocation=https://pubmed.ncbi.nlm.nih.gov/20491612/, friendlyName=Open PubMed</x:v>
      </x:c>
    </x:row>
    <x:row r="1335">
      <x:c r="A1335" s="26" t="str">
        <x:v>PUBMED-20485995</x:v>
      </x:c>
      <x:c r="B1335" s="26" t="n">
        <x:v>2010</x:v>
      </x:c>
      <x:c r="C1335" s="26" t="str">
        <x:v>20485995</x:v>
      </x:c>
      <x:c r="D1335" s="28" t="str">
        <x:v>Concurrent validity of the pediatric attention disorders diagnostic screener for children with ADHD.</x:v>
      </x:c>
      <x:c r="E1335" s="28" t="str">
        <x:v>Primary/contextual journal article</x:v>
      </x:c>
      <x:c r="F1335" s="28" t="str">
        <x:v>Development &amp; presentation; Recognition &amp; diagnosis; Family &amp; education; Social &amp; structural; Life outcomes &amp; lived experience</x:v>
      </x:c>
      <x:c r="G1335" s="28" t="str">
        <x:v>Childhood</x:v>
      </x:c>
      <x:c r="H1335" s="28" t="str">
        <x:v>Later specialized</x:v>
      </x:c>
      <x:c r="I1335" s="28" t="str">
        <x:v>Direct or strongly ADHD-related record retained for later screening; typically narrower treatment, biomarker, mechanistic, or single-comorbidity focus.</x:v>
      </x:c>
      <x:c r="J1335" s="38" t="e">
        <x:f>HYPERLINK("https://pubmed.ncbi.nlm.nih.gov/"&amp;C1335&amp;"/","Open PubMed")</x:f>
        <x:v>HYPERLINK is not implemented. linkLocation=https://pubmed.ncbi.nlm.nih.gov/20485995/, friendlyName=Open PubMed</x:v>
      </x:c>
    </x:row>
    <x:row r="1336">
      <x:c r="A1336" s="26" t="str">
        <x:v>PUBMED-20484708</x:v>
      </x:c>
      <x:c r="B1336" s="26" t="n">
        <x:v>2010</x:v>
      </x:c>
      <x:c r="C1336" s="26" t="str">
        <x:v>20484708</x:v>
      </x:c>
      <x:c r="D1336" s="28" t="str">
        <x:v>Prevalence of methylphenidate prescription among school-aged children in a Swiss population: increase in the number of prescriptions in the Swiss Canton of Vaud, from 2002 to 2005, and changes in patient demographics.</x:v>
      </x:c>
      <x:c r="E1336" s="28" t="str">
        <x:v>Primary/contextual journal article</x:v>
      </x:c>
      <x:c r="F1336" s="28" t="str">
        <x:v>Development &amp; presentation; Recognition &amp; diagnosis; Family &amp; education; Social &amp; structural; Treatment &amp; support</x:v>
      </x:c>
      <x:c r="G1336" s="28" t="str">
        <x:v>Childhood; Adolescence</x:v>
      </x:c>
      <x:c r="H1336" s="28" t="str">
        <x:v>Exclude/incidental</x:v>
      </x:c>
      <x:c r="I1336" s="28" t="str">
        <x:v>ADHD appears peripheral or insufficiently aligned with the requested corpus scope based on accessible metadata/abstract.</x:v>
      </x:c>
      <x:c r="J1336" s="38" t="e">
        <x:f>HYPERLINK("https://pubmed.ncbi.nlm.nih.gov/"&amp;C1336&amp;"/","Open PubMed")</x:f>
        <x:v>HYPERLINK is not implemented. linkLocation=https://pubmed.ncbi.nlm.nih.gov/20484708/, friendlyName=Open PubMed</x:v>
      </x:c>
    </x:row>
    <x:row r="1337">
      <x:c r="A1337" s="26" t="str">
        <x:v>PUBMED-20483659</x:v>
      </x:c>
      <x:c r="B1337" s="26" t="n">
        <x:v>2010</x:v>
      </x:c>
      <x:c r="C1337" s="26" t="str">
        <x:v>20483659</x:v>
      </x:c>
      <x:c r="D1337" s="28" t="str">
        <x:v>Resting-state EEG gamma activity in children with attention-deficit/hyperactivity disorder.</x:v>
      </x:c>
      <x:c r="E1337" s="28" t="str">
        <x:v>Primary/contextual journal article</x:v>
      </x:c>
      <x:c r="F1337" s="28" t="str">
        <x:v>Development &amp; presentation; Recognition &amp; diagnosis; Family &amp; education; Life outcomes &amp; lived experience</x:v>
      </x:c>
      <x:c r="G1337" s="28" t="str">
        <x:v>Childhood</x:v>
      </x:c>
      <x:c r="H1337" s="28" t="str">
        <x:v>Later specialized</x:v>
      </x:c>
      <x:c r="I1337" s="28" t="str">
        <x:v>Direct or strongly ADHD-related record retained for later screening; typically narrower treatment, biomarker, mechanistic, or single-comorbidity focus.</x:v>
      </x:c>
      <x:c r="J1337" s="38" t="e">
        <x:f>HYPERLINK("https://pubmed.ncbi.nlm.nih.gov/"&amp;C1337&amp;"/","Open PubMed")</x:f>
        <x:v>HYPERLINK is not implemented. linkLocation=https://pubmed.ncbi.nlm.nih.gov/20483659/, friendlyName=Open PubMed</x:v>
      </x:c>
    </x:row>
    <x:row r="1338">
      <x:c r="A1338" s="26" t="str">
        <x:v>PUBMED-20481646</x:v>
      </x:c>
      <x:c r="B1338" s="26" t="n">
        <x:v>2010</x:v>
      </x:c>
      <x:c r="C1338" s="26" t="str">
        <x:v>20481646</x:v>
      </x:c>
      <x:c r="D1338" s="28" t="str">
        <x:v>Cardiovascular effects of medications for the treatment of attention-deficit hyperactivity disorder: what is known and how should it influence prescribing in children?</x:v>
      </x:c>
      <x:c r="E1338" s="28" t="str">
        <x:v>Evidence synthesis - review</x:v>
      </x:c>
      <x:c r="F1338" s="28" t="str">
        <x:v>Development &amp; presentation; Recognition &amp; diagnosis; Family &amp; education; Social &amp; structural; Environmental &amp; lifestyle; Treatment &amp; support; Historical &amp; contemporary context</x:v>
      </x:c>
      <x:c r="G1338" s="28" t="str">
        <x:v>Childhood; Adulthood</x:v>
      </x:c>
      <x:c r="H1338" s="28" t="str">
        <x:v>Later specialized</x:v>
      </x:c>
      <x:c r="I1338" s="28" t="str">
        <x:v>Direct or strongly ADHD-related record retained for later screening; typically narrower treatment, biomarker, mechanistic, or single-comorbidity focus.</x:v>
      </x:c>
      <x:c r="J1338" s="38" t="e">
        <x:f>HYPERLINK("https://pubmed.ncbi.nlm.nih.gov/"&amp;C1338&amp;"/","Open PubMed")</x:f>
        <x:v>HYPERLINK is not implemented. linkLocation=https://pubmed.ncbi.nlm.nih.gov/20481646/, friendlyName=Open PubMed</x:v>
      </x:c>
    </x:row>
    <x:row r="1339">
      <x:c r="A1339" s="26" t="str">
        <x:v>PUBMED-20480275</x:v>
      </x:c>
      <x:c r="B1339" s="26" t="n">
        <x:v>2010</x:v>
      </x:c>
      <x:c r="C1339" s="26" t="str">
        <x:v>20480275</x:v>
      </x:c>
      <x:c r="D1339" s="28" t="str">
        <x:v>Megalographia in children with cerebellar lesions and in children with attention-deficit/hyperactivity disorder.</x:v>
      </x:c>
      <x:c r="E1339" s="28" t="str">
        <x:v>Primary/contextual journal article</x:v>
      </x:c>
      <x:c r="F1339" s="28" t="str">
        <x:v>Development &amp; presentation; Social &amp; structural; Treatment &amp; support</x:v>
      </x:c>
      <x:c r="G1339" s="28" t="str">
        <x:v>Childhood; Adolescence</x:v>
      </x:c>
      <x:c r="H1339" s="28" t="str">
        <x:v>Later specialized</x:v>
      </x:c>
      <x:c r="I1339" s="28" t="str">
        <x:v>Direct or strongly ADHD-related record retained for later screening; typically narrower treatment, biomarker, mechanistic, or single-comorbidity focus.</x:v>
      </x:c>
      <x:c r="J1339" s="38" t="e">
        <x:f>HYPERLINK("https://pubmed.ncbi.nlm.nih.gov/"&amp;C1339&amp;"/","Open PubMed")</x:f>
        <x:v>HYPERLINK is not implemented. linkLocation=https://pubmed.ncbi.nlm.nih.gov/20480275/, friendlyName=Open PubMed</x:v>
      </x:c>
    </x:row>
    <x:row r="1340">
      <x:c r="A1340" s="26" t="str">
        <x:v>PUBMED-20478498</x:v>
      </x:c>
      <x:c r="B1340" s="26" t="n">
        <x:v>2010</x:v>
      </x:c>
      <x:c r="C1340" s="26" t="str">
        <x:v>20478498</x:v>
      </x:c>
      <x:c r="D1340" s="28" t="str">
        <x:v>Psychiatric features in children with genetic syndromes: toward functional phenotypes.</x:v>
      </x:c>
      <x:c r="E1340" s="28" t="str">
        <x:v>Evidence synthesis - review</x:v>
      </x:c>
      <x:c r="F1340" s="28" t="str">
        <x:v>Development &amp; presentation; Family &amp; education; Social &amp; structural; Treatment &amp; support</x:v>
      </x:c>
      <x:c r="G1340" s="28" t="str">
        <x:v>Childhood</x:v>
      </x:c>
      <x:c r="H1340" s="28" t="str">
        <x:v>Exclude/incidental</x:v>
      </x:c>
      <x:c r="I1340" s="28" t="str">
        <x:v>ADHD appears peripheral or insufficiently aligned with the requested corpus scope based on accessible metadata/abstract.</x:v>
      </x:c>
      <x:c r="J1340" s="38" t="e">
        <x:f>HYPERLINK("https://pubmed.ncbi.nlm.nih.gov/"&amp;C1340&amp;"/","Open PubMed")</x:f>
        <x:v>HYPERLINK is not implemented. linkLocation=https://pubmed.ncbi.nlm.nih.gov/20478498/, friendlyName=Open PubMed</x:v>
      </x:c>
    </x:row>
    <x:row r="1341">
      <x:c r="A1341" s="26" t="str">
        <x:v>PUBMED-20478497</x:v>
      </x:c>
      <x:c r="B1341" s="26" t="n">
        <x:v>2010</x:v>
      </x:c>
      <x:c r="C1341" s="26" t="str">
        <x:v>20478497</x:v>
      </x:c>
      <x:c r="D1341" s="28" t="str">
        <x:v>Mental health concerns of the premature infant through the lifespan.</x:v>
      </x:c>
      <x:c r="E1341" s="28" t="str">
        <x:v>Evidence synthesis - review</x:v>
      </x:c>
      <x:c r="F1341" s="28" t="str">
        <x:v>Development &amp; presentation; Family &amp; education; Social &amp; structural; Environmental &amp; lifestyle; Treatment &amp; support; Life outcomes &amp; lived experience</x:v>
      </x:c>
      <x:c r="G1341" s="28" t="str">
        <x:v>Childhood; Adolescence</x:v>
      </x:c>
      <x:c r="H1341" s="28" t="str">
        <x:v>Exclude/incidental</x:v>
      </x:c>
      <x:c r="I1341" s="28" t="str">
        <x:v>ADHD appears peripheral or insufficiently aligned with the requested corpus scope based on accessible metadata/abstract.</x:v>
      </x:c>
      <x:c r="J1341" s="38" t="e">
        <x:f>HYPERLINK("https://pubmed.ncbi.nlm.nih.gov/"&amp;C1341&amp;"/","Open PubMed")</x:f>
        <x:v>HYPERLINK is not implemented. linkLocation=https://pubmed.ncbi.nlm.nih.gov/20478497/, friendlyName=Open PubMed</x:v>
      </x:c>
    </x:row>
    <x:row r="1342">
      <x:c r="A1342" s="26" t="str">
        <x:v>PUBMED-20467957</x:v>
      </x:c>
      <x:c r="B1342" s="26" t="n">
        <x:v>2010</x:v>
      </x:c>
      <x:c r="C1342" s="26" t="str">
        <x:v>20467957</x:v>
      </x:c>
      <x:c r="D1342" s="28" t="str">
        <x:v>Pesticide poisoning in a preschool child: a case study examining neurocognitive and neurobehavioral effects.</x:v>
      </x:c>
      <x:c r="E1342" s="28" t="str">
        <x:v>Primary/contextual journal article</x:v>
      </x:c>
      <x:c r="F1342" s="28" t="str">
        <x:v>Development &amp; presentation; Recognition &amp; diagnosis; Family &amp; education; Social &amp; structural; Environmental &amp; lifestyle; Treatment &amp; support</x:v>
      </x:c>
      <x:c r="G1342" s="28" t="str">
        <x:v>Childhood</x:v>
      </x:c>
      <x:c r="H1342" s="28" t="str">
        <x:v>Exclude/incidental</x:v>
      </x:c>
      <x:c r="I1342" s="28" t="str">
        <x:v>ADHD appears peripheral or insufficiently aligned with the requested corpus scope based on accessible metadata/abstract.</x:v>
      </x:c>
      <x:c r="J1342" s="38" t="e">
        <x:f>HYPERLINK("https://pubmed.ncbi.nlm.nih.gov/"&amp;C1342&amp;"/","Open PubMed")</x:f>
        <x:v>HYPERLINK is not implemented. linkLocation=https://pubmed.ncbi.nlm.nih.gov/20467957/, friendlyName=Open PubMed</x:v>
      </x:c>
    </x:row>
    <x:row r="1343">
      <x:c r="A1343" s="26" t="str">
        <x:v>PUBMED-20467955</x:v>
      </x:c>
      <x:c r="B1343" s="26" t="n">
        <x:v>2010</x:v>
      </x:c>
      <x:c r="C1343" s="26" t="str">
        <x:v>20467955</x:v>
      </x:c>
      <x:c r="D1343" s="28" t="str">
        <x:v>Symptom exaggeration in post-secondary students: preliminary base rates in a Canadian sample.</x:v>
      </x:c>
      <x:c r="E1343" s="28" t="str">
        <x:v>Primary/contextual journal article</x:v>
      </x:c>
      <x:c r="F1343" s="28" t="str">
        <x:v>Development &amp; presentation; Recognition &amp; diagnosis; Family &amp; education; Social &amp; structural</x:v>
      </x:c>
      <x:c r="G1343" s="28" t="str">
        <x:v>Adolescence; Adulthood</x:v>
      </x:c>
      <x:c r="H1343" s="28" t="str">
        <x:v>Exclude/incidental</x:v>
      </x:c>
      <x:c r="I1343" s="28" t="str">
        <x:v>ADHD appears peripheral or insufficiently aligned with the requested corpus scope based on accessible metadata/abstract.</x:v>
      </x:c>
      <x:c r="J1343" s="38" t="e">
        <x:f>HYPERLINK("https://pubmed.ncbi.nlm.nih.gov/"&amp;C1343&amp;"/","Open PubMed")</x:f>
        <x:v>HYPERLINK is not implemented. linkLocation=https://pubmed.ncbi.nlm.nih.gov/20467955/, friendlyName=Open PubMed</x:v>
      </x:c>
    </x:row>
    <x:row r="1344">
      <x:c r="A1344" s="26" t="str">
        <x:v>PUBMED-20464301</x:v>
      </x:c>
      <x:c r="B1344" s="26" t="n">
        <x:v>2010</x:v>
      </x:c>
      <x:c r="C1344" s="26" t="str">
        <x:v>20464301</x:v>
      </x:c>
      <x:c r="D1344" s="28" t="str">
        <x:v>Reaction time assessment in children with ADHD.</x:v>
      </x:c>
      <x:c r="E1344" s="28" t="str">
        <x:v>Primary study - case-control</x:v>
      </x:c>
      <x:c r="F1344" s="28" t="str">
        <x:v>Development &amp; presentation; Recognition &amp; diagnosis; Social &amp; structural; Treatment &amp; support</x:v>
      </x:c>
      <x:c r="G1344" s="28" t="str">
        <x:v>Childhood</x:v>
      </x:c>
      <x:c r="H1344" s="28" t="str">
        <x:v>Later specialized</x:v>
      </x:c>
      <x:c r="I1344" s="28" t="str">
        <x:v>Direct or strongly ADHD-related record retained for later screening; typically narrower treatment, biomarker, mechanistic, or single-comorbidity focus.</x:v>
      </x:c>
      <x:c r="J1344" s="38" t="e">
        <x:f>HYPERLINK("https://pubmed.ncbi.nlm.nih.gov/"&amp;C1344&amp;"/","Open PubMed")</x:f>
        <x:v>HYPERLINK is not implemented. linkLocation=https://pubmed.ncbi.nlm.nih.gov/20464301/, friendlyName=Open PubMed</x:v>
      </x:c>
    </x:row>
    <x:row r="1345">
      <x:c r="A1345" s="26" t="str">
        <x:v>PUBMED-20463632</x:v>
      </x:c>
      <x:c r="B1345" s="26" t="n">
        <x:v>2010</x:v>
      </x:c>
      <x:c r="C1345" s="26" t="str">
        <x:v>20463632</x:v>
      </x:c>
      <x:c r="D1345" s="28" t="str">
        <x:v>Therapeutic drug monitoring in pediatrics: how do children differ?</x:v>
      </x:c>
      <x:c r="E1345" s="28" t="str">
        <x:v>Evidence synthesis - review</x:v>
      </x:c>
      <x:c r="F1345" s="28" t="str">
        <x:v>Development &amp; presentation; Social &amp; structural; Treatment &amp; support</x:v>
      </x:c>
      <x:c r="G1345" s="28" t="str">
        <x:v>Childhood</x:v>
      </x:c>
      <x:c r="H1345" s="28" t="str">
        <x:v>Later specialized</x:v>
      </x:c>
      <x:c r="I1345" s="28" t="str">
        <x:v>Direct or strongly ADHD-related record retained for later screening; typically narrower treatment, biomarker, mechanistic, or single-comorbidity focus.</x:v>
      </x:c>
      <x:c r="J1345" s="38" t="e">
        <x:f>HYPERLINK("https://pubmed.ncbi.nlm.nih.gov/"&amp;C1345&amp;"/","Open PubMed")</x:f>
        <x:v>HYPERLINK is not implemented. linkLocation=https://pubmed.ncbi.nlm.nih.gov/20463632/, friendlyName=Open PubMed</x:v>
      </x:c>
    </x:row>
    <x:row r="1346">
      <x:c r="A1346" s="26" t="str">
        <x:v>PUBMED-20455609</x:v>
      </x:c>
      <x:c r="B1346" s="26" t="n">
        <x:v>2010</x:v>
      </x:c>
      <x:c r="C1346" s="26" t="str">
        <x:v>20455609</x:v>
      </x:c>
      <x:c r="D1346" s="28" t="str">
        <x:v>Child effects on communication between parents of youth with and without attention-deficit/hyperactivity disorder.</x:v>
      </x:c>
      <x:c r="E1346" s="28" t="str">
        <x:v>Primary/contextual journal article</x:v>
      </x:c>
      <x:c r="F1346" s="28" t="str">
        <x:v>Development &amp; presentation; Family &amp; education; Social &amp; structural; Life outcomes &amp; lived experience</x:v>
      </x:c>
      <x:c r="G1346" s="28" t="str">
        <x:v>Childhood; Adulthood</x:v>
      </x:c>
      <x:c r="H1346" s="28" t="str">
        <x:v>Later specialized</x:v>
      </x:c>
      <x:c r="I1346" s="28" t="str">
        <x:v>Direct or strongly ADHD-related record retained for later screening; typically narrower treatment, biomarker, mechanistic, or single-comorbidity focus.</x:v>
      </x:c>
      <x:c r="J1346" s="38" t="e">
        <x:f>HYPERLINK("https://pubmed.ncbi.nlm.nih.gov/"&amp;C1346&amp;"/","Open PubMed")</x:f>
        <x:v>HYPERLINK is not implemented. linkLocation=https://pubmed.ncbi.nlm.nih.gov/20455609/, friendlyName=Open PubMed</x:v>
      </x:c>
    </x:row>
    <x:row r="1347">
      <x:c r="A1347" s="26" t="str">
        <x:v>PUBMED-20452063</x:v>
      </x:c>
      <x:c r="B1347" s="26" t="n">
        <x:v>2010</x:v>
      </x:c>
      <x:c r="C1347" s="26" t="str">
        <x:v>20452063</x:v>
      </x:c>
      <x:c r="D1347" s="28" t="str">
        <x:v>How persistent is ADHD? A controlled 10-year follow-up study of boys with ADHD.</x:v>
      </x:c>
      <x:c r="E1347" s="28" t="str">
        <x:v>Primary/contextual journal article</x:v>
      </x:c>
      <x:c r="F1347" s="28" t="str">
        <x:v>Development &amp; presentation; Recognition &amp; diagnosis; Family &amp; education; Social &amp; structural; Treatment &amp; support; Life outcomes &amp; lived experience</x:v>
      </x:c>
      <x:c r="G1347" s="28" t="str">
        <x:v>Childhood; Adolescence; Adulthood</x:v>
      </x:c>
      <x:c r="H1347" s="28" t="str">
        <x:v>Later specialized</x:v>
      </x:c>
      <x:c r="I1347" s="28" t="str">
        <x:v>Direct or strongly ADHD-related record retained for later screening; typically narrower treatment, biomarker, mechanistic, or single-comorbidity focus.</x:v>
      </x:c>
      <x:c r="J1347" s="38" t="e">
        <x:f>HYPERLINK("https://pubmed.ncbi.nlm.nih.gov/"&amp;C1347&amp;"/","Open PubMed")</x:f>
        <x:v>HYPERLINK is not implemented. linkLocation=https://pubmed.ncbi.nlm.nih.gov/20452063/, friendlyName=Open PubMed</x:v>
      </x:c>
    </x:row>
    <x:row r="1348">
      <x:c r="A1348" s="26" t="str">
        <x:v>PUBMED-20448522</x:v>
      </x:c>
      <x:c r="B1348" s="26" t="n">
        <x:v>2010</x:v>
      </x:c>
      <x:c r="C1348" s="26" t="str">
        <x:v>20448522</x:v>
      </x:c>
      <x:c r="D1348" s="28" t="str">
        <x:v>Lisdexamfetamine dimesylate: a prodrug stimulant for the treatment of ADHD in children and adults.</x:v>
      </x:c>
      <x:c r="E1348" s="28" t="str">
        <x:v>Evidence synthesis - review</x:v>
      </x:c>
      <x:c r="F1348" s="28" t="str">
        <x:v>Development &amp; presentation; Family &amp; education; Social &amp; structural; Treatment &amp; support; Life outcomes &amp; lived experience</x:v>
      </x:c>
      <x:c r="G1348" s="28" t="str">
        <x:v>Childhood; Adulthood</x:v>
      </x:c>
      <x:c r="H1348" s="28" t="str">
        <x:v>Later specialized</x:v>
      </x:c>
      <x:c r="I1348" s="28" t="str">
        <x:v>Direct or strongly ADHD-related record retained for later screening; typically narrower treatment, biomarker, mechanistic, or single-comorbidity focus.</x:v>
      </x:c>
      <x:c r="J1348" s="38" t="e">
        <x:f>HYPERLINK("https://pubmed.ncbi.nlm.nih.gov/"&amp;C1348&amp;"/","Open PubMed")</x:f>
        <x:v>HYPERLINK is not implemented. linkLocation=https://pubmed.ncbi.nlm.nih.gov/20448522/, friendlyName=Open PubMed</x:v>
      </x:c>
    </x:row>
    <x:row r="1349">
      <x:c r="A1349" s="26" t="str">
        <x:v>PUBMED-20445203</x:v>
      </x:c>
      <x:c r="B1349" s="26" t="n">
        <x:v>2010</x:v>
      </x:c>
      <x:c r="C1349" s="26" t="str">
        <x:v>20445203</x:v>
      </x:c>
      <x:c r="D1349" s="28" t="str">
        <x:v>Do low-effort learning strategies mediate impaired memory in ADHD?</x:v>
      </x:c>
      <x:c r="E1349" s="28" t="str">
        <x:v>Primary study - case-control</x:v>
      </x:c>
      <x:c r="F1349" s="28" t="str">
        <x:v>Development &amp; presentation; Recognition &amp; diagnosis; Family &amp; education; Social &amp; structural</x:v>
      </x:c>
      <x:c r="G1349" s="28" t="str">
        <x:v>Childhood; Adolescence</x:v>
      </x:c>
      <x:c r="H1349" s="28" t="str">
        <x:v>Later specialized</x:v>
      </x:c>
      <x:c r="I1349" s="28" t="str">
        <x:v>Direct or strongly ADHD-related record retained for later screening; typically narrower treatment, biomarker, mechanistic, or single-comorbidity focus.</x:v>
      </x:c>
      <x:c r="J1349" s="38" t="e">
        <x:f>HYPERLINK("https://pubmed.ncbi.nlm.nih.gov/"&amp;C1349&amp;"/","Open PubMed")</x:f>
        <x:v>HYPERLINK is not implemented. linkLocation=https://pubmed.ncbi.nlm.nih.gov/20445203/, friendlyName=Open PubMed</x:v>
      </x:c>
    </x:row>
    <x:row r="1350">
      <x:c r="A1350" s="26" t="str">
        <x:v>PUBMED-20439807</x:v>
      </x:c>
      <x:c r="B1350" s="26" t="n">
        <x:v>2010</x:v>
      </x:c>
      <x:c r="C1350" s="26" t="str">
        <x:v>20439807</x:v>
      </x:c>
      <x:c r="D1350" s="28" t="str">
        <x:v>Advice for patients. Attention-deficit/hyperactivity disorder.</x:v>
      </x:c>
      <x:c r="E1350" s="28" t="str">
        <x:v>Primary/contextual journal article</x:v>
      </x:c>
      <x:c r="F1350" s="28" t="str">
        <x:v>Development &amp; presentation</x:v>
      </x:c>
      <x:c r="G1350" s="28" t="str">
        <x:v>Childhood</x:v>
      </x:c>
      <x:c r="H1350" s="28" t="str">
        <x:v>Later specialized</x:v>
      </x:c>
      <x:c r="I1350" s="28" t="str">
        <x:v>Direct or strongly ADHD-related record retained for later screening; typically narrower treatment, biomarker, mechanistic, or single-comorbidity focus.</x:v>
      </x:c>
      <x:c r="J1350" s="38" t="e">
        <x:f>HYPERLINK("https://pubmed.ncbi.nlm.nih.gov/"&amp;C1350&amp;"/","Open PubMed")</x:f>
        <x:v>HYPERLINK is not implemented. linkLocation=https://pubmed.ncbi.nlm.nih.gov/20439807/, friendlyName=Open PubMed</x:v>
      </x:c>
    </x:row>
    <x:row r="1351">
      <x:c r="A1351" s="26" t="str">
        <x:v>PUBMED-20438767</x:v>
      </x:c>
      <x:c r="B1351" s="26" t="n">
        <x:v>2010</x:v>
      </x:c>
      <x:c r="C1351" s="26" t="str">
        <x:v>20438767</x:v>
      </x:c>
      <x:c r="D1351" s="28" t="str">
        <x:v>Response acquisition with signaled delayed reinforcement in a rodent model of ADHD.</x:v>
      </x:c>
      <x:c r="E1351" s="28" t="str">
        <x:v>Primary/contextual journal article</x:v>
      </x:c>
      <x:c r="F1351" s="28" t="str">
        <x:v>Development &amp; presentation; Social &amp; structural</x:v>
      </x:c>
      <x:c r="G1351" s="28" t="str">
        <x:v>Not specified</x:v>
      </x:c>
      <x:c r="H1351" s="28" t="str">
        <x:v>Exclude/incidental</x:v>
      </x:c>
      <x:c r="I1351" s="28" t="str">
        <x:v>Animal-only record; retained outside the human-focused core corpus.</x:v>
      </x:c>
      <x:c r="J1351" s="38" t="e">
        <x:f>HYPERLINK("https://pubmed.ncbi.nlm.nih.gov/"&amp;C1351&amp;"/","Open PubMed")</x:f>
        <x:v>HYPERLINK is not implemented. linkLocation=https://pubmed.ncbi.nlm.nih.gov/20438767/, friendlyName=Open PubMed</x:v>
      </x:c>
    </x:row>
    <x:row r="1352">
      <x:c r="A1352" s="26" t="str">
        <x:v>PUBMED-20438289</x:v>
      </x:c>
      <x:c r="B1352" s="26" t="n">
        <x:v>2010</x:v>
      </x:c>
      <x:c r="C1352" s="26" t="str">
        <x:v>20438289</x:v>
      </x:c>
      <x:c r="D1352" s="28" t="str">
        <x:v>Validity of K-SADS-PL (Schedule for Affective Disorders and Schizophrenia for School-Age Children--Present and Lifetime Version) depression diagnoses in an adolescent clinical population.</x:v>
      </x:c>
      <x:c r="E1352" s="28" t="str">
        <x:v>Primary/contextual journal article</x:v>
      </x:c>
      <x:c r="F1352" s="28" t="str">
        <x:v>Development &amp; presentation; Recognition &amp; diagnosis; Family &amp; education; Social &amp; structural; Treatment &amp; support</x:v>
      </x:c>
      <x:c r="G1352" s="28" t="str">
        <x:v>Childhood; Adolescence</x:v>
      </x:c>
      <x:c r="H1352" s="28" t="str">
        <x:v>Exclude/incidental</x:v>
      </x:c>
      <x:c r="I1352" s="28" t="str">
        <x:v>ADHD appears peripheral or insufficiently aligned with the requested corpus scope based on accessible metadata/abstract.</x:v>
      </x:c>
      <x:c r="J1352" s="38" t="e">
        <x:f>HYPERLINK("https://pubmed.ncbi.nlm.nih.gov/"&amp;C1352&amp;"/","Open PubMed")</x:f>
        <x:v>HYPERLINK is not implemented. linkLocation=https://pubmed.ncbi.nlm.nih.gov/20438289/, friendlyName=Open PubMed</x:v>
      </x:c>
    </x:row>
    <x:row r="1353">
      <x:c r="A1353" s="26" t="str">
        <x:v>PUBMED-20438137</x:v>
      </x:c>
      <x:c r="B1353" s="26" t="n">
        <x:v>2010</x:v>
      </x:c>
      <x:c r="C1353" s="26" t="str">
        <x:v>20438137</x:v>
      </x:c>
      <x:c r="D1353" s="28" t="str">
        <x:v>Rethinking shared environment as a source of variance underlying attention-deficit/hyperactivity disorder symptoms: comment on Burt (2009).</x:v>
      </x:c>
      <x:c r="E1353" s="28" t="str">
        <x:v>Evidence synthesis - meta-analysis</x:v>
      </x:c>
      <x:c r="F1353" s="28" t="str">
        <x:v>Development &amp; presentation; Recognition &amp; diagnosis; Social &amp; structural; Environmental &amp; lifestyle; Historical &amp; contemporary context</x:v>
      </x:c>
      <x:c r="G1353" s="28" t="str">
        <x:v>Childhood</x:v>
      </x:c>
      <x:c r="H1353" s="28" t="str">
        <x:v>Later specialized</x:v>
      </x:c>
      <x:c r="I1353" s="28" t="str">
        <x:v>Direct or strongly ADHD-related record retained for later screening; typically narrower treatment, biomarker, mechanistic, or single-comorbidity focus.</x:v>
      </x:c>
      <x:c r="J1353" s="38" t="e">
        <x:f>HYPERLINK("https://pubmed.ncbi.nlm.nih.gov/"&amp;C1353&amp;"/","Open PubMed")</x:f>
        <x:v>HYPERLINK is not implemented. linkLocation=https://pubmed.ncbi.nlm.nih.gov/20438137/, friendlyName=Open PubMed</x:v>
      </x:c>
    </x:row>
    <x:row r="1354">
      <x:c r="A1354" s="26" t="str">
        <x:v>PUBMED-20434143</x:v>
      </x:c>
      <x:c r="B1354" s="26" t="n">
        <x:v>2010</x:v>
      </x:c>
      <x:c r="C1354" s="26" t="str">
        <x:v>20434143</x:v>
      </x:c>
      <x:c r="D1354" s="28" t="str">
        <x:v>Environmental exposure to lead, but not other neurotoxic metals, relates to core elements of ADHD in Romanian children: performance and questionnaire data.</x:v>
      </x:c>
      <x:c r="E1354" s="28" t="str">
        <x:v>Primary/contextual journal article</x:v>
      </x:c>
      <x:c r="F1354" s="28" t="str">
        <x:v>Development &amp; presentation; Recognition &amp; diagnosis; Family &amp; education; Social &amp; structural; Environmental &amp; lifestyle; Treatment &amp; support; Life outcomes &amp; lived experience</x:v>
      </x:c>
      <x:c r="G1354" s="28" t="str">
        <x:v>Childhood</x:v>
      </x:c>
      <x:c r="H1354" s="28" t="str">
        <x:v>Later specialized</x:v>
      </x:c>
      <x:c r="I1354" s="28" t="str">
        <x:v>Direct or strongly ADHD-related record retained for later screening; typically narrower treatment, biomarker, mechanistic, or single-comorbidity focus.</x:v>
      </x:c>
      <x:c r="J1354" s="38" t="e">
        <x:f>HYPERLINK("https://pubmed.ncbi.nlm.nih.gov/"&amp;C1354&amp;"/","Open PubMed")</x:f>
        <x:v>HYPERLINK is not implemented. linkLocation=https://pubmed.ncbi.nlm.nih.gov/20434143/, friendlyName=Open PubMed</x:v>
      </x:c>
    </x:row>
    <x:row r="1355">
      <x:c r="A1355" s="26" t="str">
        <x:v>PUBMED-23858583</x:v>
      </x:c>
      <x:c r="B1355" s="26" t="n">
        <x:v>2010</x:v>
      </x:c>
      <x:c r="C1355" s="26" t="str">
        <x:v>23858583</x:v>
      </x:c>
      <x:c r="D1355" s="28" t="str">
        <x:v>[Neuroscience of attention deficit/hyperactivity disorder: special focus on the function of the inhibitory and reward systems].</x:v>
      </x:c>
      <x:c r="E1355" s="28" t="str">
        <x:v>Evidence synthesis - review</x:v>
      </x:c>
      <x:c r="F1355" s="28" t="str">
        <x:v>Development &amp; presentation; Treatment &amp; support</x:v>
      </x:c>
      <x:c r="G1355" s="28" t="str">
        <x:v>Not specified</x:v>
      </x:c>
      <x:c r="H1355" s="28" t="str">
        <x:v>Later specialized</x:v>
      </x:c>
      <x:c r="I1355" s="28" t="str">
        <x:v>Direct or strongly ADHD-related record retained for later screening; typically narrower treatment, biomarker, mechanistic, or single-comorbidity focus.</x:v>
      </x:c>
      <x:c r="J1355" s="38" t="e">
        <x:f>HYPERLINK("https://pubmed.ncbi.nlm.nih.gov/"&amp;C1355&amp;"/","Open PubMed")</x:f>
        <x:v>HYPERLINK is not implemented. linkLocation=https://pubmed.ncbi.nlm.nih.gov/23858583/, friendlyName=Open PubMed</x:v>
      </x:c>
    </x:row>
    <x:row r="1356">
      <x:c r="A1356" s="26" t="str">
        <x:v>PUBMED-23057280</x:v>
      </x:c>
      <x:c r="B1356" s="26" t="n">
        <x:v>2010</x:v>
      </x:c>
      <x:c r="C1356" s="26" t="str">
        <x:v>23057280</x:v>
      </x:c>
      <x:c r="D1356" s="28" t="str">
        <x:v>Self-reported attention deficit and hyperactivity disorder symptoms among university students in Eldoret, Kenya.</x:v>
      </x:c>
      <x:c r="E1356" s="28" t="str">
        <x:v>Primary study - cohort</x:v>
      </x:c>
      <x:c r="F1356" s="28" t="str">
        <x:v>Development &amp; presentation; Recognition &amp; diagnosis; Family &amp; education; Social &amp; structural; Life outcomes &amp; lived experience</x:v>
      </x:c>
      <x:c r="G1356" s="28" t="str">
        <x:v>Adolescence; Adulthood</x:v>
      </x:c>
      <x:c r="H1356" s="28" t="str">
        <x:v>Later specialized</x:v>
      </x:c>
      <x:c r="I1356" s="28" t="str">
        <x:v>Direct or strongly ADHD-related record retained for later screening; typically narrower treatment, biomarker, mechanistic, or single-comorbidity focus.</x:v>
      </x:c>
      <x:c r="J1356" s="38" t="e">
        <x:f>HYPERLINK("https://pubmed.ncbi.nlm.nih.gov/"&amp;C1356&amp;"/","Open PubMed")</x:f>
        <x:v>HYPERLINK is not implemented. linkLocation=https://pubmed.ncbi.nlm.nih.gov/23057280/, friendlyName=Open PubMed</x:v>
      </x:c>
    </x:row>
    <x:row r="1357">
      <x:c r="A1357" s="26" t="str">
        <x:v>PUBMED-20431470</x:v>
      </x:c>
      <x:c r="B1357" s="26" t="n">
        <x:v>2010</x:v>
      </x:c>
      <x:c r="C1357" s="26" t="str">
        <x:v>20431470</x:v>
      </x:c>
      <x:c r="D1357" s="28" t="str">
        <x:v>The unique contribution of emotional impulsiveness to impairment in major life activities in hyperactive children as adults.</x:v>
      </x:c>
      <x:c r="E1357" s="28" t="str">
        <x:v>Primary/contextual journal article</x:v>
      </x:c>
      <x:c r="F1357" s="28" t="str">
        <x:v>Development &amp; presentation; Recognition &amp; diagnosis; Family &amp; education; Social &amp; structural; Treatment &amp; support; Life outcomes &amp; lived experience</x:v>
      </x:c>
      <x:c r="G1357" s="28" t="str">
        <x:v>Childhood; Adolescence; Adulthood</x:v>
      </x:c>
      <x:c r="H1357" s="28" t="str">
        <x:v>Later specialized</x:v>
      </x:c>
      <x:c r="I1357" s="28" t="str">
        <x:v>Direct or strongly ADHD-related record retained for later screening; typically narrower treatment, biomarker, mechanistic, or single-comorbidity focus.</x:v>
      </x:c>
      <x:c r="J1357" s="38" t="e">
        <x:f>HYPERLINK("https://pubmed.ncbi.nlm.nih.gov/"&amp;C1357&amp;"/","Open PubMed")</x:f>
        <x:v>HYPERLINK is not implemented. linkLocation=https://pubmed.ncbi.nlm.nih.gov/20431470/, friendlyName=Open PubMed</x:v>
      </x:c>
    </x:row>
    <x:row r="1358">
      <x:c r="A1358" s="26" t="str">
        <x:v>PUBMED-20431463</x:v>
      </x:c>
      <x:c r="B1358" s="26" t="n">
        <x:v>2010</x:v>
      </x:c>
      <x:c r="C1358" s="26" t="str">
        <x:v>20431463</x:v>
      </x:c>
      <x:c r="D1358" s="28" t="str">
        <x:v>Refining our diagnostic system--cake or comorbid bread and fudge?</x:v>
      </x:c>
      <x:c r="E1358" s="28" t="str">
        <x:v>Contextual - editorial/comment</x:v>
      </x:c>
      <x:c r="F1358" s="28" t="str">
        <x:v>Development &amp; presentation; Recognition &amp; diagnosis</x:v>
      </x:c>
      <x:c r="G1358" s="28" t="str">
        <x:v>Not specified</x:v>
      </x:c>
      <x:c r="H1358" s="28" t="str">
        <x:v>Exclude/incidental</x:v>
      </x:c>
      <x:c r="I1358" s="28" t="str">
        <x:v>ADHD appears peripheral or insufficiently aligned with the requested corpus scope based on accessible metadata/abstract.</x:v>
      </x:c>
      <x:c r="J1358" s="38" t="e">
        <x:f>HYPERLINK("https://pubmed.ncbi.nlm.nih.gov/"&amp;C1358&amp;"/","Open PubMed")</x:f>
        <x:v>HYPERLINK is not implemented. linkLocation=https://pubmed.ncbi.nlm.nih.gov/20431463/, friendlyName=Open PubMed</x:v>
      </x:c>
    </x:row>
    <x:row r="1359">
      <x:c r="A1359" s="26" t="str">
        <x:v>PUBMED-20427663</x:v>
      </x:c>
      <x:c r="B1359" s="26" t="n">
        <x:v>2010</x:v>
      </x:c>
      <x:c r="C1359" s="26" t="str">
        <x:v>20427663</x:v>
      </x:c>
      <x:c r="D1359" s="28" t="str">
        <x:v>Dysregulation of dopamine transporters via dopamine D2 autoreceptors triggers anomalous dopamine efflux associated with attention-deficit hyperactivity disorder.</x:v>
      </x:c>
      <x:c r="E1359" s="28" t="str">
        <x:v>Primary/contextual journal article</x:v>
      </x:c>
      <x:c r="F1359" s="28" t="str">
        <x:v>Development &amp; presentation; Treatment &amp; support</x:v>
      </x:c>
      <x:c r="G1359" s="28" t="str">
        <x:v>Not specified</x:v>
      </x:c>
      <x:c r="H1359" s="28" t="str">
        <x:v>Later specialized</x:v>
      </x:c>
      <x:c r="I1359" s="28" t="str">
        <x:v>Direct or strongly ADHD-related record retained for later screening; typically narrower treatment, biomarker, mechanistic, or single-comorbidity focus.</x:v>
      </x:c>
      <x:c r="J1359" s="38" t="e">
        <x:f>HYPERLINK("https://pubmed.ncbi.nlm.nih.gov/"&amp;C1359&amp;"/","Open PubMed")</x:f>
        <x:v>HYPERLINK is not implemented. linkLocation=https://pubmed.ncbi.nlm.nih.gov/20427663/, friendlyName=Open PubMed</x:v>
      </x:c>
    </x:row>
    <x:row r="1360">
      <x:c r="A1360" s="26" t="str">
        <x:v>PUBMED-20427448</x:v>
      </x:c>
      <x:c r="B1360" s="26" t="n">
        <x:v>2010</x:v>
      </x:c>
      <x:c r="C1360" s="26" t="str">
        <x:v>20427448</x:v>
      </x:c>
      <x:c r="D1360" s="28" t="str">
        <x:v>Do adults have ADHD? A history lesson.</x:v>
      </x:c>
      <x:c r="E1360" s="28" t="str">
        <x:v>Contextual - editorial/comment</x:v>
      </x:c>
      <x:c r="F1360" s="28" t="str">
        <x:v>Development &amp; presentation; Recognition &amp; diagnosis; Historical &amp; contemporary context</x:v>
      </x:c>
      <x:c r="G1360" s="28" t="str">
        <x:v>Adulthood</x:v>
      </x:c>
      <x:c r="H1360" s="28" t="str">
        <x:v>Later specialized</x:v>
      </x:c>
      <x:c r="I1360" s="28" t="str">
        <x:v>Direct or strongly ADHD-related record retained for later screening; typically narrower treatment, biomarker, mechanistic, or single-comorbidity focus.</x:v>
      </x:c>
      <x:c r="J1360" s="38" t="e">
        <x:f>HYPERLINK("https://pubmed.ncbi.nlm.nih.gov/"&amp;C1360&amp;"/","Open PubMed")</x:f>
        <x:v>HYPERLINK is not implemented. linkLocation=https://pubmed.ncbi.nlm.nih.gov/20427448/, friendlyName=Open PubMed</x:v>
      </x:c>
    </x:row>
    <x:row r="1361">
      <x:c r="A1361" s="26" t="str">
        <x:v>PUBMED-20424008</x:v>
      </x:c>
      <x:c r="B1361" s="26" t="n">
        <x:v>2010</x:v>
      </x:c>
      <x:c r="C1361" s="26" t="str">
        <x:v>20424008</x:v>
      </x:c>
      <x:c r="D1361" s="28" t="str">
        <x:v>The impact of polyunsaturated fatty acids in reducing child attention deficit and hyperactivity disorders.</x:v>
      </x:c>
      <x:c r="E1361" s="28" t="str">
        <x:v>Evidence synthesis - review</x:v>
      </x:c>
      <x:c r="F1361" s="28" t="str">
        <x:v>Development &amp; presentation; Social &amp; structural; Environmental &amp; lifestyle; Treatment &amp; support; Life outcomes &amp; lived experience</x:v>
      </x:c>
      <x:c r="G1361" s="28" t="str">
        <x:v>Childhood</x:v>
      </x:c>
      <x:c r="H1361" s="28" t="str">
        <x:v>Later specialized</x:v>
      </x:c>
      <x:c r="I1361" s="28" t="str">
        <x:v>Direct or strongly ADHD-related record retained for later screening; typically narrower treatment, biomarker, mechanistic, or single-comorbidity focus.</x:v>
      </x:c>
      <x:c r="J1361" s="38" t="e">
        <x:f>HYPERLINK("https://pubmed.ncbi.nlm.nih.gov/"&amp;C1361&amp;"/","Open PubMed")</x:f>
        <x:v>HYPERLINK is not implemented. linkLocation=https://pubmed.ncbi.nlm.nih.gov/20424008/, friendlyName=Open PubMed</x:v>
      </x:c>
    </x:row>
    <x:row r="1362">
      <x:c r="A1362" s="26" t="str">
        <x:v>PUBMED-20423548</x:v>
      </x:c>
      <x:c r="B1362" s="26" t="n">
        <x:v>2010</x:v>
      </x:c>
      <x:c r="C1362" s="26" t="str">
        <x:v>20423548</x:v>
      </x:c>
      <x:c r="D1362" s="28" t="str">
        <x:v>Time-dependent changes in positively biased self-perceptions of children with attention-deficit/hyperactivity disorder: a developmental psychopathology perspective.</x:v>
      </x:c>
      <x:c r="E1362" s="28" t="str">
        <x:v>Primary/contextual journal article</x:v>
      </x:c>
      <x:c r="F1362" s="28" t="str">
        <x:v>Development &amp; presentation; Recognition &amp; diagnosis; Social &amp; structural; Treatment &amp; support; Life outcomes &amp; lived experience</x:v>
      </x:c>
      <x:c r="G1362" s="28" t="str">
        <x:v>Childhood; Adolescence</x:v>
      </x:c>
      <x:c r="H1362" s="28" t="str">
        <x:v>Later specialized</x:v>
      </x:c>
      <x:c r="I1362" s="28" t="str">
        <x:v>Direct or strongly ADHD-related record retained for later screening; typically narrower treatment, biomarker, mechanistic, or single-comorbidity focus.</x:v>
      </x:c>
      <x:c r="J1362" s="38" t="e">
        <x:f>HYPERLINK("https://pubmed.ncbi.nlm.nih.gov/"&amp;C1362&amp;"/","Open PubMed")</x:f>
        <x:v>HYPERLINK is not implemented. linkLocation=https://pubmed.ncbi.nlm.nih.gov/20423548/, friendlyName=Open PubMed</x:v>
      </x:c>
    </x:row>
    <x:row r="1363">
      <x:c r="A1363" s="26" t="str">
        <x:v>PUBMED-20422840</x:v>
      </x:c>
      <x:c r="B1363" s="26" t="n">
        <x:v>2010</x:v>
      </x:c>
      <x:c r="C1363" s="26" t="str">
        <x:v>20422840</x:v>
      </x:c>
      <x:c r="D1363" s="28" t="str">
        <x:v>[Developmental outcome of fetal macrocephaly and associated syndromes].</x:v>
      </x:c>
      <x:c r="E1363" s="28" t="str">
        <x:v>Evidence synthesis - review</x:v>
      </x:c>
      <x:c r="F1363" s="28" t="str">
        <x:v>Development &amp; presentation; Recognition &amp; diagnosis; Family &amp; education; Social &amp; structural; Environmental &amp; lifestyle; Life outcomes &amp; lived experience</x:v>
      </x:c>
      <x:c r="G1363" s="28" t="str">
        <x:v>Childhood</x:v>
      </x:c>
      <x:c r="H1363" s="28" t="str">
        <x:v>Exclude/incidental</x:v>
      </x:c>
      <x:c r="I1363" s="28" t="str">
        <x:v>ADHD appears peripheral or insufficiently aligned with the requested corpus scope based on accessible metadata/abstract.</x:v>
      </x:c>
      <x:c r="J1363" s="38" t="e">
        <x:f>HYPERLINK("https://pubmed.ncbi.nlm.nih.gov/"&amp;C1363&amp;"/","Open PubMed")</x:f>
        <x:v>HYPERLINK is not implemented. linkLocation=https://pubmed.ncbi.nlm.nih.gov/20422840/, friendlyName=Open PubMed</x:v>
      </x:c>
    </x:row>
    <x:row r="1364">
      <x:c r="A1364" s="26" t="str">
        <x:v>PUBMED-20422348</x:v>
      </x:c>
      <x:c r="B1364" s="26" t="n">
        <x:v>2010</x:v>
      </x:c>
      <x:c r="C1364" s="26" t="str">
        <x:v>20422348</x:v>
      </x:c>
      <x:c r="D1364" s="28" t="str">
        <x:v>Identifying trajectories of adolescents' depressive phenomena: an examination of early risk factors.</x:v>
      </x:c>
      <x:c r="E1364" s="28" t="str">
        <x:v>Evidence synthesis - review</x:v>
      </x:c>
      <x:c r="F1364" s="28" t="str">
        <x:v>Development &amp; presentation; Family &amp; education; Social &amp; structural; Environmental &amp; lifestyle</x:v>
      </x:c>
      <x:c r="G1364" s="28" t="str">
        <x:v>Childhood; Adolescence</x:v>
      </x:c>
      <x:c r="H1364" s="28" t="str">
        <x:v>Exclude/incidental</x:v>
      </x:c>
      <x:c r="I1364" s="28" t="str">
        <x:v>ADHD appears peripheral or insufficiently aligned with the requested corpus scope based on accessible metadata/abstract.</x:v>
      </x:c>
      <x:c r="J1364" s="38" t="e">
        <x:f>HYPERLINK("https://pubmed.ncbi.nlm.nih.gov/"&amp;C1364&amp;"/","Open PubMed")</x:f>
        <x:v>HYPERLINK is not implemented. linkLocation=https://pubmed.ncbi.nlm.nih.gov/20422348/, friendlyName=Open PubMed</x:v>
      </x:c>
    </x:row>
    <x:row r="1365">
      <x:c r="A1365" s="26" t="str">
        <x:v>PUBMED-20419578</x:v>
      </x:c>
      <x:c r="B1365" s="26" t="n">
        <x:v>2010</x:v>
      </x:c>
      <x:c r="C1365" s="26" t="str">
        <x:v>20419578</x:v>
      </x:c>
      <x:c r="D1365" s="28" t="str">
        <x:v>Positive illusory bias and response to behavioral treatment among children with attention-deficit/hyperactivity disorder.</x:v>
      </x:c>
      <x:c r="E1365" s="28" t="str">
        <x:v>Primary/contextual journal article</x:v>
      </x:c>
      <x:c r="F1365" s="28" t="str">
        <x:v>Development &amp; presentation; Social &amp; structural; Treatment &amp; support; Life outcomes &amp; lived experience</x:v>
      </x:c>
      <x:c r="G1365" s="28" t="str">
        <x:v>Childhood</x:v>
      </x:c>
      <x:c r="H1365" s="28" t="str">
        <x:v>Later specialized</x:v>
      </x:c>
      <x:c r="I1365" s="28" t="str">
        <x:v>Direct or strongly ADHD-related record retained for later screening; typically narrower treatment, biomarker, mechanistic, or single-comorbidity focus.</x:v>
      </x:c>
      <x:c r="J1365" s="38" t="e">
        <x:f>HYPERLINK("https://pubmed.ncbi.nlm.nih.gov/"&amp;C1365&amp;"/","Open PubMed")</x:f>
        <x:v>HYPERLINK is not implemented. linkLocation=https://pubmed.ncbi.nlm.nih.gov/20419578/, friendlyName=Open PubMed</x:v>
      </x:c>
    </x:row>
    <x:row r="1366">
      <x:c r="A1366" s="26" t="str">
        <x:v>PUBMED-20415607</x:v>
      </x:c>
      <x:c r="B1366" s="26" t="n">
        <x:v>2010</x:v>
      </x:c>
      <x:c r="C1366" s="26" t="str">
        <x:v>20415607</x:v>
      </x:c>
      <x:c r="D1366" s="28" t="str">
        <x:v>Impulsive aggression in attention-deficit/hyperactivity disorder: symptom severity, co-morbidity, and attention-deficit/hyperactivity disorder subtype.</x:v>
      </x:c>
      <x:c r="E1366" s="28" t="str">
        <x:v>Primary/contextual journal article</x:v>
      </x:c>
      <x:c r="F1366" s="28" t="str">
        <x:v>Development &amp; presentation; Recognition &amp; diagnosis; Social &amp; structural; Treatment &amp; support; Life outcomes &amp; lived experience</x:v>
      </x:c>
      <x:c r="G1366" s="28" t="str">
        <x:v>Childhood; Adolescence</x:v>
      </x:c>
      <x:c r="H1366" s="28" t="str">
        <x:v>Later specialized</x:v>
      </x:c>
      <x:c r="I1366" s="28" t="str">
        <x:v>Direct or strongly ADHD-related record retained for later screening; typically narrower treatment, biomarker, mechanistic, or single-comorbidity focus.</x:v>
      </x:c>
      <x:c r="J1366" s="38" t="e">
        <x:f>HYPERLINK("https://pubmed.ncbi.nlm.nih.gov/"&amp;C1366&amp;"/","Open PubMed")</x:f>
        <x:v>HYPERLINK is not implemented. linkLocation=https://pubmed.ncbi.nlm.nih.gov/20415607/, friendlyName=Open PubMed</x:v>
      </x:c>
    </x:row>
    <x:row r="1367">
      <x:c r="A1367" s="26" t="str">
        <x:v>PUBMED-20414715</x:v>
      </x:c>
      <x:c r="B1367" s="26" t="n">
        <x:v>2010</x:v>
      </x:c>
      <x:c r="C1367" s="26" t="str">
        <x:v>20414715</x:v>
      </x:c>
      <x:c r="D1367" s="28" t="str">
        <x:v>Trajectories of symptom reduction and engagement during treatment for childhood behavior disorders: differences across settings.</x:v>
      </x:c>
      <x:c r="E1367" s="28" t="str">
        <x:v>Primary study - randomized controlled trial</x:v>
      </x:c>
      <x:c r="F1367" s="28" t="str">
        <x:v>Development &amp; presentation; Recognition &amp; diagnosis; Family &amp; education; Social &amp; structural; Environmental &amp; lifestyle; Treatment &amp; support</x:v>
      </x:c>
      <x:c r="G1367" s="28" t="str">
        <x:v>Childhood</x:v>
      </x:c>
      <x:c r="H1367" s="28" t="str">
        <x:v>Exclude/incidental</x:v>
      </x:c>
      <x:c r="I1367" s="28" t="str">
        <x:v>ADHD appears peripheral or insufficiently aligned with the requested corpus scope based on accessible metadata/abstract.</x:v>
      </x:c>
      <x:c r="J1367" s="38" t="e">
        <x:f>HYPERLINK("https://pubmed.ncbi.nlm.nih.gov/"&amp;C1367&amp;"/","Open PubMed")</x:f>
        <x:v>HYPERLINK is not implemented. linkLocation=https://pubmed.ncbi.nlm.nih.gov/20414715/, friendlyName=Open PubMed</x:v>
      </x:c>
    </x:row>
    <x:row r="1368">
      <x:c r="A1368" s="26" t="str">
        <x:v>PUBMED-20414174</x:v>
      </x:c>
      <x:c r="B1368" s="26" t="n">
        <x:v>2010</x:v>
      </x:c>
      <x:c r="C1368" s="26" t="str">
        <x:v>20414174</x:v>
      </x:c>
      <x:c r="D1368" s="28" t="str">
        <x:v>Assessing effects of treatment with lisdexamfetamine dimesylate for pediatric ADHD using a parental survey.</x:v>
      </x:c>
      <x:c r="E1368" s="28" t="str">
        <x:v>Primary/contextual journal article</x:v>
      </x:c>
      <x:c r="F1368" s="28" t="str">
        <x:v>Development &amp; presentation; Recognition &amp; diagnosis; Family &amp; education; Social &amp; structural; Treatment &amp; support; Life outcomes &amp; lived experience</x:v>
      </x:c>
      <x:c r="G1368" s="28" t="str">
        <x:v>Childhood; Adulthood</x:v>
      </x:c>
      <x:c r="H1368" s="28" t="str">
        <x:v>Later specialized</x:v>
      </x:c>
      <x:c r="I1368" s="28" t="str">
        <x:v>Direct or strongly ADHD-related record retained for later screening; typically narrower treatment, biomarker, mechanistic, or single-comorbidity focus.</x:v>
      </x:c>
      <x:c r="J1368" s="38" t="e">
        <x:f>HYPERLINK("https://pubmed.ncbi.nlm.nih.gov/"&amp;C1368&amp;"/","Open PubMed")</x:f>
        <x:v>HYPERLINK is not implemented. linkLocation=https://pubmed.ncbi.nlm.nih.gov/20414174/, friendlyName=Open PubMed</x:v>
      </x:c>
    </x:row>
    <x:row r="1369">
      <x:c r="A1369" s="26" t="str">
        <x:v>PUBMED-20410711</x:v>
      </x:c>
      <x:c r="B1369" s="26" t="n">
        <x:v>2010</x:v>
      </x:c>
      <x:c r="C1369" s="26" t="str">
        <x:v>20410711</x:v>
      </x:c>
      <x:c r="D1369" s="28" t="str">
        <x:v>Sex and age differences in attention-deficit/hyperactivity disorder symptoms and diagnoses: implications for DSM-V and ICD-11.</x:v>
      </x:c>
      <x:c r="E1369" s="28" t="str">
        <x:v>Primary study - cohort</x:v>
      </x:c>
      <x:c r="F1369" s="28" t="str">
        <x:v>Development &amp; presentation; Recognition &amp; diagnosis; Social &amp; structural; Environmental &amp; lifestyle; Historical &amp; contemporary context</x:v>
      </x:c>
      <x:c r="G1369" s="28" t="str">
        <x:v>Childhood; Adolescence; Adulthood</x:v>
      </x:c>
      <x:c r="H1369" s="28" t="str">
        <x:v>Batch 1 core</x:v>
      </x:c>
      <x:c r="I1369" s="28" t="str">
        <x:v>Direct ADHD primary study on diagnosis, family/education, structural conditions, lived experience/outcomes, or environment/lifestyle.</x:v>
      </x:c>
      <x:c r="J1369" s="38" t="e">
        <x:f>HYPERLINK("https://pubmed.ncbi.nlm.nih.gov/"&amp;C1369&amp;"/","Open PubMed")</x:f>
        <x:v>HYPERLINK is not implemented. linkLocation=https://pubmed.ncbi.nlm.nih.gov/20410711/, friendlyName=Open PubMed</x:v>
      </x:c>
    </x:row>
    <x:row r="1370">
      <x:c r="A1370" s="26" t="str">
        <x:v>PUBMED-20410707</x:v>
      </x:c>
      <x:c r="B1370" s="26" t="n">
        <x:v>2010</x:v>
      </x:c>
      <x:c r="C1370" s="26" t="str">
        <x:v>20410707</x:v>
      </x:c>
      <x:c r="D1370" s="28" t="str">
        <x:v>Prefrontal cortex: disorders and development.</x:v>
      </x:c>
      <x:c r="E1370" s="28" t="str">
        <x:v>Primary/contextual journal article</x:v>
      </x:c>
      <x:c r="F1370" s="28" t="str">
        <x:v>Development &amp; presentation; Social &amp; structural</x:v>
      </x:c>
      <x:c r="G1370" s="28" t="str">
        <x:v>Childhood; Adolescence</x:v>
      </x:c>
      <x:c r="H1370" s="28" t="str">
        <x:v>Exclude/incidental</x:v>
      </x:c>
      <x:c r="I1370" s="28" t="str">
        <x:v>ADHD appears peripheral or insufficiently aligned with the requested corpus scope based on accessible metadata/abstract.</x:v>
      </x:c>
      <x:c r="J1370" s="38" t="e">
        <x:f>HYPERLINK("https://pubmed.ncbi.nlm.nih.gov/"&amp;C1370&amp;"/","Open PubMed")</x:f>
        <x:v>HYPERLINK is not implemented. linkLocation=https://pubmed.ncbi.nlm.nih.gov/20410707/, friendlyName=Open PubMed</x:v>
      </x:c>
    </x:row>
    <x:row r="1371">
      <x:c r="A1371" s="26" t="str">
        <x:v>PUBMED-20399448</x:v>
      </x:c>
      <x:c r="B1371" s="26" t="n">
        <x:v>2010</x:v>
      </x:c>
      <x:c r="C1371" s="26" t="str">
        <x:v>20399448</x:v>
      </x:c>
      <x:c r="D1371" s="28" t="str">
        <x:v>Impaired information processing speed and attention allocation in multiple sclerosis patients versus controls: a high-density EEG study.</x:v>
      </x:c>
      <x:c r="E1371" s="28" t="str">
        <x:v>Primary/contextual journal article</x:v>
      </x:c>
      <x:c r="F1371" s="28" t="str">
        <x:v>Development &amp; presentation; Social &amp; structural</x:v>
      </x:c>
      <x:c r="G1371" s="28" t="str">
        <x:v>Adulthood</x:v>
      </x:c>
      <x:c r="H1371" s="28" t="str">
        <x:v>Later specialized</x:v>
      </x:c>
      <x:c r="I1371" s="28" t="str">
        <x:v>Direct or strongly ADHD-related record retained for later screening; typically narrower treatment, biomarker, mechanistic, or single-comorbidity focus.</x:v>
      </x:c>
      <x:c r="J1371" s="38" t="e">
        <x:f>HYPERLINK("https://pubmed.ncbi.nlm.nih.gov/"&amp;C1371&amp;"/","Open PubMed")</x:f>
        <x:v>HYPERLINK is not implemented. linkLocation=https://pubmed.ncbi.nlm.nih.gov/20399448/, friendlyName=Open PubMed</x:v>
      </x:c>
    </x:row>
    <x:row r="1372">
      <x:c r="A1372" s="26" t="str">
        <x:v>PUBMED-20399385</x:v>
      </x:c>
      <x:c r="B1372" s="26" t="n">
        <x:v>2010</x:v>
      </x:c>
      <x:c r="C1372" s="26" t="str">
        <x:v>20399385</x:v>
      </x:c>
      <x:c r="D1372" s="28" t="str">
        <x:v>Epilepsy in children with attention-deficit/hyperactivity disorder.</x:v>
      </x:c>
      <x:c r="E1372" s="28" t="str">
        <x:v>Primary study - cohort</x:v>
      </x:c>
      <x:c r="F1372" s="28" t="str">
        <x:v>Development &amp; presentation; Recognition &amp; diagnosis; Family &amp; education; Social &amp; structural; Treatment &amp; support</x:v>
      </x:c>
      <x:c r="G1372" s="28" t="str">
        <x:v>Childhood; Adolescence; Adulthood</x:v>
      </x:c>
      <x:c r="H1372" s="28" t="str">
        <x:v>Later specialized</x:v>
      </x:c>
      <x:c r="I1372" s="28" t="str">
        <x:v>Direct or strongly ADHD-related record retained for later screening; typically narrower treatment, biomarker, mechanistic, or single-comorbidity focus.</x:v>
      </x:c>
      <x:c r="J1372" s="38" t="e">
        <x:f>HYPERLINK("https://pubmed.ncbi.nlm.nih.gov/"&amp;C1372&amp;"/","Open PubMed")</x:f>
        <x:v>HYPERLINK is not implemented. linkLocation=https://pubmed.ncbi.nlm.nih.gov/20399385/, friendlyName=Open PubMed</x:v>
      </x:c>
    </x:row>
    <x:row r="1373">
      <x:c r="A1373" s="26" t="str">
        <x:v>PUBMED-20399338</x:v>
      </x:c>
      <x:c r="B1373" s="26" t="n">
        <x:v>2010</x:v>
      </x:c>
      <x:c r="C1373" s="26" t="str">
        <x:v>20399338</x:v>
      </x:c>
      <x:c r="D1373" s="28" t="str">
        <x:v>Temperament and character dimensions associated with clinical characteristics and treatment outcome in attention-deficit/hyperactivity disorder boys.</x:v>
      </x:c>
      <x:c r="E1373" s="28" t="str">
        <x:v>Primary/contextual journal article</x:v>
      </x:c>
      <x:c r="F1373" s="28" t="str">
        <x:v>Development &amp; presentation; Recognition &amp; diagnosis; Social &amp; structural; Treatment &amp; support; Life outcomes &amp; lived experience</x:v>
      </x:c>
      <x:c r="G1373" s="28" t="str">
        <x:v>Childhood; Adolescence</x:v>
      </x:c>
      <x:c r="H1373" s="28" t="str">
        <x:v>Later specialized</x:v>
      </x:c>
      <x:c r="I1373" s="28" t="str">
        <x:v>Direct or strongly ADHD-related record retained for later screening; typically narrower treatment, biomarker, mechanistic, or single-comorbidity focus.</x:v>
      </x:c>
      <x:c r="J1373" s="38" t="e">
        <x:f>HYPERLINK("https://pubmed.ncbi.nlm.nih.gov/"&amp;C1373&amp;"/","Open PubMed")</x:f>
        <x:v>HYPERLINK is not implemented. linkLocation=https://pubmed.ncbi.nlm.nih.gov/20399338/, friendlyName=Open PubMed</x:v>
      </x:c>
    </x:row>
    <x:row r="1374">
      <x:c r="A1374" s="26" t="str">
        <x:v>PUBMED-20397782</x:v>
      </x:c>
      <x:c r="B1374" s="26" t="n">
        <x:v>2010</x:v>
      </x:c>
      <x:c r="C1374" s="26" t="str">
        <x:v>20397782</x:v>
      </x:c>
      <x:c r="D1374" s="28" t="str">
        <x:v>A brief office-based hazard perception intervention for drivers with ADHD symptoms.</x:v>
      </x:c>
      <x:c r="E1374" s="28" t="str">
        <x:v>Primary study - randomized controlled trial</x:v>
      </x:c>
      <x:c r="F1374" s="28" t="str">
        <x:v>Development &amp; presentation; Family &amp; education; Social &amp; structural; Life outcomes &amp; lived experience</x:v>
      </x:c>
      <x:c r="G1374" s="28" t="str">
        <x:v>Adolescence; Adulthood</x:v>
      </x:c>
      <x:c r="H1374" s="28" t="str">
        <x:v>Later specialized</x:v>
      </x:c>
      <x:c r="I1374" s="28" t="str">
        <x:v>Direct or strongly ADHD-related record retained for later screening; typically narrower treatment, biomarker, mechanistic, or single-comorbidity focus.</x:v>
      </x:c>
      <x:c r="J1374" s="38" t="e">
        <x:f>HYPERLINK("https://pubmed.ncbi.nlm.nih.gov/"&amp;C1374&amp;"/","Open PubMed")</x:f>
        <x:v>HYPERLINK is not implemented. linkLocation=https://pubmed.ncbi.nlm.nih.gov/20397782/, friendlyName=Open PubMed</x:v>
      </x:c>
    </x:row>
    <x:row r="1375">
      <x:c r="A1375" s="26" t="str">
        <x:v>PUBMED-20395649</x:v>
      </x:c>
      <x:c r="B1375" s="26" t="n">
        <x:v>2010</x:v>
      </x:c>
      <x:c r="C1375" s="26" t="str">
        <x:v>20395649</x:v>
      </x:c>
      <x:c r="D1375" s="28" t="str">
        <x:v>The impact of an ADHD co-morbidity on the diagnosis of FASD.</x:v>
      </x:c>
      <x:c r="E1375" s="28" t="str">
        <x:v>Primary/contextual journal article</x:v>
      </x:c>
      <x:c r="F1375" s="28" t="str">
        <x:v>Development &amp; presentation; Recognition &amp; diagnosis; Family &amp; education; Social &amp; structural; Environmental &amp; lifestyle; Treatment &amp; support; Life outcomes &amp; lived experience</x:v>
      </x:c>
      <x:c r="G1375" s="28" t="str">
        <x:v>Childhood; Adolescence</x:v>
      </x:c>
      <x:c r="H1375" s="28" t="str">
        <x:v>Later specialized</x:v>
      </x:c>
      <x:c r="I1375" s="28" t="str">
        <x:v>Direct or strongly ADHD-related record retained for later screening; typically narrower treatment, biomarker, mechanistic, or single-comorbidity focus.</x:v>
      </x:c>
      <x:c r="J1375" s="38" t="e">
        <x:f>HYPERLINK("https://pubmed.ncbi.nlm.nih.gov/"&amp;C1375&amp;"/","Open PubMed")</x:f>
        <x:v>HYPERLINK is not implemented. linkLocation=https://pubmed.ncbi.nlm.nih.gov/20395649/, friendlyName=Open PubMed</x:v>
      </x:c>
    </x:row>
    <x:row r="1376">
      <x:c r="A1376" s="26" t="str">
        <x:v>PUBMED-20390794</x:v>
      </x:c>
      <x:c r="B1376" s="26" t="n">
        <x:v>2010</x:v>
      </x:c>
      <x:c r="C1376" s="26" t="str">
        <x:v>20390794</x:v>
      </x:c>
      <x:c r="D1376" s="28" t="str">
        <x:v>Understanding trait and sources effects in attention deficit hyperactivity disorder and oppositional defiant disorder rating scales: mothers', fathers', and teachers' ratings of children from the Balearic Islands.</x:v>
      </x:c>
      <x:c r="E1376" s="28" t="str">
        <x:v>Primary/contextual journal article</x:v>
      </x:c>
      <x:c r="F1376" s="28" t="str">
        <x:v>Development &amp; presentation; Recognition &amp; diagnosis; Family &amp; education; Social &amp; structural</x:v>
      </x:c>
      <x:c r="G1376" s="28" t="str">
        <x:v>Childhood; Adulthood</x:v>
      </x:c>
      <x:c r="H1376" s="28" t="str">
        <x:v>Later specialized</x:v>
      </x:c>
      <x:c r="I1376" s="28" t="str">
        <x:v>Direct or strongly ADHD-related record retained for later screening; typically narrower treatment, biomarker, mechanistic, or single-comorbidity focus.</x:v>
      </x:c>
      <x:c r="J1376" s="38" t="e">
        <x:f>HYPERLINK("https://pubmed.ncbi.nlm.nih.gov/"&amp;C1376&amp;"/","Open PubMed")</x:f>
        <x:v>HYPERLINK is not implemented. linkLocation=https://pubmed.ncbi.nlm.nih.gov/20390794/, friendlyName=Open PubMed</x:v>
      </x:c>
    </x:row>
    <x:row r="1377">
      <x:c r="A1377" s="26" t="str">
        <x:v>PUBMED-20390613</x:v>
      </x:c>
      <x:c r="B1377" s="26" t="n">
        <x:v>2010</x:v>
      </x:c>
      <x:c r="C1377" s="26" t="str">
        <x:v>20390613</x:v>
      </x:c>
      <x:c r="D1377" s="28" t="str">
        <x:v>The comorbidity of eating disorders and attention-deficit hyperactivity disorder.</x:v>
      </x:c>
      <x:c r="E1377" s="28" t="str">
        <x:v>Primary/contextual journal article</x:v>
      </x:c>
      <x:c r="F1377" s="28" t="str">
        <x:v>Development &amp; presentation; Recognition &amp; diagnosis; Social &amp; structural; Treatment &amp; support; Life outcomes &amp; lived experience</x:v>
      </x:c>
      <x:c r="G1377" s="28" t="str">
        <x:v>Adulthood</x:v>
      </x:c>
      <x:c r="H1377" s="28" t="str">
        <x:v>Later specialized</x:v>
      </x:c>
      <x:c r="I1377" s="28" t="str">
        <x:v>Direct or strongly ADHD-related record retained for later screening; typically narrower treatment, biomarker, mechanistic, or single-comorbidity focus.</x:v>
      </x:c>
      <x:c r="J1377" s="38" t="e">
        <x:f>HYPERLINK("https://pubmed.ncbi.nlm.nih.gov/"&amp;C1377&amp;"/","Open PubMed")</x:f>
        <x:v>HYPERLINK is not implemented. linkLocation=https://pubmed.ncbi.nlm.nih.gov/20390613/, friendlyName=Open PubMed</x:v>
      </x:c>
    </x:row>
    <x:row r="1378">
      <x:c r="A1378" s="26" t="str">
        <x:v>PUBMED-20385372</x:v>
      </x:c>
      <x:c r="B1378" s="26" t="n">
        <x:v>2010</x:v>
      </x:c>
      <x:c r="C1378" s="26" t="str">
        <x:v>20385372</x:v>
      </x:c>
      <x:c r="D1378" s="28" t="str">
        <x:v>Testing the association between smoking in pregnancy and attention-deficit/hyperactivity disorder in a novel design.</x:v>
      </x:c>
      <x:c r="E1378" s="28" t="str">
        <x:v>Primary study - case-control</x:v>
      </x:c>
      <x:c r="F1378" s="28" t="str">
        <x:v>Development &amp; presentation; Environmental &amp; lifestyle; Treatment &amp; support</x:v>
      </x:c>
      <x:c r="G1378" s="28" t="str">
        <x:v>Not specified</x:v>
      </x:c>
      <x:c r="H1378" s="28" t="str">
        <x:v>Later specialized</x:v>
      </x:c>
      <x:c r="I1378" s="28" t="str">
        <x:v>Direct or strongly ADHD-related record retained for later screening; typically narrower treatment, biomarker, mechanistic, or single-comorbidity focus.</x:v>
      </x:c>
      <x:c r="J1378" s="38" t="e">
        <x:f>HYPERLINK("https://pubmed.ncbi.nlm.nih.gov/"&amp;C1378&amp;"/","Open PubMed")</x:f>
        <x:v>HYPERLINK is not implemented. linkLocation=https://pubmed.ncbi.nlm.nih.gov/20385372/, friendlyName=Open PubMed</x:v>
      </x:c>
    </x:row>
    <x:row r="1379">
      <x:c r="A1379" s="26" t="str">
        <x:v>PUBMED-20380783</x:v>
      </x:c>
      <x:c r="B1379" s="26" t="n">
        <x:v>2010</x:v>
      </x:c>
      <x:c r="C1379" s="26" t="str">
        <x:v>20380783</x:v>
      </x:c>
      <x:c r="D1379" s="28" t="str">
        <x:v>Predictability of oppositional defiant disorder and symptom dimensions in children and adolescents with ADHD combined type.</x:v>
      </x:c>
      <x:c r="E1379" s="28" t="str">
        <x:v>Primary/contextual journal article</x:v>
      </x:c>
      <x:c r="F1379" s="28" t="str">
        <x:v>Development &amp; presentation; Recognition &amp; diagnosis; Family &amp; education; Social &amp; structural</x:v>
      </x:c>
      <x:c r="G1379" s="28" t="str">
        <x:v>Childhood; Adolescence</x:v>
      </x:c>
      <x:c r="H1379" s="28" t="str">
        <x:v>Later specialized</x:v>
      </x:c>
      <x:c r="I1379" s="28" t="str">
        <x:v>Direct or strongly ADHD-related record retained for later screening; typically narrower treatment, biomarker, mechanistic, or single-comorbidity focus.</x:v>
      </x:c>
      <x:c r="J1379" s="38" t="e">
        <x:f>HYPERLINK("https://pubmed.ncbi.nlm.nih.gov/"&amp;C1379&amp;"/","Open PubMed")</x:f>
        <x:v>HYPERLINK is not implemented. linkLocation=https://pubmed.ncbi.nlm.nih.gov/20380783/, friendlyName=Open PubMed</x:v>
      </x:c>
    </x:row>
    <x:row r="1380">
      <x:c r="A1380" s="26" t="str">
        <x:v>PUBMED-20374288</x:v>
      </x:c>
      <x:c r="B1380" s="26" t="n">
        <x:v>2010</x:v>
      </x:c>
      <x:c r="C1380" s="26" t="str">
        <x:v>20374288</x:v>
      </x:c>
      <x:c r="D1380" s="28" t="str">
        <x:v>Diffusion tensor imaging provides new clues in adults with ADHD (Commentary on Konrad et al.).</x:v>
      </x:c>
      <x:c r="E1380" s="28" t="str">
        <x:v>Contextual - editorial/comment</x:v>
      </x:c>
      <x:c r="F1380" s="28" t="str">
        <x:v>Development &amp; presentation; Social &amp; structural</x:v>
      </x:c>
      <x:c r="G1380" s="28" t="str">
        <x:v>Adulthood</x:v>
      </x:c>
      <x:c r="H1380" s="28" t="str">
        <x:v>Later specialized</x:v>
      </x:c>
      <x:c r="I1380" s="28" t="str">
        <x:v>Direct or strongly ADHD-related record retained for later screening; typically narrower treatment, biomarker, mechanistic, or single-comorbidity focus.</x:v>
      </x:c>
      <x:c r="J1380" s="38" t="e">
        <x:f>HYPERLINK("https://pubmed.ncbi.nlm.nih.gov/"&amp;C1380&amp;"/","Open PubMed")</x:f>
        <x:v>HYPERLINK is not implemented. linkLocation=https://pubmed.ncbi.nlm.nih.gov/20374288/, friendlyName=Open PubMed</x:v>
      </x:c>
    </x:row>
    <x:row r="1381">
      <x:c r="A1381" s="26" t="str">
        <x:v>PUBMED-20368514</x:v>
      </x:c>
      <x:c r="B1381" s="26" t="n">
        <x:v>2010</x:v>
      </x:c>
      <x:c r="C1381" s="26" t="str">
        <x:v>20368514</x:v>
      </x:c>
      <x:c r="D1381" s="28" t="str">
        <x:v>Unraveling the nature of hyperactivity in children with attention-deficit/hyperactivity disorder.</x:v>
      </x:c>
      <x:c r="E1381" s="28" t="str">
        <x:v>Primary study - case-control</x:v>
      </x:c>
      <x:c r="F1381" s="28" t="str">
        <x:v>Development &amp; presentation; Recognition &amp; diagnosis; Family &amp; education; Social &amp; structural; Treatment &amp; support; Life outcomes &amp; lived experience</x:v>
      </x:c>
      <x:c r="G1381" s="28" t="str">
        <x:v>Childhood</x:v>
      </x:c>
      <x:c r="H1381" s="28" t="str">
        <x:v>Later specialized</x:v>
      </x:c>
      <x:c r="I1381" s="28" t="str">
        <x:v>Direct or strongly ADHD-related record retained for later screening; typically narrower treatment, biomarker, mechanistic, or single-comorbidity focus.</x:v>
      </x:c>
      <x:c r="J1381" s="38" t="e">
        <x:f>HYPERLINK("https://pubmed.ncbi.nlm.nih.gov/"&amp;C1381&amp;"/","Open PubMed")</x:f>
        <x:v>HYPERLINK is not implemented. linkLocation=https://pubmed.ncbi.nlm.nih.gov/20368514/, friendlyName=Open PubMed</x:v>
      </x:c>
    </x:row>
    <x:row r="1382">
      <x:c r="A1382" s="26" t="str">
        <x:v>PUBMED-20367210</x:v>
      </x:c>
      <x:c r="B1382" s="26" t="n">
        <x:v>2010</x:v>
      </x:c>
      <x:c r="C1382" s="26" t="str">
        <x:v>20367210</x:v>
      </x:c>
      <x:c r="D1382" s="28" t="str">
        <x:v>Attention-deficit/hyperactivity disorder and the dopaminergic hypotheses.</x:v>
      </x:c>
      <x:c r="E1382" s="28" t="str">
        <x:v>Evidence synthesis - review</x:v>
      </x:c>
      <x:c r="F1382" s="28" t="str">
        <x:v>Development &amp; presentation; Recognition &amp; diagnosis; Family &amp; education; Social &amp; structural; Environmental &amp; lifestyle</x:v>
      </x:c>
      <x:c r="G1382" s="28" t="str">
        <x:v>Childhood</x:v>
      </x:c>
      <x:c r="H1382" s="28" t="str">
        <x:v>Later specialized</x:v>
      </x:c>
      <x:c r="I1382" s="28" t="str">
        <x:v>Direct or strongly ADHD-related record retained for later screening; typically narrower treatment, biomarker, mechanistic, or single-comorbidity focus.</x:v>
      </x:c>
      <x:c r="J1382" s="38" t="e">
        <x:f>HYPERLINK("https://pubmed.ncbi.nlm.nih.gov/"&amp;C1382&amp;"/","Open PubMed")</x:f>
        <x:v>HYPERLINK is not implemented. linkLocation=https://pubmed.ncbi.nlm.nih.gov/20367210/, friendlyName=Open PubMed</x:v>
      </x:c>
    </x:row>
    <x:row r="1383">
      <x:c r="A1383" s="26" t="str">
        <x:v>PUBMED-20367201</x:v>
      </x:c>
      <x:c r="B1383" s="26" t="n">
        <x:v>2010</x:v>
      </x:c>
      <x:c r="C1383" s="26" t="str">
        <x:v>20367201</x:v>
      </x:c>
      <x:c r="D1383" s="28" t="str">
        <x:v>Etiological pathways for developmental coordination disorder and attention-deficit/hyperactivity disorder: shared or discrete?</x:v>
      </x:c>
      <x:c r="E1383" s="28" t="str">
        <x:v>Contextual - editorial/comment</x:v>
      </x:c>
      <x:c r="F1383" s="28" t="str">
        <x:v>Development &amp; presentation; Social &amp; structural</x:v>
      </x:c>
      <x:c r="G1383" s="28" t="str">
        <x:v>Not specified</x:v>
      </x:c>
      <x:c r="H1383" s="28" t="str">
        <x:v>Later specialized</x:v>
      </x:c>
      <x:c r="I1383" s="28" t="str">
        <x:v>Direct or strongly ADHD-related record retained for later screening; typically narrower treatment, biomarker, mechanistic, or single-comorbidity focus.</x:v>
      </x:c>
      <x:c r="J1383" s="38" t="e">
        <x:f>HYPERLINK("https://pubmed.ncbi.nlm.nih.gov/"&amp;C1383&amp;"/","Open PubMed")</x:f>
        <x:v>HYPERLINK is not implemented. linkLocation=https://pubmed.ncbi.nlm.nih.gov/20367201/, friendlyName=Open PubMed</x:v>
      </x:c>
    </x:row>
    <x:row r="1384">
      <x:c r="A1384" s="26" t="str">
        <x:v>PUBMED-20363666</x:v>
      </x:c>
      <x:c r="B1384" s="26" t="n">
        <x:v>2010</x:v>
      </x:c>
      <x:c r="C1384" s="26" t="str">
        <x:v>20363666</x:v>
      </x:c>
      <x:c r="D1384" s="28" t="str">
        <x:v>Alterations in theta activity associated with novelty and routinization processing in ADHD.</x:v>
      </x:c>
      <x:c r="E1384" s="28" t="str">
        <x:v>Primary/contextual journal article</x:v>
      </x:c>
      <x:c r="F1384" s="28" t="str">
        <x:v>Development &amp; presentation; Social &amp; structural; Treatment &amp; support</x:v>
      </x:c>
      <x:c r="G1384" s="28" t="str">
        <x:v>Childhood; Adolescence</x:v>
      </x:c>
      <x:c r="H1384" s="28" t="str">
        <x:v>Later specialized</x:v>
      </x:c>
      <x:c r="I1384" s="28" t="str">
        <x:v>Direct or strongly ADHD-related record retained for later screening; typically narrower treatment, biomarker, mechanistic, or single-comorbidity focus.</x:v>
      </x:c>
      <x:c r="J1384" s="38" t="e">
        <x:f>HYPERLINK("https://pubmed.ncbi.nlm.nih.gov/"&amp;C1384&amp;"/","Open PubMed")</x:f>
        <x:v>HYPERLINK is not implemented. linkLocation=https://pubmed.ncbi.nlm.nih.gov/20363666/, friendlyName=Open PubMed</x:v>
      </x:c>
    </x:row>
    <x:row r="1385">
      <x:c r="A1385" s="26" t="str">
        <x:v>PUBMED-20363098</x:v>
      </x:c>
      <x:c r="B1385" s="26" t="n">
        <x:v>2010</x:v>
      </x:c>
      <x:c r="C1385" s="26" t="str">
        <x:v>20363098</x:v>
      </x:c>
      <x:c r="D1385" s="28" t="str">
        <x:v>[Restless legs syndrome in children and adolescents].</x:v>
      </x:c>
      <x:c r="E1385" s="28" t="str">
        <x:v>Evidence synthesis - review</x:v>
      </x:c>
      <x:c r="F1385" s="28" t="str">
        <x:v>Development &amp; presentation; Recognition &amp; diagnosis; Social &amp; structural; Environmental &amp; lifestyle; Treatment &amp; support; Life outcomes &amp; lived experience; Historical &amp; contemporary context</x:v>
      </x:c>
      <x:c r="G1385" s="28" t="str">
        <x:v>Childhood; Adolescence; Adulthood</x:v>
      </x:c>
      <x:c r="H1385" s="28" t="str">
        <x:v>Later specialized</x:v>
      </x:c>
      <x:c r="I1385" s="28" t="str">
        <x:v>Direct or strongly ADHD-related record retained for later screening; typically narrower treatment, biomarker, mechanistic, or single-comorbidity focus.</x:v>
      </x:c>
      <x:c r="J1385" s="38" t="e">
        <x:f>HYPERLINK("https://pubmed.ncbi.nlm.nih.gov/"&amp;C1385&amp;"/","Open PubMed")</x:f>
        <x:v>HYPERLINK is not implemented. linkLocation=https://pubmed.ncbi.nlm.nih.gov/20363098/, friendlyName=Open PubMed</x:v>
      </x:c>
    </x:row>
    <x:row r="1386">
      <x:c r="A1386" s="26" t="str">
        <x:v>PUBMED-20360322</x:v>
      </x:c>
      <x:c r="B1386" s="26" t="n">
        <x:v>2010</x:v>
      </x:c>
      <x:c r="C1386" s="26" t="str">
        <x:v>20360322</x:v>
      </x:c>
      <x:c r="D1386" s="28" t="str">
        <x:v>The shape of things to come in attention deficit hyperactivity disorder.</x:v>
      </x:c>
      <x:c r="E1386" s="28" t="str">
        <x:v>Contextual - editorial/comment</x:v>
      </x:c>
      <x:c r="F1386" s="28" t="str">
        <x:v>Development &amp; presentation; Recognition &amp; diagnosis; Treatment &amp; support</x:v>
      </x:c>
      <x:c r="G1386" s="28" t="str">
        <x:v>Not specified</x:v>
      </x:c>
      <x:c r="H1386" s="28" t="str">
        <x:v>Later specialized</x:v>
      </x:c>
      <x:c r="I1386" s="28" t="str">
        <x:v>Direct or strongly ADHD-related record retained for later screening; typically narrower treatment, biomarker, mechanistic, or single-comorbidity focus.</x:v>
      </x:c>
      <x:c r="J1386" s="38" t="e">
        <x:f>HYPERLINK("https://pubmed.ncbi.nlm.nih.gov/"&amp;C1386&amp;"/","Open PubMed")</x:f>
        <x:v>HYPERLINK is not implemented. linkLocation=https://pubmed.ncbi.nlm.nih.gov/20360322/, friendlyName=Open PubMed</x:v>
      </x:c>
    </x:row>
    <x:row r="1387">
      <x:c r="A1387" s="26" t="str">
        <x:v>PUBMED-20359271</x:v>
      </x:c>
      <x:c r="B1387" s="26" t="n">
        <x:v>2010</x:v>
      </x:c>
      <x:c r="C1387" s="26" t="str">
        <x:v>20359271</x:v>
      </x:c>
      <x:c r="D1387" s="28" t="str">
        <x:v>Acetyl-L-carnitine. Monograph.</x:v>
      </x:c>
      <x:c r="E1387" s="28" t="str">
        <x:v>Evidence synthesis - review</x:v>
      </x:c>
      <x:c r="F1387" s="28" t="str">
        <x:v>Development &amp; presentation; Environmental &amp; lifestyle; Treatment &amp; support</x:v>
      </x:c>
      <x:c r="G1387" s="28" t="str">
        <x:v>Not specified</x:v>
      </x:c>
      <x:c r="H1387" s="28" t="str">
        <x:v>Exclude/incidental</x:v>
      </x:c>
      <x:c r="I1387" s="28" t="str">
        <x:v>ADHD appears peripheral or insufficiently aligned with the requested corpus scope based on accessible metadata/abstract.</x:v>
      </x:c>
      <x:c r="J1387" s="38" t="e">
        <x:f>HYPERLINK("https://pubmed.ncbi.nlm.nih.gov/"&amp;C1387&amp;"/","Open PubMed")</x:f>
        <x:v>HYPERLINK is not implemented. linkLocation=https://pubmed.ncbi.nlm.nih.gov/20359271/, friendlyName=Open PubMed</x:v>
      </x:c>
    </x:row>
    <x:row r="1388">
      <x:c r="A1388" s="26" t="str">
        <x:v>PUBMED-20345958</x:v>
      </x:c>
      <x:c r="B1388" s="26" t="n">
        <x:v>2010</x:v>
      </x:c>
      <x:c r="C1388" s="26" t="str">
        <x:v>20345958</x:v>
      </x:c>
      <x:c r="D1388" s="28" t="str">
        <x:v>Is motor dysfunction core to autism spectrum disorder?</x:v>
      </x:c>
      <x:c r="E1388" s="28" t="str">
        <x:v>Contextual - editorial/comment</x:v>
      </x:c>
      <x:c r="F1388" s="28" t="str">
        <x:v>Development &amp; presentation; Life outcomes &amp; lived experience</x:v>
      </x:c>
      <x:c r="G1388" s="28" t="str">
        <x:v>Childhood</x:v>
      </x:c>
      <x:c r="H1388" s="28" t="str">
        <x:v>Exclude/incidental</x:v>
      </x:c>
      <x:c r="I1388" s="28" t="str">
        <x:v>ADHD appears peripheral or insufficiently aligned with the requested corpus scope based on accessible metadata/abstract.</x:v>
      </x:c>
      <x:c r="J1388" s="38" t="e">
        <x:f>HYPERLINK("https://pubmed.ncbi.nlm.nih.gov/"&amp;C1388&amp;"/","Open PubMed")</x:f>
        <x:v>HYPERLINK is not implemented. linkLocation=https://pubmed.ncbi.nlm.nih.gov/20345958/, friendlyName=Open PubMed</x:v>
      </x:c>
    </x:row>
    <x:row r="1389">
      <x:c r="A1389" s="26" t="str">
        <x:v>PUBMED-20339912</x:v>
      </x:c>
      <x:c r="B1389" s="26" t="n">
        <x:v>2010</x:v>
      </x:c>
      <x:c r="C1389" s="26" t="str">
        <x:v>20339912</x:v>
      </x:c>
      <x:c r="D1389" s="28" t="str">
        <x:v>Parental influence on children with attention-deficit/hyperactivity disorder: I. Relationships between parent behaviors and child peer status.</x:v>
      </x:c>
      <x:c r="E1389" s="28" t="str">
        <x:v>Primary study - randomized controlled trial</x:v>
      </x:c>
      <x:c r="F1389" s="28" t="str">
        <x:v>Development &amp; presentation; Family &amp; education; Social &amp; structural; Treatment &amp; support; Life outcomes &amp; lived experience</x:v>
      </x:c>
      <x:c r="G1389" s="28" t="str">
        <x:v>Childhood</x:v>
      </x:c>
      <x:c r="H1389" s="28" t="str">
        <x:v>Later specialized</x:v>
      </x:c>
      <x:c r="I1389" s="28" t="str">
        <x:v>Direct or strongly ADHD-related record retained for later screening; typically narrower treatment, biomarker, mechanistic, or single-comorbidity focus.</x:v>
      </x:c>
      <x:c r="J1389" s="38" t="e">
        <x:f>HYPERLINK("https://pubmed.ncbi.nlm.nih.gov/"&amp;C1389&amp;"/","Open PubMed")</x:f>
        <x:v>HYPERLINK is not implemented. linkLocation=https://pubmed.ncbi.nlm.nih.gov/20339912/, friendlyName=Open PubMed</x:v>
      </x:c>
    </x:row>
    <x:row r="1390">
      <x:c r="A1390" s="26" t="str">
        <x:v>PUBMED-20339911</x:v>
      </x:c>
      <x:c r="B1390" s="26" t="n">
        <x:v>2010</x:v>
      </x:c>
      <x:c r="C1390" s="26" t="str">
        <x:v>20339911</x:v>
      </x:c>
      <x:c r="D1390" s="28" t="str">
        <x:v>Parental influence on children with attention-deficit/hyperactivity disorder: II. Results of a pilot intervention training parents as friendship coaches for children.</x:v>
      </x:c>
      <x:c r="E1390" s="28" t="str">
        <x:v>Primary study - randomized controlled trial</x:v>
      </x:c>
      <x:c r="F1390" s="28" t="str">
        <x:v>Development &amp; presentation; Family &amp; education; Social &amp; structural; Treatment &amp; support; Life outcomes &amp; lived experience</x:v>
      </x:c>
      <x:c r="G1390" s="28" t="str">
        <x:v>Childhood</x:v>
      </x:c>
      <x:c r="H1390" s="28" t="str">
        <x:v>Later specialized</x:v>
      </x:c>
      <x:c r="I1390" s="28" t="str">
        <x:v>Direct or strongly ADHD-related record retained for later screening; typically narrower treatment, biomarker, mechanistic, or single-comorbidity focus.</x:v>
      </x:c>
      <x:c r="J1390" s="38" t="e">
        <x:f>HYPERLINK("https://pubmed.ncbi.nlm.nih.gov/"&amp;C1390&amp;"/","Open PubMed")</x:f>
        <x:v>HYPERLINK is not implemented. linkLocation=https://pubmed.ncbi.nlm.nih.gov/20339911/, friendlyName=Open PubMed</x:v>
      </x:c>
    </x:row>
    <x:row r="1391">
      <x:c r="A1391" s="26" t="str">
        <x:v>PUBMED-20339664</x:v>
      </x:c>
      <x:c r="B1391" s="26" t="n">
        <x:v>2010</x:v>
      </x:c>
      <x:c r="C1391" s="26" t="str">
        <x:v>20339664</x:v>
      </x:c>
      <x:c r="D1391" s="28" t="str">
        <x:v>Attention deficit and hyperactivity disorder in people with epilepsy: diagnosis and implications to the treatment.</x:v>
      </x:c>
      <x:c r="E1391" s="28" t="str">
        <x:v>Evidence synthesis - review</x:v>
      </x:c>
      <x:c r="F1391" s="28" t="str">
        <x:v>Development &amp; presentation; Recognition &amp; diagnosis; Social &amp; structural; Treatment &amp; support</x:v>
      </x:c>
      <x:c r="G1391" s="28" t="str">
        <x:v>Not specified</x:v>
      </x:c>
      <x:c r="H1391" s="28" t="str">
        <x:v>Later specialized</x:v>
      </x:c>
      <x:c r="I1391" s="28" t="str">
        <x:v>Direct or strongly ADHD-related record retained for later screening; typically narrower treatment, biomarker, mechanistic, or single-comorbidity focus.</x:v>
      </x:c>
      <x:c r="J1391" s="38" t="e">
        <x:f>HYPERLINK("https://pubmed.ncbi.nlm.nih.gov/"&amp;C1391&amp;"/","Open PubMed")</x:f>
        <x:v>HYPERLINK is not implemented. linkLocation=https://pubmed.ncbi.nlm.nih.gov/20339664/, friendlyName=Open PubMed</x:v>
      </x:c>
    </x:row>
    <x:row r="1392">
      <x:c r="A1392" s="26" t="str">
        <x:v>PUBMED-20336653</x:v>
      </x:c>
      <x:c r="B1392" s="26" t="n">
        <x:v>2010</x:v>
      </x:c>
      <x:c r="C1392" s="26" t="str">
        <x:v>20336653</x:v>
      </x:c>
      <x:c r="D1392" s="28" t="str">
        <x:v>Enhanced neural activity in frontal and cerebellar circuits after cognitive training in children with attention-deficit/hyperactivity disorder.</x:v>
      </x:c>
      <x:c r="E1392" s="28" t="str">
        <x:v>Primary/contextual journal article</x:v>
      </x:c>
      <x:c r="F1392" s="28" t="str">
        <x:v>Development &amp; presentation; Social &amp; structural; Treatment &amp; support</x:v>
      </x:c>
      <x:c r="G1392" s="28" t="str">
        <x:v>Childhood</x:v>
      </x:c>
      <x:c r="H1392" s="28" t="str">
        <x:v>Later specialized</x:v>
      </x:c>
      <x:c r="I1392" s="28" t="str">
        <x:v>Direct or strongly ADHD-related record retained for later screening; typically narrower treatment, biomarker, mechanistic, or single-comorbidity focus.</x:v>
      </x:c>
      <x:c r="J1392" s="38" t="e">
        <x:f>HYPERLINK("https://pubmed.ncbi.nlm.nih.gov/"&amp;C1392&amp;"/","Open PubMed")</x:f>
        <x:v>HYPERLINK is not implemented. linkLocation=https://pubmed.ncbi.nlm.nih.gov/20336653/, friendlyName=Open PubMed</x:v>
      </x:c>
    </x:row>
    <x:row r="1393">
      <x:c r="A1393" s="26" t="str">
        <x:v>PUBMED-20309839</x:v>
      </x:c>
      <x:c r="B1393" s="26" t="n">
        <x:v>2010</x:v>
      </x:c>
      <x:c r="C1393" s="26" t="str">
        <x:v>20309839</x:v>
      </x:c>
      <x:c r="D1393" s="28" t="str">
        <x:v>[Nutrition and attention-deficit/hyperactivity disorder].</x:v>
      </x:c>
      <x:c r="E1393" s="28" t="str">
        <x:v>Contextual - editorial/comment</x:v>
      </x:c>
      <x:c r="F1393" s="28" t="str">
        <x:v>Development &amp; presentation; Environmental &amp; lifestyle</x:v>
      </x:c>
      <x:c r="G1393" s="28" t="str">
        <x:v>Childhood</x:v>
      </x:c>
      <x:c r="H1393" s="28" t="str">
        <x:v>Later specialized</x:v>
      </x:c>
      <x:c r="I1393" s="28" t="str">
        <x:v>Direct or strongly ADHD-related record retained for later screening; typically narrower treatment, biomarker, mechanistic, or single-comorbidity focus.</x:v>
      </x:c>
      <x:c r="J1393" s="38" t="e">
        <x:f>HYPERLINK("https://pubmed.ncbi.nlm.nih.gov/"&amp;C1393&amp;"/","Open PubMed")</x:f>
        <x:v>HYPERLINK is not implemented. linkLocation=https://pubmed.ncbi.nlm.nih.gov/20309839/, friendlyName=Open PubMed</x:v>
      </x:c>
    </x:row>
    <x:row r="1394">
      <x:c r="A1394" s="26" t="str">
        <x:v>PUBMED-20309831</x:v>
      </x:c>
      <x:c r="B1394" s="26" t="n">
        <x:v>2010</x:v>
      </x:c>
      <x:c r="C1394" s="26" t="str">
        <x:v>20309831</x:v>
      </x:c>
      <x:c r="D1394" s="28" t="str">
        <x:v>[Usefulness of the Stroop test in attention deficit hyperactivity disorder].</x:v>
      </x:c>
      <x:c r="E1394" s="28" t="str">
        <x:v>Primary study - case-control</x:v>
      </x:c>
      <x:c r="F1394" s="28" t="str">
        <x:v>Development &amp; presentation; Recognition &amp; diagnosis; Social &amp; structural</x:v>
      </x:c>
      <x:c r="G1394" s="28" t="str">
        <x:v>Childhood</x:v>
      </x:c>
      <x:c r="H1394" s="28" t="str">
        <x:v>Later specialized</x:v>
      </x:c>
      <x:c r="I1394" s="28" t="str">
        <x:v>Direct or strongly ADHD-related record retained for later screening; typically narrower treatment, biomarker, mechanistic, or single-comorbidity focus.</x:v>
      </x:c>
      <x:c r="J1394" s="38" t="e">
        <x:f>HYPERLINK("https://pubmed.ncbi.nlm.nih.gov/"&amp;C1394&amp;"/","Open PubMed")</x:f>
        <x:v>HYPERLINK is not implemented. linkLocation=https://pubmed.ncbi.nlm.nih.gov/20309831/, friendlyName=Open PubMed</x:v>
      </x:c>
    </x:row>
    <x:row r="1395">
      <x:c r="A1395" s="26" t="str">
        <x:v>PUBMED-20305304</x:v>
      </x:c>
      <x:c r="B1395" s="26" t="n">
        <x:v>2010</x:v>
      </x:c>
      <x:c r="C1395" s="26" t="str">
        <x:v>20305304</x:v>
      </x:c>
      <x:c r="D1395" s="28" t="str">
        <x:v>[Dopamine D4 receptor hypoxia sensitivity and child psychiatric disorders].</x:v>
      </x:c>
      <x:c r="E1395" s="28" t="str">
        <x:v>Evidence synthesis - review</x:v>
      </x:c>
      <x:c r="F1395" s="28" t="str">
        <x:v>Development &amp; presentation; Social &amp; structural; Environmental &amp; lifestyle; Life outcomes &amp; lived experience</x:v>
      </x:c>
      <x:c r="G1395" s="28" t="str">
        <x:v>Childhood</x:v>
      </x:c>
      <x:c r="H1395" s="28" t="str">
        <x:v>Later specialized</x:v>
      </x:c>
      <x:c r="I1395" s="28" t="str">
        <x:v>Direct or strongly ADHD-related record retained for later screening; typically narrower treatment, biomarker, mechanistic, or single-comorbidity focus.</x:v>
      </x:c>
      <x:c r="J1395" s="38" t="e">
        <x:f>HYPERLINK("https://pubmed.ncbi.nlm.nih.gov/"&amp;C1395&amp;"/","Open PubMed")</x:f>
        <x:v>HYPERLINK is not implemented. linkLocation=https://pubmed.ncbi.nlm.nih.gov/20305304/, friendlyName=Open PubMed</x:v>
      </x:c>
    </x:row>
    <x:row r="1396">
      <x:c r="A1396" s="26" t="str">
        <x:v>PUBMED-20302260</x:v>
      </x:c>
      <x:c r="B1396" s="26" t="n">
        <x:v>2010</x:v>
      </x:c>
      <x:c r="C1396" s="26" t="str">
        <x:v>20302260</x:v>
      </x:c>
      <x:c r="D1396" s="28" t="str">
        <x:v>Clip &amp; save: drug chart. FDA-approved drugs to treat ADHD.</x:v>
      </x:c>
      <x:c r="E1396" s="28" t="str">
        <x:v>Primary/contextual journal article</x:v>
      </x:c>
      <x:c r="F1396" s="28" t="str">
        <x:v>Development &amp; presentation; Treatment &amp; support</x:v>
      </x:c>
      <x:c r="G1396" s="28" t="str">
        <x:v>Not specified</x:v>
      </x:c>
      <x:c r="H1396" s="28" t="str">
        <x:v>Later specialized</x:v>
      </x:c>
      <x:c r="I1396" s="28" t="str">
        <x:v>Direct or strongly ADHD-related record retained for later screening; typically narrower treatment, biomarker, mechanistic, or single-comorbidity focus.</x:v>
      </x:c>
      <x:c r="J1396" s="38" t="e">
        <x:f>HYPERLINK("https://pubmed.ncbi.nlm.nih.gov/"&amp;C1396&amp;"/","Open PubMed")</x:f>
        <x:v>HYPERLINK is not implemented. linkLocation=https://pubmed.ncbi.nlm.nih.gov/20302260/, friendlyName=Open PubMed</x:v>
      </x:c>
    </x:row>
    <x:row r="1397">
      <x:c r="A1397" s="26" t="str">
        <x:v>PUBMED-20235375</x:v>
      </x:c>
      <x:c r="B1397" s="26" t="n">
        <x:v>2010</x:v>
      </x:c>
      <x:c r="C1397" s="26" t="str">
        <x:v>20235375</x:v>
      </x:c>
      <x:c r="D1397" s="28" t="str">
        <x:v>Mental health problems in the workplace. Low treatment rates imperil workers' careers and companies' productivity.</x:v>
      </x:c>
      <x:c r="E1397" s="28" t="str">
        <x:v>Primary/contextual journal article</x:v>
      </x:c>
      <x:c r="F1397" s="28" t="str">
        <x:v>Development &amp; presentation; Recognition &amp; diagnosis; Social &amp; structural; Treatment &amp; support; Life outcomes &amp; lived experience</x:v>
      </x:c>
      <x:c r="G1397" s="28" t="str">
        <x:v>Not specified</x:v>
      </x:c>
      <x:c r="H1397" s="28" t="str">
        <x:v>Exclude/incidental</x:v>
      </x:c>
      <x:c r="I1397" s="28" t="str">
        <x:v>ADHD appears peripheral or insufficiently aligned with the requested corpus scope based on accessible metadata/abstract.</x:v>
      </x:c>
      <x:c r="J1397" s="38" t="e">
        <x:f>HYPERLINK("https://pubmed.ncbi.nlm.nih.gov/"&amp;C1397&amp;"/","Open PubMed")</x:f>
        <x:v>HYPERLINK is not implemented. linkLocation=https://pubmed.ncbi.nlm.nih.gov/20235375/, friendlyName=Open PubMed</x:v>
      </x:c>
    </x:row>
    <x:row r="1398">
      <x:c r="A1398" s="26" t="str">
        <x:v>PUBMED-20232510</x:v>
      </x:c>
      <x:c r="B1398" s="26" t="n">
        <x:v>2010</x:v>
      </x:c>
      <x:c r="C1398" s="26" t="str">
        <x:v>20232510</x:v>
      </x:c>
      <x:c r="D1398" s="28" t="str">
        <x:v>[The health economics of attention deficit hyperactivity disorder in Germany. Part 1: Health care utilization and cost of illness].</x:v>
      </x:c>
      <x:c r="E1398" s="28" t="str">
        <x:v>Evidence synthesis - review</x:v>
      </x:c>
      <x:c r="F1398" s="28" t="str">
        <x:v>Development &amp; presentation; Recognition &amp; diagnosis; Social &amp; structural; Environmental &amp; lifestyle</x:v>
      </x:c>
      <x:c r="G1398" s="28" t="str">
        <x:v>Childhood; Adolescence</x:v>
      </x:c>
      <x:c r="H1398" s="28" t="str">
        <x:v>Later specialized</x:v>
      </x:c>
      <x:c r="I1398" s="28" t="str">
        <x:v>Direct or strongly ADHD-related record retained for later screening; typically narrower treatment, biomarker, mechanistic, or single-comorbidity focus.</x:v>
      </x:c>
      <x:c r="J1398" s="38" t="e">
        <x:f>HYPERLINK("https://pubmed.ncbi.nlm.nih.gov/"&amp;C1398&amp;"/","Open PubMed")</x:f>
        <x:v>HYPERLINK is not implemented. linkLocation=https://pubmed.ncbi.nlm.nih.gov/20232510/, friendlyName=Open PubMed</x:v>
      </x:c>
    </x:row>
    <x:row r="1399">
      <x:c r="A1399" s="26" t="str">
        <x:v>PUBMED-20230115</x:v>
      </x:c>
      <x:c r="B1399" s="26" t="n">
        <x:v>2010</x:v>
      </x:c>
      <x:c r="C1399" s="26" t="str">
        <x:v>20230115</x:v>
      </x:c>
      <x:c r="D1399" s="28" t="str">
        <x:v>To act or not to act, that's the problem: primarily inhibition difficulties in adult ADHD.</x:v>
      </x:c>
      <x:c r="E1399" s="28" t="str">
        <x:v>Primary study - case-control</x:v>
      </x:c>
      <x:c r="F1399" s="28" t="str">
        <x:v>Development &amp; presentation; Recognition &amp; diagnosis; Treatment &amp; support; Life outcomes &amp; lived experience</x:v>
      </x:c>
      <x:c r="G1399" s="28" t="str">
        <x:v>Adolescence; Adulthood</x:v>
      </x:c>
      <x:c r="H1399" s="28" t="str">
        <x:v>Later specialized</x:v>
      </x:c>
      <x:c r="I1399" s="28" t="str">
        <x:v>Direct or strongly ADHD-related record retained for later screening; typically narrower treatment, biomarker, mechanistic, or single-comorbidity focus.</x:v>
      </x:c>
      <x:c r="J1399" s="38" t="e">
        <x:f>HYPERLINK("https://pubmed.ncbi.nlm.nih.gov/"&amp;C1399&amp;"/","Open PubMed")</x:f>
        <x:v>HYPERLINK is not implemented. linkLocation=https://pubmed.ncbi.nlm.nih.gov/20230115/, friendlyName=Open PubMed</x:v>
      </x:c>
    </x:row>
    <x:row r="1400">
      <x:c r="A1400" s="26" t="str">
        <x:v>PUBMED-20219251</x:v>
      </x:c>
      <x:c r="B1400" s="26" t="n">
        <x:v>2010</x:v>
      </x:c>
      <x:c r="C1400" s="26" t="str">
        <x:v>20219251</x:v>
      </x:c>
      <x:c r="D1400" s="28" t="str">
        <x:v>Perceptual/attentional anomalies in schizophrenia: a family study.</x:v>
      </x:c>
      <x:c r="E1400" s="28" t="str">
        <x:v>Primary/contextual journal article</x:v>
      </x:c>
      <x:c r="F1400" s="28" t="str">
        <x:v>Development &amp; presentation; Recognition &amp; diagnosis; Family &amp; education</x:v>
      </x:c>
      <x:c r="G1400" s="28" t="str">
        <x:v>Adulthood</x:v>
      </x:c>
      <x:c r="H1400" s="28" t="str">
        <x:v>Exclude/incidental</x:v>
      </x:c>
      <x:c r="I1400" s="28" t="str">
        <x:v>ADHD appears peripheral or insufficiently aligned with the requested corpus scope based on accessible metadata/abstract.</x:v>
      </x:c>
      <x:c r="J1400" s="38" t="e">
        <x:f>HYPERLINK("https://pubmed.ncbi.nlm.nih.gov/"&amp;C1400&amp;"/","Open PubMed")</x:f>
        <x:v>HYPERLINK is not implemented. linkLocation=https://pubmed.ncbi.nlm.nih.gov/20219251/, friendlyName=Open PubMed</x:v>
      </x:c>
    </x:row>
    <x:row r="1401">
      <x:c r="A1401" s="26" t="str">
        <x:v>PUBMED-20217647</x:v>
      </x:c>
      <x:c r="B1401" s="26" t="n">
        <x:v>2010</x:v>
      </x:c>
      <x:c r="C1401" s="26" t="str">
        <x:v>20217647</x:v>
      </x:c>
      <x:c r="D1401" s="28" t="str">
        <x:v>[Validation of the attention deficit hyperactivity disorder adult assessment scale (EDAH) in a teenage population].</x:v>
      </x:c>
      <x:c r="E1401" s="28" t="str">
        <x:v>Primary/contextual journal article</x:v>
      </x:c>
      <x:c r="F1401" s="28" t="str">
        <x:v>Development &amp; presentation; Recognition &amp; diagnosis; Family &amp; education; Social &amp; structural</x:v>
      </x:c>
      <x:c r="G1401" s="28" t="str">
        <x:v>Childhood; Adolescence; Adulthood</x:v>
      </x:c>
      <x:c r="H1401" s="28" t="str">
        <x:v>Later specialized</x:v>
      </x:c>
      <x:c r="I1401" s="28" t="str">
        <x:v>Direct or strongly ADHD-related record retained for later screening; typically narrower treatment, biomarker, mechanistic, or single-comorbidity focus.</x:v>
      </x:c>
      <x:c r="J1401" s="38" t="e">
        <x:f>HYPERLINK("https://pubmed.ncbi.nlm.nih.gov/"&amp;C1401&amp;"/","Open PubMed")</x:f>
        <x:v>HYPERLINK is not implemented. linkLocation=https://pubmed.ncbi.nlm.nih.gov/20217647/, friendlyName=Open PubMed</x:v>
      </x:c>
    </x:row>
    <x:row r="1402">
      <x:c r="A1402" s="26" t="str">
        <x:v>PUBMED-20213726</x:v>
      </x:c>
      <x:c r="B1402" s="26" t="n">
        <x:v>2010</x:v>
      </x:c>
      <x:c r="C1402" s="26" t="str">
        <x:v>20213726</x:v>
      </x:c>
      <x:c r="D1402" s="28" t="str">
        <x:v>Common variants in the TPH1 and TPH2 regions are not associated with persistent ADHD in a combined sample of 1,636 adult cases and 1,923 controls from four European populations.</x:v>
      </x:c>
      <x:c r="E1402" s="28" t="str">
        <x:v>Evidence synthesis - meta-analysis</x:v>
      </x:c>
      <x:c r="F1402" s="28" t="str">
        <x:v>Development &amp; presentation; Recognition &amp; diagnosis</x:v>
      </x:c>
      <x:c r="G1402" s="28" t="str">
        <x:v>Childhood; Adulthood</x:v>
      </x:c>
      <x:c r="H1402" s="28" t="str">
        <x:v>Later specialized</x:v>
      </x:c>
      <x:c r="I1402" s="28" t="str">
        <x:v>Direct or strongly ADHD-related record retained for later screening; typically narrower treatment, biomarker, mechanistic, or single-comorbidity focus.</x:v>
      </x:c>
      <x:c r="J1402" s="38" t="e">
        <x:f>HYPERLINK("https://pubmed.ncbi.nlm.nih.gov/"&amp;C1402&amp;"/","Open PubMed")</x:f>
        <x:v>HYPERLINK is not implemented. linkLocation=https://pubmed.ncbi.nlm.nih.gov/20213726/, friendlyName=Open PubMed</x:v>
      </x:c>
    </x:row>
    <x:row r="1403">
      <x:c r="A1403" s="26" t="str">
        <x:v>PUBMED-20213230</x:v>
      </x:c>
      <x:c r="B1403" s="26" t="n">
        <x:v>2010</x:v>
      </x:c>
      <x:c r="C1403" s="26" t="str">
        <x:v>20213230</x:v>
      </x:c>
      <x:c r="D1403" s="28" t="str">
        <x:v>Phenotypic and measurement influences on heritability estimates in childhood ADHD.</x:v>
      </x:c>
      <x:c r="E1403" s="28" t="str">
        <x:v>Evidence synthesis - review</x:v>
      </x:c>
      <x:c r="F1403" s="28" t="str">
        <x:v>Development &amp; presentation; Recognition &amp; diagnosis; Family &amp; education; Social &amp; structural; Environmental &amp; lifestyle</x:v>
      </x:c>
      <x:c r="G1403" s="28" t="str">
        <x:v>Childhood; Adolescence; Adulthood</x:v>
      </x:c>
      <x:c r="H1403" s="28" t="str">
        <x:v>Later specialized</x:v>
      </x:c>
      <x:c r="I1403" s="28" t="str">
        <x:v>Direct or strongly ADHD-related record retained for later screening; typically narrower treatment, biomarker, mechanistic, or single-comorbidity focus.</x:v>
      </x:c>
      <x:c r="J1403" s="38" t="e">
        <x:f>HYPERLINK("https://pubmed.ncbi.nlm.nih.gov/"&amp;C1403&amp;"/","Open PubMed")</x:f>
        <x:v>HYPERLINK is not implemented. linkLocation=https://pubmed.ncbi.nlm.nih.gov/20213230/, friendlyName=Open PubMed</x:v>
      </x:c>
    </x:row>
    <x:row r="1404">
      <x:c r="A1404" s="26" t="str">
        <x:v>PUBMED-20212284</x:v>
      </x:c>
      <x:c r="B1404" s="26" t="n">
        <x:v>2010</x:v>
      </x:c>
      <x:c r="C1404" s="26" t="str">
        <x:v>20212284</x:v>
      </x:c>
      <x:c r="D1404" s="28" t="str">
        <x:v>Needle in a haystack: modeling the incidence of sudden cardiac arrest in healthy children.</x:v>
      </x:c>
      <x:c r="E1404" s="28" t="str">
        <x:v>Contextual - editorial/comment</x:v>
      </x:c>
      <x:c r="F1404" s="28" t="str">
        <x:v>Development &amp; presentation; Treatment &amp; support</x:v>
      </x:c>
      <x:c r="G1404" s="28" t="str">
        <x:v>Childhood; Adolescence</x:v>
      </x:c>
      <x:c r="H1404" s="28" t="str">
        <x:v>Exclude/incidental</x:v>
      </x:c>
      <x:c r="I1404" s="28" t="str">
        <x:v>ADHD appears peripheral or insufficiently aligned with the requested corpus scope based on accessible metadata/abstract.</x:v>
      </x:c>
      <x:c r="J1404" s="38" t="e">
        <x:f>HYPERLINK("https://pubmed.ncbi.nlm.nih.gov/"&amp;C1404&amp;"/","Open PubMed")</x:f>
        <x:v>HYPERLINK is not implemented. linkLocation=https://pubmed.ncbi.nlm.nih.gov/20212284/, friendlyName=Open PubMed</x:v>
      </x:c>
    </x:row>
    <x:row r="1405">
      <x:c r="A1405" s="26" t="str">
        <x:v>PUBMED-20206472</x:v>
      </x:c>
      <x:c r="B1405" s="26" t="n">
        <x:v>2010</x:v>
      </x:c>
      <x:c r="C1405" s="26" t="str">
        <x:v>20206472</x:v>
      </x:c>
      <x:c r="D1405" s="28" t="str">
        <x:v>Psychopathology: differences among adults with intellectually disabled, comorbid autism spectrum disorders and epilepsy.</x:v>
      </x:c>
      <x:c r="E1405" s="28" t="str">
        <x:v>Primary/contextual journal article</x:v>
      </x:c>
      <x:c r="F1405" s="28" t="str">
        <x:v>Development &amp; presentation; Recognition &amp; diagnosis; Social &amp; structural</x:v>
      </x:c>
      <x:c r="G1405" s="28" t="str">
        <x:v>Adulthood</x:v>
      </x:c>
      <x:c r="H1405" s="28" t="str">
        <x:v>Exclude/incidental</x:v>
      </x:c>
      <x:c r="I1405" s="28" t="str">
        <x:v>ADHD appears peripheral or insufficiently aligned with the requested corpus scope based on accessible metadata/abstract.</x:v>
      </x:c>
      <x:c r="J1405" s="38" t="e">
        <x:f>HYPERLINK("https://pubmed.ncbi.nlm.nih.gov/"&amp;C1405&amp;"/","Open PubMed")</x:f>
        <x:v>HYPERLINK is not implemented. linkLocation=https://pubmed.ncbi.nlm.nih.gov/20206472/, friendlyName=Open PubMed</x:v>
      </x:c>
    </x:row>
    <x:row r="1406">
      <x:c r="A1406" s="26" t="str">
        <x:v>PUBMED-20200840</x:v>
      </x:c>
      <x:c r="B1406" s="26" t="n">
        <x:v>2010</x:v>
      </x:c>
      <x:c r="C1406" s="26" t="str">
        <x:v>20200840</x:v>
      </x:c>
      <x:c r="D1406" s="28" t="str">
        <x:v>[Neuroimaging in attention deficit hyperactivity disorder].</x:v>
      </x:c>
      <x:c r="E1406" s="28" t="str">
        <x:v>Evidence synthesis - review</x:v>
      </x:c>
      <x:c r="F1406" s="28" t="str">
        <x:v>Development &amp; presentation; Recognition &amp; diagnosis; Social &amp; structural; Treatment &amp; support; Life outcomes &amp; lived experience</x:v>
      </x:c>
      <x:c r="G1406" s="28" t="str">
        <x:v>Not specified</x:v>
      </x:c>
      <x:c r="H1406" s="28" t="str">
        <x:v>Later specialized</x:v>
      </x:c>
      <x:c r="I1406" s="28" t="str">
        <x:v>Direct or strongly ADHD-related record retained for later screening; typically narrower treatment, biomarker, mechanistic, or single-comorbidity focus.</x:v>
      </x:c>
      <x:c r="J1406" s="38" t="e">
        <x:f>HYPERLINK("https://pubmed.ncbi.nlm.nih.gov/"&amp;C1406&amp;"/","Open PubMed")</x:f>
        <x:v>HYPERLINK is not implemented. linkLocation=https://pubmed.ncbi.nlm.nih.gov/20200840/, friendlyName=Open PubMed</x:v>
      </x:c>
    </x:row>
    <x:row r="1407">
      <x:c r="A1407" s="26" t="str">
        <x:v>PUBMED-20199490</x:v>
      </x:c>
      <x:c r="B1407" s="26" t="n">
        <x:v>2010</x:v>
      </x:c>
      <x:c r="C1407" s="26" t="str">
        <x:v>20199490</x:v>
      </x:c>
      <x:c r="D1407" s="28" t="str">
        <x:v>Risk factors predicting onset and persistence of subthreshold expression of bipolar psychopathology among youth from the community.</x:v>
      </x:c>
      <x:c r="E1407" s="28" t="str">
        <x:v>Primary study - cohort</x:v>
      </x:c>
      <x:c r="F1407" s="28" t="str">
        <x:v>Development &amp; presentation; Recognition &amp; diagnosis; Family &amp; education; Social &amp; structural; Life outcomes &amp; lived experience; Historical &amp; contemporary context</x:v>
      </x:c>
      <x:c r="G1407" s="28" t="str">
        <x:v>Adolescence; Adulthood</x:v>
      </x:c>
      <x:c r="H1407" s="28" t="str">
        <x:v>Later specialized</x:v>
      </x:c>
      <x:c r="I1407" s="28" t="str">
        <x:v>Direct or strongly ADHD-related record retained for later screening; typically narrower treatment, biomarker, mechanistic, or single-comorbidity focus.</x:v>
      </x:c>
      <x:c r="J1407" s="38" t="e">
        <x:f>HYPERLINK("https://pubmed.ncbi.nlm.nih.gov/"&amp;C1407&amp;"/","Open PubMed")</x:f>
        <x:v>HYPERLINK is not implemented. linkLocation=https://pubmed.ncbi.nlm.nih.gov/20199490/, friendlyName=Open PubMed</x:v>
      </x:c>
    </x:row>
    <x:row r="1408">
      <x:c r="A1408" s="26" t="str">
        <x:v>PUBMED-20199487</x:v>
      </x:c>
      <x:c r="B1408" s="26" t="n">
        <x:v>2010</x:v>
      </x:c>
      <x:c r="C1408" s="26" t="str">
        <x:v>20199487</x:v>
      </x:c>
      <x:c r="D1408" s="28" t="str">
        <x:v>Objective measurement of motor activity during cognitive performance in adults with attention-deficit/hyperactivity disorder.</x:v>
      </x:c>
      <x:c r="E1408" s="28" t="str">
        <x:v>Primary/contextual journal article</x:v>
      </x:c>
      <x:c r="F1408" s="28" t="str">
        <x:v>Development &amp; presentation; Recognition &amp; diagnosis; Family &amp; education; Social &amp; structural; Treatment &amp; support</x:v>
      </x:c>
      <x:c r="G1408" s="28" t="str">
        <x:v>Childhood; Adulthood</x:v>
      </x:c>
      <x:c r="H1408" s="28" t="str">
        <x:v>Later specialized</x:v>
      </x:c>
      <x:c r="I1408" s="28" t="str">
        <x:v>Direct or strongly ADHD-related record retained for later screening; typically narrower treatment, biomarker, mechanistic, or single-comorbidity focus.</x:v>
      </x:c>
      <x:c r="J1408" s="38" t="e">
        <x:f>HYPERLINK("https://pubmed.ncbi.nlm.nih.gov/"&amp;C1408&amp;"/","Open PubMed")</x:f>
        <x:v>HYPERLINK is not implemented. linkLocation=https://pubmed.ncbi.nlm.nih.gov/20199487/, friendlyName=Open PubMed</x:v>
      </x:c>
    </x:row>
    <x:row r="1409">
      <x:c r="A1409" s="26" t="str">
        <x:v>PUBMED-20195527</x:v>
      </x:c>
      <x:c r="B1409" s="26" t="n">
        <x:v>2010</x:v>
      </x:c>
      <x:c r="C1409" s="26" t="str">
        <x:v>20195527</x:v>
      </x:c>
      <x:c r="D1409" s="28" t="str">
        <x:v>Hotspots of large rare deletions in the human genome.</x:v>
      </x:c>
      <x:c r="E1409" s="28" t="str">
        <x:v>Primary study - cohort</x:v>
      </x:c>
      <x:c r="F1409" s="28" t="str">
        <x:v>Development &amp; presentation; Family &amp; education</x:v>
      </x:c>
      <x:c r="G1409" s="28" t="str">
        <x:v>Childhood; Adulthood</x:v>
      </x:c>
      <x:c r="H1409" s="28" t="str">
        <x:v>Exclude/incidental</x:v>
      </x:c>
      <x:c r="I1409" s="28" t="str">
        <x:v>ADHD appears peripheral or insufficiently aligned with the requested corpus scope based on accessible metadata/abstract.</x:v>
      </x:c>
      <x:c r="J1409" s="38" t="e">
        <x:f>HYPERLINK("https://pubmed.ncbi.nlm.nih.gov/"&amp;C1409&amp;"/","Open PubMed")</x:f>
        <x:v>HYPERLINK is not implemented. linkLocation=https://pubmed.ncbi.nlm.nih.gov/20195527/, friendlyName=Open PubMed</x:v>
      </x:c>
    </x:row>
    <x:row r="1410">
      <x:c r="A1410" s="26" t="str">
        <x:v>PUBMED-20190147</x:v>
      </x:c>
      <x:c r="B1410" s="26" t="n">
        <x:v>2010</x:v>
      </x:c>
      <x:c r="C1410" s="26" t="str">
        <x:v>20190147</x:v>
      </x:c>
      <x:c r="D1410" s="28" t="str">
        <x:v>Chronic Ritalin use and cancer.</x:v>
      </x:c>
      <x:c r="E1410" s="28" t="str">
        <x:v>Contextual - editorial/comment</x:v>
      </x:c>
      <x:c r="F1410" s="28" t="str">
        <x:v>Development &amp; presentation; Treatment &amp; support</x:v>
      </x:c>
      <x:c r="G1410" s="28" t="str">
        <x:v>Not specified</x:v>
      </x:c>
      <x:c r="H1410" s="28" t="str">
        <x:v>Exclude/incidental</x:v>
      </x:c>
      <x:c r="I1410" s="28" t="str">
        <x:v>ADHD appears peripheral or insufficiently aligned with the requested corpus scope based on accessible metadata/abstract.</x:v>
      </x:c>
      <x:c r="J1410" s="38" t="e">
        <x:f>HYPERLINK("https://pubmed.ncbi.nlm.nih.gov/"&amp;C1410&amp;"/","Open PubMed")</x:f>
        <x:v>HYPERLINK is not implemented. linkLocation=https://pubmed.ncbi.nlm.nih.gov/20190147/, friendlyName=Open PubMed</x:v>
      </x:c>
    </x:row>
    <x:row r="1411">
      <x:c r="A1411" s="26" t="str">
        <x:v>PUBMED-20184258</x:v>
      </x:c>
      <x:c r="B1411" s="26" t="n">
        <x:v>2010</x:v>
      </x:c>
      <x:c r="C1411" s="26" t="str">
        <x:v>20184258</x:v>
      </x:c>
      <x:c r="D1411" s="28" t="str">
        <x:v>In the pipeline: non-stimulant ADHD meds.</x:v>
      </x:c>
      <x:c r="E1411" s="28" t="str">
        <x:v>Primary/contextual journal article</x:v>
      </x:c>
      <x:c r="F1411" s="28" t="str">
        <x:v>Development &amp; presentation; Treatment &amp; support</x:v>
      </x:c>
      <x:c r="G1411" s="28" t="str">
        <x:v>Not specified</x:v>
      </x:c>
      <x:c r="H1411" s="28" t="str">
        <x:v>Later specialized</x:v>
      </x:c>
      <x:c r="I1411" s="28" t="str">
        <x:v>Direct or strongly ADHD-related record retained for later screening; typically narrower treatment, biomarker, mechanistic, or single-comorbidity focus.</x:v>
      </x:c>
      <x:c r="J1411" s="38" t="e">
        <x:f>HYPERLINK("https://pubmed.ncbi.nlm.nih.gov/"&amp;C1411&amp;"/","Open PubMed")</x:f>
        <x:v>HYPERLINK is not implemented. linkLocation=https://pubmed.ncbi.nlm.nih.gov/20184258/, friendlyName=Open PubMed</x:v>
      </x:c>
    </x:row>
    <x:row r="1412">
      <x:c r="A1412" s="26" t="str">
        <x:v>PUBMED-20178404</x:v>
      </x:c>
      <x:c r="B1412" s="26" t="n">
        <x:v>2010</x:v>
      </x:c>
      <x:c r="C1412" s="26" t="str">
        <x:v>20178404</x:v>
      </x:c>
      <x:c r="D1412" s="28" t="str">
        <x:v>Pharmacological treatment patterns among patients with attention-deficit/hyperactivity disorder: retrospective claims-based analysis of a managed care population.</x:v>
      </x:c>
      <x:c r="E1412" s="28" t="str">
        <x:v>Primary/contextual journal article</x:v>
      </x:c>
      <x:c r="F1412" s="28" t="str">
        <x:v>Development &amp; presentation; Recognition &amp; diagnosis; Social &amp; structural; Treatment &amp; support</x:v>
      </x:c>
      <x:c r="G1412" s="28" t="str">
        <x:v>Childhood; Adolescence; Adulthood</x:v>
      </x:c>
      <x:c r="H1412" s="28" t="str">
        <x:v>Later specialized</x:v>
      </x:c>
      <x:c r="I1412" s="28" t="str">
        <x:v>Direct or strongly ADHD-related record retained for later screening; typically narrower treatment, biomarker, mechanistic, or single-comorbidity focus.</x:v>
      </x:c>
      <x:c r="J1412" s="38" t="e">
        <x:f>HYPERLINK("https://pubmed.ncbi.nlm.nih.gov/"&amp;C1412&amp;"/","Open PubMed")</x:f>
        <x:v>HYPERLINK is not implemented. linkLocation=https://pubmed.ncbi.nlm.nih.gov/20178404/, friendlyName=Open PubMed</x:v>
      </x:c>
    </x:row>
    <x:row r="1413">
      <x:c r="A1413" s="26" t="str">
        <x:v>PUBMED-20176041</x:v>
      </x:c>
      <x:c r="B1413" s="26" t="n">
        <x:v>2010</x:v>
      </x:c>
      <x:c r="C1413" s="26" t="str">
        <x:v>20176041</x:v>
      </x:c>
      <x:c r="D1413" s="28" t="str">
        <x:v>Impaired sustained attention and executive dysfunction: bipolar disorder versus depression-specific markers of affective disorders.</x:v>
      </x:c>
      <x:c r="E1413" s="28" t="str">
        <x:v>Primary/contextual journal article</x:v>
      </x:c>
      <x:c r="F1413" s="28" t="str">
        <x:v>Development &amp; presentation; Recognition &amp; diagnosis; Treatment &amp; support</x:v>
      </x:c>
      <x:c r="G1413" s="28" t="str">
        <x:v>Adulthood</x:v>
      </x:c>
      <x:c r="H1413" s="28" t="str">
        <x:v>Later specialized</x:v>
      </x:c>
      <x:c r="I1413" s="28" t="str">
        <x:v>Direct or strongly ADHD-related record retained for later screening; typically narrower treatment, biomarker, mechanistic, or single-comorbidity focus.</x:v>
      </x:c>
      <x:c r="J1413" s="38" t="e">
        <x:f>HYPERLINK("https://pubmed.ncbi.nlm.nih.gov/"&amp;C1413&amp;"/","Open PubMed")</x:f>
        <x:v>HYPERLINK is not implemented. linkLocation=https://pubmed.ncbi.nlm.nih.gov/20176041/, friendlyName=Open PubMed</x:v>
      </x:c>
    </x:row>
    <x:row r="1414">
      <x:c r="A1414" s="26" t="str">
        <x:v>PUBMED-20171792</x:v>
      </x:c>
      <x:c r="B1414" s="26" t="n">
        <x:v>2010</x:v>
      </x:c>
      <x:c r="C1414" s="26" t="str">
        <x:v>20171792</x:v>
      </x:c>
      <x:c r="D1414" s="28" t="str">
        <x:v>Possible testable correlations between passive smoking and bipolar/cyclothymic disorder, depression and ADD/ADHD.</x:v>
      </x:c>
      <x:c r="E1414" s="28" t="str">
        <x:v>Other/unclear</x:v>
      </x:c>
      <x:c r="F1414" s="28" t="str">
        <x:v>Development &amp; presentation; Environmental &amp; lifestyle; Treatment &amp; support</x:v>
      </x:c>
      <x:c r="G1414" s="28" t="str">
        <x:v>Not specified</x:v>
      </x:c>
      <x:c r="H1414" s="28" t="str">
        <x:v>Later specialized</x:v>
      </x:c>
      <x:c r="I1414" s="28" t="str">
        <x:v>Direct or strongly ADHD-related record retained for later screening; typically narrower treatment, biomarker, mechanistic, or single-comorbidity focus.</x:v>
      </x:c>
      <x:c r="J1414" s="38" t="e">
        <x:f>HYPERLINK("https://pubmed.ncbi.nlm.nih.gov/"&amp;C1414&amp;"/","Open PubMed")</x:f>
        <x:v>HYPERLINK is not implemented. linkLocation=https://pubmed.ncbi.nlm.nih.gov/20171792/, friendlyName=Open PubMed</x:v>
      </x:c>
    </x:row>
    <x:row r="1415">
      <x:c r="A1415" s="26" t="str">
        <x:v>PUBMED-20169380</x:v>
      </x:c>
      <x:c r="B1415" s="26" t="n">
        <x:v>2010</x:v>
      </x:c>
      <x:c r="C1415" s="26" t="str">
        <x:v>20169380</x:v>
      </x:c>
      <x:c r="D1415" s="28" t="str">
        <x:v>Dissemination of an evidence-based intervention to parents of children with behavioral problems in a developing country.</x:v>
      </x:c>
      <x:c r="E1415" s="28" t="str">
        <x:v>Primary/contextual journal article</x:v>
      </x:c>
      <x:c r="F1415" s="28" t="str">
        <x:v>Development &amp; presentation; Recognition &amp; diagnosis; Family &amp; education; Social &amp; structural; Treatment &amp; support; Historical &amp; contemporary context</x:v>
      </x:c>
      <x:c r="G1415" s="28" t="str">
        <x:v>Childhood</x:v>
      </x:c>
      <x:c r="H1415" s="28" t="str">
        <x:v>Exclude/incidental</x:v>
      </x:c>
      <x:c r="I1415" s="28" t="str">
        <x:v>ADHD appears peripheral or insufficiently aligned with the requested corpus scope based on accessible metadata/abstract.</x:v>
      </x:c>
      <x:c r="J1415" s="38" t="e">
        <x:f>HYPERLINK("https://pubmed.ncbi.nlm.nih.gov/"&amp;C1415&amp;"/","Open PubMed")</x:f>
        <x:v>HYPERLINK is not implemented. linkLocation=https://pubmed.ncbi.nlm.nih.gov/20169380/, friendlyName=Open PubMed</x:v>
      </x:c>
    </x:row>
    <x:row r="1416">
      <x:c r="A1416" s="26" t="str">
        <x:v>PUBMED-20166792</x:v>
      </x:c>
      <x:c r="B1416" s="26" t="n">
        <x:v>2010</x:v>
      </x:c>
      <x:c r="C1416" s="26" t="str">
        <x:v>20166792</x:v>
      </x:c>
      <x:c r="D1416" s="28" t="str">
        <x:v>Neural correlates of response inhibition in pediatric bipolar disorder.</x:v>
      </x:c>
      <x:c r="E1416" s="28" t="str">
        <x:v>Primary study - case-control</x:v>
      </x:c>
      <x:c r="F1416" s="28" t="str">
        <x:v>Development &amp; presentation; Social &amp; structural</x:v>
      </x:c>
      <x:c r="G1416" s="28" t="str">
        <x:v>Childhood; Adolescence</x:v>
      </x:c>
      <x:c r="H1416" s="28" t="str">
        <x:v>Later specialized</x:v>
      </x:c>
      <x:c r="I1416" s="28" t="str">
        <x:v>Direct or strongly ADHD-related record retained for later screening; typically narrower treatment, biomarker, mechanistic, or single-comorbidity focus.</x:v>
      </x:c>
      <x:c r="J1416" s="38" t="e">
        <x:f>HYPERLINK("https://pubmed.ncbi.nlm.nih.gov/"&amp;C1416&amp;"/","Open PubMed")</x:f>
        <x:v>HYPERLINK is not implemented. linkLocation=https://pubmed.ncbi.nlm.nih.gov/20166792/, friendlyName=Open PubMed</x:v>
      </x:c>
    </x:row>
    <x:row r="1417">
      <x:c r="A1417" s="26" t="str">
        <x:v>PUBMED-20166790</x:v>
      </x:c>
      <x:c r="B1417" s="26" t="n">
        <x:v>2010</x:v>
      </x:c>
      <x:c r="C1417" s="26" t="str">
        <x:v>20166790</x:v>
      </x:c>
      <x:c r="D1417" s="28" t="str">
        <x:v>Possible influence of variant of the P-glycoprotein gene (MDR1/ABCB1) on clinical response to guanfacine in children with pervasive developmental disorders and hyperactivity.</x:v>
      </x:c>
      <x:c r="E1417" s="28" t="str">
        <x:v>Primary study - clinical trial</x:v>
      </x:c>
      <x:c r="F1417" s="28" t="str">
        <x:v>Development &amp; presentation; Recognition &amp; diagnosis; Family &amp; education; Social &amp; structural; Treatment &amp; support; Life outcomes &amp; lived experience</x:v>
      </x:c>
      <x:c r="G1417" s="28" t="str">
        <x:v>Childhood; Adolescence</x:v>
      </x:c>
      <x:c r="H1417" s="28" t="str">
        <x:v>Later specialized</x:v>
      </x:c>
      <x:c r="I1417" s="28" t="str">
        <x:v>Direct or strongly ADHD-related record retained for later screening; typically narrower treatment, biomarker, mechanistic, or single-comorbidity focus.</x:v>
      </x:c>
      <x:c r="J1417" s="38" t="e">
        <x:f>HYPERLINK("https://pubmed.ncbi.nlm.nih.gov/"&amp;C1417&amp;"/","Open PubMed")</x:f>
        <x:v>HYPERLINK is not implemented. linkLocation=https://pubmed.ncbi.nlm.nih.gov/20166790/, friendlyName=Open PubMed</x:v>
      </x:c>
    </x:row>
    <x:row r="1418">
      <x:c r="A1418" s="26" t="str">
        <x:v>PUBMED-20165924</x:v>
      </x:c>
      <x:c r="B1418" s="26" t="n">
        <x:v>2010</x:v>
      </x:c>
      <x:c r="C1418" s="26" t="str">
        <x:v>20165924</x:v>
      </x:c>
      <x:c r="D1418" s="28" t="str">
        <x:v>Executive function in pediatric bipolar disorder and attention-deficit hyperactivity disorder: in search of distinct phenotypic profiles.</x:v>
      </x:c>
      <x:c r="E1418" s="28" t="str">
        <x:v>Evidence synthesis - review</x:v>
      </x:c>
      <x:c r="F1418" s="28" t="str">
        <x:v>Development &amp; presentation; Recognition &amp; diagnosis; Treatment &amp; support; Life outcomes &amp; lived experience</x:v>
      </x:c>
      <x:c r="G1418" s="28" t="str">
        <x:v>Childhood</x:v>
      </x:c>
      <x:c r="H1418" s="28" t="str">
        <x:v>Later specialized</x:v>
      </x:c>
      <x:c r="I1418" s="28" t="str">
        <x:v>Direct or strongly ADHD-related record retained for later screening; typically narrower treatment, biomarker, mechanistic, or single-comorbidity focus.</x:v>
      </x:c>
      <x:c r="J1418" s="38" t="e">
        <x:f>HYPERLINK("https://pubmed.ncbi.nlm.nih.gov/"&amp;C1418&amp;"/","Open PubMed")</x:f>
        <x:v>HYPERLINK is not implemented. linkLocation=https://pubmed.ncbi.nlm.nih.gov/20165924/, friendlyName=Open PubMed</x:v>
      </x:c>
    </x:row>
    <x:row r="1419">
      <x:c r="A1419" s="26" t="str">
        <x:v>PUBMED-20165900</x:v>
      </x:c>
      <x:c r="B1419" s="26" t="n">
        <x:v>2010</x:v>
      </x:c>
      <x:c r="C1419" s="26" t="str">
        <x:v>20165900</x:v>
      </x:c>
      <x:c r="D1419" s="28" t="str">
        <x:v>The dopamine D4 receptor: biochemical and signalling properties.</x:v>
      </x:c>
      <x:c r="E1419" s="28" t="str">
        <x:v>Evidence synthesis - review</x:v>
      </x:c>
      <x:c r="F1419" s="28" t="str">
        <x:v>Development &amp; presentation; Family &amp; education; Social &amp; structural</x:v>
      </x:c>
      <x:c r="G1419" s="28" t="str">
        <x:v>Not specified</x:v>
      </x:c>
      <x:c r="H1419" s="28" t="str">
        <x:v>Exclude/incidental</x:v>
      </x:c>
      <x:c r="I1419" s="28" t="str">
        <x:v>Animal-only record; retained outside the human-focused core corpus.</x:v>
      </x:c>
      <x:c r="J1419" s="38" t="e">
        <x:f>HYPERLINK("https://pubmed.ncbi.nlm.nih.gov/"&amp;C1419&amp;"/","Open PubMed")</x:f>
        <x:v>HYPERLINK is not implemented. linkLocation=https://pubmed.ncbi.nlm.nih.gov/20165900/, friendlyName=Open PubMed</x:v>
      </x:c>
    </x:row>
    <x:row r="1420">
      <x:c r="A1420" s="26" t="str">
        <x:v>PUBMED-20163790</x:v>
      </x:c>
      <x:c r="B1420" s="26" t="n">
        <x:v>2010</x:v>
      </x:c>
      <x:c r="C1420" s="26" t="str">
        <x:v>20163790</x:v>
      </x:c>
      <x:c r="D1420" s="28" t="str">
        <x:v>Delayed circadian rhythm in adults with attention-deficit/hyperactivity disorder and chronic sleep-onset insomnia.</x:v>
      </x:c>
      <x:c r="E1420" s="28" t="str">
        <x:v>Primary/contextual journal article</x:v>
      </x:c>
      <x:c r="F1420" s="28" t="str">
        <x:v>Development &amp; presentation; Social &amp; structural; Environmental &amp; lifestyle</x:v>
      </x:c>
      <x:c r="G1420" s="28" t="str">
        <x:v>Childhood; Adolescence; Adulthood</x:v>
      </x:c>
      <x:c r="H1420" s="28" t="str">
        <x:v>Later specialized</x:v>
      </x:c>
      <x:c r="I1420" s="28" t="str">
        <x:v>Direct or strongly ADHD-related record retained for later screening; typically narrower treatment, biomarker, mechanistic, or single-comorbidity focus.</x:v>
      </x:c>
      <x:c r="J1420" s="38" t="e">
        <x:f>HYPERLINK("https://pubmed.ncbi.nlm.nih.gov/"&amp;C1420&amp;"/","Open PubMed")</x:f>
        <x:v>HYPERLINK is not implemented. linkLocation=https://pubmed.ncbi.nlm.nih.gov/20163790/, friendlyName=Open PubMed</x:v>
      </x:c>
    </x:row>
    <x:row r="1421">
      <x:c r="A1421" s="26" t="str">
        <x:v>PUBMED-20157310</x:v>
      </x:c>
      <x:c r="B1421" s="26" t="n">
        <x:v>2010</x:v>
      </x:c>
      <x:c r="C1421" s="26" t="str">
        <x:v>20157310</x:v>
      </x:c>
      <x:c r="D1421" s="28" t="str">
        <x:v>A common variant of the latrophilin 3 gene, LPHN3, confers susceptibility to ADHD and predicts effectiveness of stimulant medication.</x:v>
      </x:c>
      <x:c r="E1421" s="28" t="str">
        <x:v>Primary/contextual journal article</x:v>
      </x:c>
      <x:c r="F1421" s="28" t="str">
        <x:v>Development &amp; presentation; Family &amp; education; Social &amp; structural; Treatment &amp; support</x:v>
      </x:c>
      <x:c r="G1421" s="28" t="str">
        <x:v>Childhood; Adolescence; Adulthood</x:v>
      </x:c>
      <x:c r="H1421" s="28" t="str">
        <x:v>Later specialized</x:v>
      </x:c>
      <x:c r="I1421" s="28" t="str">
        <x:v>Direct or strongly ADHD-related record retained for later screening; typically narrower treatment, biomarker, mechanistic, or single-comorbidity focus.</x:v>
      </x:c>
      <x:c r="J1421" s="38" t="e">
        <x:f>HYPERLINK("https://pubmed.ncbi.nlm.nih.gov/"&amp;C1421&amp;"/","Open PubMed")</x:f>
        <x:v>HYPERLINK is not implemented. linkLocation=https://pubmed.ncbi.nlm.nih.gov/20157310/, friendlyName=Open PubMed</x:v>
      </x:c>
    </x:row>
    <x:row r="1422">
      <x:c r="A1422" s="26" t="str">
        <x:v>PUBMED-20150885</x:v>
      </x:c>
      <x:c r="B1422" s="26" t="n">
        <x:v>2010</x:v>
      </x:c>
      <x:c r="C1422" s="26" t="str">
        <x:v>20150885</x:v>
      </x:c>
      <x:c r="D1422" s="28" t="str">
        <x:v>Placenta and umbilical cord blood deserve attention.</x:v>
      </x:c>
      <x:c r="E1422" s="28" t="str">
        <x:v>Primary/contextual journal article</x:v>
      </x:c>
      <x:c r="F1422" s="28" t="str">
        <x:v>Development &amp; presentation; Recognition &amp; diagnosis; Social &amp; structural; Environmental &amp; lifestyle</x:v>
      </x:c>
      <x:c r="G1422" s="28" t="str">
        <x:v>Childhood; Adulthood</x:v>
      </x:c>
      <x:c r="H1422" s="28" t="str">
        <x:v>Later specialized</x:v>
      </x:c>
      <x:c r="I1422" s="28" t="str">
        <x:v>Direct or strongly ADHD-related record retained for later screening; typically narrower treatment, biomarker, mechanistic, or single-comorbidity focus.</x:v>
      </x:c>
      <x:c r="J1422" s="38" t="e">
        <x:f>HYPERLINK("https://pubmed.ncbi.nlm.nih.gov/"&amp;C1422&amp;"/","Open PubMed")</x:f>
        <x:v>HYPERLINK is not implemented. linkLocation=https://pubmed.ncbi.nlm.nih.gov/20150885/, friendlyName=Open PubMed</x:v>
      </x:c>
    </x:row>
    <x:row r="1423">
      <x:c r="A1423" s="26" t="str">
        <x:v>PUBMED-20146180</x:v>
      </x:c>
      <x:c r="B1423" s="26" t="n">
        <x:v>2010</x:v>
      </x:c>
      <x:c r="C1423" s="26" t="str">
        <x:v>20146180</x:v>
      </x:c>
      <x:c r="D1423" s="28" t="str">
        <x:v>[Omega-3 and omega-6 fatty acids in the treatment of children and adolescents with ADHD].</x:v>
      </x:c>
      <x:c r="E1423" s="28" t="str">
        <x:v>Evidence synthesis - review</x:v>
      </x:c>
      <x:c r="F1423" s="28" t="str">
        <x:v>Development &amp; presentation; Recognition &amp; diagnosis; Social &amp; structural; Environmental &amp; lifestyle; Treatment &amp; support; Life outcomes &amp; lived experience</x:v>
      </x:c>
      <x:c r="G1423" s="28" t="str">
        <x:v>Childhood; Adolescence</x:v>
      </x:c>
      <x:c r="H1423" s="28" t="str">
        <x:v>Later specialized</x:v>
      </x:c>
      <x:c r="I1423" s="28" t="str">
        <x:v>Direct or strongly ADHD-related record retained for later screening; typically narrower treatment, biomarker, mechanistic, or single-comorbidity focus.</x:v>
      </x:c>
      <x:c r="J1423" s="38" t="e">
        <x:f>HYPERLINK("https://pubmed.ncbi.nlm.nih.gov/"&amp;C1423&amp;"/","Open PubMed")</x:f>
        <x:v>HYPERLINK is not implemented. linkLocation=https://pubmed.ncbi.nlm.nih.gov/20146180/, friendlyName=Open PubMed</x:v>
      </x:c>
    </x:row>
    <x:row r="1424">
      <x:c r="A1424" s="26" t="str">
        <x:v>PUBMED-20144184</x:v>
      </x:c>
      <x:c r="B1424" s="26" t="n">
        <x:v>2010</x:v>
      </x:c>
      <x:c r="C1424" s="26" t="str">
        <x:v>20144184</x:v>
      </x:c>
      <x:c r="D1424" s="28" t="str">
        <x:v>The effects of patient characteristics on ADHD diagnosis and treatment: a factorial study of family physicians.</x:v>
      </x:c>
      <x:c r="E1424" s="28" t="str">
        <x:v>Primary/contextual journal article</x:v>
      </x:c>
      <x:c r="F1424" s="28" t="str">
        <x:v>Development &amp; presentation; Recognition &amp; diagnosis; Family &amp; education; Social &amp; structural; Treatment &amp; support; Life outcomes &amp; lived experience</x:v>
      </x:c>
      <x:c r="G1424" s="28" t="str">
        <x:v>Childhood; Adolescence; Adulthood</x:v>
      </x:c>
      <x:c r="H1424" s="28" t="str">
        <x:v>Later specialized</x:v>
      </x:c>
      <x:c r="I1424" s="28" t="str">
        <x:v>Direct or strongly ADHD-related record retained for later screening; typically narrower treatment, biomarker, mechanistic, or single-comorbidity focus.</x:v>
      </x:c>
      <x:c r="J1424" s="38" t="e">
        <x:f>HYPERLINK("https://pubmed.ncbi.nlm.nih.gov/"&amp;C1424&amp;"/","Open PubMed")</x:f>
        <x:v>HYPERLINK is not implemented. linkLocation=https://pubmed.ncbi.nlm.nih.gov/20144184/, friendlyName=Open PubMed</x:v>
      </x:c>
    </x:row>
    <x:row r="1425">
      <x:c r="A1425" s="26" t="str">
        <x:v>PUBMED-20141807</x:v>
      </x:c>
      <x:c r="B1425" s="26" t="n">
        <x:v>2010</x:v>
      </x:c>
      <x:c r="C1425" s="26" t="str">
        <x:v>20141807</x:v>
      </x:c>
      <x:c r="D1425" s="28" t="str">
        <x:v>[Prodromal phase in bipolar disorder].</x:v>
      </x:c>
      <x:c r="E1425" s="28" t="str">
        <x:v>Evidence synthesis - review</x:v>
      </x:c>
      <x:c r="F1425" s="28" t="str">
        <x:v>Development &amp; presentation; Recognition &amp; diagnosis; Social &amp; structural; Treatment &amp; support</x:v>
      </x:c>
      <x:c r="G1425" s="28" t="str">
        <x:v>Childhood; Adulthood</x:v>
      </x:c>
      <x:c r="H1425" s="28" t="str">
        <x:v>Later specialized</x:v>
      </x:c>
      <x:c r="I1425" s="28" t="str">
        <x:v>Direct or strongly ADHD-related record retained for later screening; typically narrower treatment, biomarker, mechanistic, or single-comorbidity focus.</x:v>
      </x:c>
      <x:c r="J1425" s="38" t="e">
        <x:f>HYPERLINK("https://pubmed.ncbi.nlm.nih.gov/"&amp;C1425&amp;"/","Open PubMed")</x:f>
        <x:v>HYPERLINK is not implemented. linkLocation=https://pubmed.ncbi.nlm.nih.gov/20141807/, friendlyName=Open PubMed</x:v>
      </x:c>
    </x:row>
    <x:row r="1426">
      <x:c r="A1426" s="26" t="str">
        <x:v>PUBMED-20141399</x:v>
      </x:c>
      <x:c r="B1426" s="26" t="n">
        <x:v>2010</x:v>
      </x:c>
      <x:c r="C1426" s="26" t="str">
        <x:v>20141399</x:v>
      </x:c>
      <x:c r="D1426" s="28" t="str">
        <x:v>The relationship between performance on the Shipley Institute of Living Scale (SILS) and hepatitis C infection among active injection drug users in Baltimore, Maryland.</x:v>
      </x:c>
      <x:c r="E1426" s="28" t="str">
        <x:v>Primary/contextual journal article</x:v>
      </x:c>
      <x:c r="F1426" s="28" t="str">
        <x:v>Development &amp; presentation; Family &amp; education; Social &amp; structural; Life outcomes &amp; lived experience</x:v>
      </x:c>
      <x:c r="G1426" s="28" t="str">
        <x:v>Adulthood</x:v>
      </x:c>
      <x:c r="H1426" s="28" t="str">
        <x:v>Later specialized</x:v>
      </x:c>
      <x:c r="I1426" s="28" t="str">
        <x:v>Direct or strongly ADHD-related record retained for later screening; typically narrower treatment, biomarker, mechanistic, or single-comorbidity focus.</x:v>
      </x:c>
      <x:c r="J1426" s="38" t="e">
        <x:f>HYPERLINK("https://pubmed.ncbi.nlm.nih.gov/"&amp;C1426&amp;"/","Open PubMed")</x:f>
        <x:v>HYPERLINK is not implemented. linkLocation=https://pubmed.ncbi.nlm.nih.gov/20141399/, friendlyName=Open PubMed</x:v>
      </x:c>
    </x:row>
    <x:row r="1427">
      <x:c r="A1427" s="26" t="str">
        <x:v>PUBMED-20140799</x:v>
      </x:c>
      <x:c r="B1427" s="26" t="n">
        <x:v>2010</x:v>
      </x:c>
      <x:c r="C1427" s="26" t="str">
        <x:v>20140799</x:v>
      </x:c>
      <x:c r="D1427" s="28" t="str">
        <x:v>St. John's wort may improve some symptoms of attention-deficit hyperactivity disorder.</x:v>
      </x:c>
      <x:c r="E1427" s="28" t="str">
        <x:v>Primary/contextual journal article</x:v>
      </x:c>
      <x:c r="F1427" s="28" t="str">
        <x:v>Development &amp; presentation; Recognition &amp; diagnosis; Social &amp; structural; Treatment &amp; support</x:v>
      </x:c>
      <x:c r="G1427" s="28" t="str">
        <x:v>Adolescence</x:v>
      </x:c>
      <x:c r="H1427" s="28" t="str">
        <x:v>Later specialized</x:v>
      </x:c>
      <x:c r="I1427" s="28" t="str">
        <x:v>Direct or strongly ADHD-related record retained for later screening; typically narrower treatment, biomarker, mechanistic, or single-comorbidity focus.</x:v>
      </x:c>
      <x:c r="J1427" s="38" t="e">
        <x:f>HYPERLINK("https://pubmed.ncbi.nlm.nih.gov/"&amp;C1427&amp;"/","Open PubMed")</x:f>
        <x:v>HYPERLINK is not implemented. linkLocation=https://pubmed.ncbi.nlm.nih.gov/20140799/, friendlyName=Open PubMed</x:v>
      </x:c>
    </x:row>
    <x:row r="1428">
      <x:c r="A1428" s="26" t="str">
        <x:v>PUBMED-20140491</x:v>
      </x:c>
      <x:c r="B1428" s="26" t="n">
        <x:v>2010</x:v>
      </x:c>
      <x:c r="C1428" s="26" t="str">
        <x:v>20140491</x:v>
      </x:c>
      <x:c r="D1428" s="28" t="str">
        <x:v>Competing core processes in attention-deficit/hyperactivity disorder (ADHD): do working memory deficiencies underlie behavioral inhibition deficits?</x:v>
      </x:c>
      <x:c r="E1428" s="28" t="str">
        <x:v>Primary study - case-control</x:v>
      </x:c>
      <x:c r="F1428" s="28" t="str">
        <x:v>Development &amp; presentation; Recognition &amp; diagnosis; Treatment &amp; support; Life outcomes &amp; lived experience</x:v>
      </x:c>
      <x:c r="G1428" s="28" t="str">
        <x:v>Childhood</x:v>
      </x:c>
      <x:c r="H1428" s="28" t="str">
        <x:v>Batch 1 core</x:v>
      </x:c>
      <x:c r="I1428" s="28" t="str">
        <x:v>Direct ADHD primary study on diagnosis, family/education, structural conditions, lived experience/outcomes, or environment/lifestyle.</x:v>
      </x:c>
      <x:c r="J1428" s="38" t="e">
        <x:f>HYPERLINK("https://pubmed.ncbi.nlm.nih.gov/"&amp;C1428&amp;"/","Open PubMed")</x:f>
        <x:v>HYPERLINK is not implemented. linkLocation=https://pubmed.ncbi.nlm.nih.gov/20140491/, friendlyName=Open PubMed</x:v>
      </x:c>
    </x:row>
    <x:row r="1429">
      <x:c r="A1429" s="26" t="str">
        <x:v>PUBMED-20132417</x:v>
      </x:c>
      <x:c r="B1429" s="26" t="n">
        <x:v>2010</x:v>
      </x:c>
      <x:c r="C1429" s="26" t="str">
        <x:v>20132417</x:v>
      </x:c>
      <x:c r="D1429" s="28" t="str">
        <x:v>Emotional lability in children and adolescents with attention deficit/hyperactivity disorder (ADHD): clinical correlates and familial prevalence.</x:v>
      </x:c>
      <x:c r="E1429" s="28" t="str">
        <x:v>Primary study - cross-sectional</x:v>
      </x:c>
      <x:c r="F1429" s="28" t="str">
        <x:v>Development &amp; presentation; Recognition &amp; diagnosis; Family &amp; education; Social &amp; structural; Life outcomes &amp; lived experience</x:v>
      </x:c>
      <x:c r="G1429" s="28" t="str">
        <x:v>Childhood; Adolescence</x:v>
      </x:c>
      <x:c r="H1429" s="28" t="str">
        <x:v>Later specialized</x:v>
      </x:c>
      <x:c r="I1429" s="28" t="str">
        <x:v>Direct or strongly ADHD-related record retained for later screening; typically narrower treatment, biomarker, mechanistic, or single-comorbidity focus.</x:v>
      </x:c>
      <x:c r="J1429" s="38" t="e">
        <x:f>HYPERLINK("https://pubmed.ncbi.nlm.nih.gov/"&amp;C1429&amp;"/","Open PubMed")</x:f>
        <x:v>HYPERLINK is not implemented. linkLocation=https://pubmed.ncbi.nlm.nih.gov/20132417/, friendlyName=Open PubMed</x:v>
      </x:c>
    </x:row>
    <x:row r="1430">
      <x:c r="A1430" s="26" t="str">
        <x:v>PUBMED-20132135</x:v>
      </x:c>
      <x:c r="B1430" s="26" t="n">
        <x:v>2010</x:v>
      </x:c>
      <x:c r="C1430" s="26" t="str">
        <x:v>20132135</x:v>
      </x:c>
      <x:c r="D1430" s="28" t="str">
        <x:v>Stability of motor problems in young children with or at risk of autism spectrum disorders, ADHD, and or developmental coordination disorder.</x:v>
      </x:c>
      <x:c r="E1430" s="28" t="str">
        <x:v>Primary/contextual journal article</x:v>
      </x:c>
      <x:c r="F1430" s="28" t="str">
        <x:v>Development &amp; presentation; Recognition &amp; diagnosis; Family &amp; education; Social &amp; structural</x:v>
      </x:c>
      <x:c r="G1430" s="28" t="str">
        <x:v>Childhood</x:v>
      </x:c>
      <x:c r="H1430" s="28" t="str">
        <x:v>Later specialized</x:v>
      </x:c>
      <x:c r="I1430" s="28" t="str">
        <x:v>Direct or strongly ADHD-related record retained for later screening; typically narrower treatment, biomarker, mechanistic, or single-comorbidity focus.</x:v>
      </x:c>
      <x:c r="J1430" s="38" t="e">
        <x:f>HYPERLINK("https://pubmed.ncbi.nlm.nih.gov/"&amp;C1430&amp;"/","Open PubMed")</x:f>
        <x:v>HYPERLINK is not implemented. linkLocation=https://pubmed.ncbi.nlm.nih.gov/20132135/, friendlyName=Open PubMed</x:v>
      </x:c>
    </x:row>
    <x:row r="1431">
      <x:c r="A1431" s="26" t="str">
        <x:v>PUBMED-20127615</x:v>
      </x:c>
      <x:c r="B1431" s="26" t="n">
        <x:v>2010</x:v>
      </x:c>
      <x:c r="C1431" s="26" t="str">
        <x:v>20127615</x:v>
      </x:c>
      <x:c r="D1431" s="28" t="str">
        <x:v>Psychopathological rating scales as efficacy parameters in adult ADHD treatment investigations - benchmarking instruments for international multicentre trials.</x:v>
      </x:c>
      <x:c r="E1431" s="28" t="str">
        <x:v>Evidence synthesis - review</x:v>
      </x:c>
      <x:c r="F1431" s="28" t="str">
        <x:v>Development &amp; presentation; Recognition &amp; diagnosis; Social &amp; structural; Treatment &amp; support; Life outcomes &amp; lived experience</x:v>
      </x:c>
      <x:c r="G1431" s="28" t="str">
        <x:v>Adulthood</x:v>
      </x:c>
      <x:c r="H1431" s="28" t="str">
        <x:v>Later specialized</x:v>
      </x:c>
      <x:c r="I1431" s="28" t="str">
        <x:v>Direct or strongly ADHD-related record retained for later screening; typically narrower treatment, biomarker, mechanistic, or single-comorbidity focus.</x:v>
      </x:c>
      <x:c r="J1431" s="38" t="e">
        <x:f>HYPERLINK("https://pubmed.ncbi.nlm.nih.gov/"&amp;C1431&amp;"/","Open PubMed")</x:f>
        <x:v>HYPERLINK is not implemented. linkLocation=https://pubmed.ncbi.nlm.nih.gov/20127615/, friendlyName=Open PubMed</x:v>
      </x:c>
    </x:row>
    <x:row r="1432">
      <x:c r="A1432" s="26" t="str">
        <x:v>PUBMED-20123923</x:v>
      </x:c>
      <x:c r="B1432" s="26" t="n">
        <x:v>2010</x:v>
      </x:c>
      <x:c r="C1432" s="26" t="str">
        <x:v>20123923</x:v>
      </x:c>
      <x:c r="D1432" s="28" t="str">
        <x:v>Increased cardiac death or decreased motor vehicle accidents?</x:v>
      </x:c>
      <x:c r="E1432" s="28" t="str">
        <x:v>Contextual - editorial/comment</x:v>
      </x:c>
      <x:c r="F1432" s="28" t="str">
        <x:v>Development &amp; presentation; Treatment &amp; support; Life outcomes &amp; lived experience</x:v>
      </x:c>
      <x:c r="G1432" s="28" t="str">
        <x:v>Childhood; Adolescence</x:v>
      </x:c>
      <x:c r="H1432" s="28" t="str">
        <x:v>Exclude/incidental</x:v>
      </x:c>
      <x:c r="I1432" s="28" t="str">
        <x:v>ADHD appears peripheral or insufficiently aligned with the requested corpus scope based on accessible metadata/abstract.</x:v>
      </x:c>
      <x:c r="J1432" s="38" t="e">
        <x:f>HYPERLINK("https://pubmed.ncbi.nlm.nih.gov/"&amp;C1432&amp;"/","Open PubMed")</x:f>
        <x:v>HYPERLINK is not implemented. linkLocation=https://pubmed.ncbi.nlm.nih.gov/20123923/, friendlyName=Open PubMed</x:v>
      </x:c>
    </x:row>
    <x:row r="1433">
      <x:c r="A1433" s="26" t="str">
        <x:v>PUBMED-20117669</x:v>
      </x:c>
      <x:c r="B1433" s="26" t="n">
        <x:v>2010</x:v>
      </x:c>
      <x:c r="C1433" s="26" t="str">
        <x:v>20117669</x:v>
      </x:c>
      <x:c r="D1433" s="28" t="str">
        <x:v>Pilot feasibility study of binaural auditory beats for reducing symptoms of inattention in children and adolescents with attention-deficit/hyperactivity disorder.</x:v>
      </x:c>
      <x:c r="E1433" s="28" t="str">
        <x:v>Primary study - randomized controlled trial</x:v>
      </x:c>
      <x:c r="F1433" s="28" t="str">
        <x:v>Development &amp; presentation; Recognition &amp; diagnosis; Family &amp; education; Social &amp; structural; Treatment &amp; support; Life outcomes &amp; lived experience; Historical &amp; contemporary context</x:v>
      </x:c>
      <x:c r="G1433" s="28" t="str">
        <x:v>Childhood; Adolescence; Adulthood</x:v>
      </x:c>
      <x:c r="H1433" s="28" t="str">
        <x:v>Later specialized</x:v>
      </x:c>
      <x:c r="I1433" s="28" t="str">
        <x:v>Direct or strongly ADHD-related record retained for later screening; typically narrower treatment, biomarker, mechanistic, or single-comorbidity focus.</x:v>
      </x:c>
      <x:c r="J1433" s="38" t="e">
        <x:f>HYPERLINK("https://pubmed.ncbi.nlm.nih.gov/"&amp;C1433&amp;"/","Open PubMed")</x:f>
        <x:v>HYPERLINK is not implemented. linkLocation=https://pubmed.ncbi.nlm.nih.gov/20117669/, friendlyName=Open PubMed</x:v>
      </x:c>
    </x:row>
    <x:row r="1434">
      <x:c r="A1434" s="26" t="str">
        <x:v>PUBMED-20116292</x:v>
      </x:c>
      <x:c r="B1434" s="26" t="n">
        <x:v>2010</x:v>
      </x:c>
      <x:c r="C1434" s="26" t="str">
        <x:v>20116292</x:v>
      </x:c>
      <x:c r="D1434" s="28" t="str">
        <x:v>ADHD children outperform normal children in an artificial grammar Implicit learning task: ERP and RT evidence.</x:v>
      </x:c>
      <x:c r="E1434" s="28" t="str">
        <x:v>Primary/contextual journal article</x:v>
      </x:c>
      <x:c r="F1434" s="28" t="str">
        <x:v>Development &amp; presentation; Recognition &amp; diagnosis; Social &amp; structural; Life outcomes &amp; lived experience</x:v>
      </x:c>
      <x:c r="G1434" s="28" t="str">
        <x:v>Childhood</x:v>
      </x:c>
      <x:c r="H1434" s="28" t="str">
        <x:v>Later specialized</x:v>
      </x:c>
      <x:c r="I1434" s="28" t="str">
        <x:v>Direct or strongly ADHD-related record retained for later screening; typically narrower treatment, biomarker, mechanistic, or single-comorbidity focus.</x:v>
      </x:c>
      <x:c r="J1434" s="38" t="e">
        <x:f>HYPERLINK("https://pubmed.ncbi.nlm.nih.gov/"&amp;C1434&amp;"/","Open PubMed")</x:f>
        <x:v>HYPERLINK is not implemented. linkLocation=https://pubmed.ncbi.nlm.nih.gov/20116292/, friendlyName=Open PubMed</x:v>
      </x:c>
    </x:row>
    <x:row r="1435">
      <x:c r="A1435" s="26" t="str">
        <x:v>PUBMED-20113629</x:v>
      </x:c>
      <x:c r="B1435" s="26" t="n">
        <x:v>2010</x:v>
      </x:c>
      <x:c r="C1435" s="26" t="str">
        <x:v>20113629</x:v>
      </x:c>
      <x:c r="D1435" s="28" t="str">
        <x:v>[A functional MRI study in ADHD children with impulsivity].</x:v>
      </x:c>
      <x:c r="E1435" s="28" t="str">
        <x:v>Primary/contextual journal article</x:v>
      </x:c>
      <x:c r="F1435" s="28" t="str">
        <x:v>Development &amp; presentation; Social &amp; structural</x:v>
      </x:c>
      <x:c r="G1435" s="28" t="str">
        <x:v>Childhood; Adolescence</x:v>
      </x:c>
      <x:c r="H1435" s="28" t="str">
        <x:v>Later specialized</x:v>
      </x:c>
      <x:c r="I1435" s="28" t="str">
        <x:v>Direct or strongly ADHD-related record retained for later screening; typically narrower treatment, biomarker, mechanistic, or single-comorbidity focus.</x:v>
      </x:c>
      <x:c r="J1435" s="38" t="e">
        <x:f>HYPERLINK("https://pubmed.ncbi.nlm.nih.gov/"&amp;C1435&amp;"/","Open PubMed")</x:f>
        <x:v>HYPERLINK is not implemented. linkLocation=https://pubmed.ncbi.nlm.nih.gov/20113629/, friendlyName=Open PubMed</x:v>
      </x:c>
    </x:row>
    <x:row r="1436">
      <x:c r="A1436" s="26" t="str">
        <x:v>PUBMED-20112219</x:v>
      </x:c>
      <x:c r="B1436" s="26" t="n">
        <x:v>2010</x:v>
      </x:c>
      <x:c r="C1436" s="26" t="str">
        <x:v>20112219</x:v>
      </x:c>
      <x:c r="D1436" s="28" t="str">
        <x:v>[Neurocognitive models for attention deficit hyperactivity disorder and their consequences on the searching of endophenotypes].</x:v>
      </x:c>
      <x:c r="E1436" s="28" t="str">
        <x:v>Evidence synthesis - review</x:v>
      </x:c>
      <x:c r="F1436" s="28" t="str">
        <x:v>Development &amp; presentation; Recognition &amp; diagnosis; Social &amp; structural; Treatment &amp; support; Historical &amp; contemporary context</x:v>
      </x:c>
      <x:c r="G1436" s="28" t="str">
        <x:v>Not specified</x:v>
      </x:c>
      <x:c r="H1436" s="28" t="str">
        <x:v>Later specialized</x:v>
      </x:c>
      <x:c r="I1436" s="28" t="str">
        <x:v>Direct or strongly ADHD-related record retained for later screening; typically narrower treatment, biomarker, mechanistic, or single-comorbidity focus.</x:v>
      </x:c>
      <x:c r="J1436" s="38" t="e">
        <x:f>HYPERLINK("https://pubmed.ncbi.nlm.nih.gov/"&amp;C1436&amp;"/","Open PubMed")</x:f>
        <x:v>HYPERLINK is not implemented. linkLocation=https://pubmed.ncbi.nlm.nih.gov/20112219/, friendlyName=Open PubMed</x:v>
      </x:c>
    </x:row>
    <x:row r="1437">
      <x:c r="A1437" s="26" t="str">
        <x:v>PUBMED-20106937</x:v>
      </x:c>
      <x:c r="B1437" s="26" t="n">
        <x:v>2010</x:v>
      </x:c>
      <x:c r="C1437" s="26" t="str">
        <x:v>20106937</x:v>
      </x:c>
      <x:c r="D1437" s="28" t="str">
        <x:v>Prenatal organochlorine exposure and behaviors associated with attention deficit hyperactivity disorder in school-aged children.</x:v>
      </x:c>
      <x:c r="E1437" s="28" t="str">
        <x:v>Primary study - cohort</x:v>
      </x:c>
      <x:c r="F1437" s="28" t="str">
        <x:v>Development &amp; presentation; Recognition &amp; diagnosis; Family &amp; education; Social &amp; structural; Environmental &amp; lifestyle; Treatment &amp; support; Life outcomes &amp; lived experience</x:v>
      </x:c>
      <x:c r="G1437" s="28" t="str">
        <x:v>Childhood; Adolescence; Adulthood</x:v>
      </x:c>
      <x:c r="H1437" s="28" t="str">
        <x:v>Batch 1 core</x:v>
      </x:c>
      <x:c r="I1437" s="28" t="str">
        <x:v>Direct ADHD primary study on diagnosis, family/education, structural conditions, lived experience/outcomes, or environment/lifestyle.</x:v>
      </x:c>
      <x:c r="J1437" s="38" t="e">
        <x:f>HYPERLINK("https://pubmed.ncbi.nlm.nih.gov/"&amp;C1437&amp;"/","Open PubMed")</x:f>
        <x:v>HYPERLINK is not implemented. linkLocation=https://pubmed.ncbi.nlm.nih.gov/20106937/, friendlyName=Open PubMed</x:v>
      </x:c>
    </x:row>
    <x:row r="1438">
      <x:c r="A1438" s="26" t="str">
        <x:v>PUBMED-20104377</x:v>
      </x:c>
      <x:c r="B1438" s="26" t="n">
        <x:v>2010</x:v>
      </x:c>
      <x:c r="C1438" s="26" t="str">
        <x:v>20104377</x:v>
      </x:c>
      <x:c r="D1438" s="28" t="str">
        <x:v>Working memory control deficit in kindergarten ADHD children.</x:v>
      </x:c>
      <x:c r="E1438" s="28" t="str">
        <x:v>Primary/contextual journal article</x:v>
      </x:c>
      <x:c r="F1438" s="28" t="str">
        <x:v>Development &amp; presentation; Recognition &amp; diagnosis; Family &amp; education; Social &amp; structural</x:v>
      </x:c>
      <x:c r="G1438" s="28" t="str">
        <x:v>Childhood</x:v>
      </x:c>
      <x:c r="H1438" s="28" t="str">
        <x:v>Later specialized</x:v>
      </x:c>
      <x:c r="I1438" s="28" t="str">
        <x:v>Direct or strongly ADHD-related record retained for later screening; typically narrower treatment, biomarker, mechanistic, or single-comorbidity focus.</x:v>
      </x:c>
      <x:c r="J1438" s="38" t="e">
        <x:f>HYPERLINK("https://pubmed.ncbi.nlm.nih.gov/"&amp;C1438&amp;"/","Open PubMed")</x:f>
        <x:v>HYPERLINK is not implemented. linkLocation=https://pubmed.ncbi.nlm.nih.gov/20104377/, friendlyName=Open PubMed</x:v>
      </x:c>
    </x:row>
    <x:row r="1439">
      <x:c r="A1439" s="26" t="str">
        <x:v>PUBMED-20102568</x:v>
      </x:c>
      <x:c r="B1439" s="26" t="n">
        <x:v>2010</x:v>
      </x:c>
      <x:c r="C1439" s="26" t="str">
        <x:v>20102568</x:v>
      </x:c>
      <x:c r="D1439" s="28" t="str">
        <x:v>An event-related potential study of response inhibition in ADHD with and without prenatal alcohol exposure.</x:v>
      </x:c>
      <x:c r="E1439" s="28" t="str">
        <x:v>Primary study - cohort</x:v>
      </x:c>
      <x:c r="F1439" s="28" t="str">
        <x:v>Development &amp; presentation; Recognition &amp; diagnosis; Social &amp; structural; Environmental &amp; lifestyle; Treatment &amp; support; Life outcomes &amp; lived experience; Historical &amp; contemporary context</x:v>
      </x:c>
      <x:c r="G1439" s="28" t="str">
        <x:v>Childhood; Adulthood</x:v>
      </x:c>
      <x:c r="H1439" s="28" t="str">
        <x:v>Later specialized</x:v>
      </x:c>
      <x:c r="I1439" s="28" t="str">
        <x:v>Direct or strongly ADHD-related record retained for later screening; typically narrower treatment, biomarker, mechanistic, or single-comorbidity focus.</x:v>
      </x:c>
      <x:c r="J1439" s="38" t="e">
        <x:f>HYPERLINK("https://pubmed.ncbi.nlm.nih.gov/"&amp;C1439&amp;"/","Open PubMed")</x:f>
        <x:v>HYPERLINK is not implemented. linkLocation=https://pubmed.ncbi.nlm.nih.gov/20102568/, friendlyName=Open PubMed</x:v>
      </x:c>
    </x:row>
    <x:row r="1440">
      <x:c r="A1440" s="26" t="str">
        <x:v>PUBMED-20102542</x:v>
      </x:c>
      <x:c r="B1440" s="26" t="n">
        <x:v>2010</x:v>
      </x:c>
      <x:c r="C1440" s="26" t="str">
        <x:v>20102542</x:v>
      </x:c>
      <x:c r="D1440" s="28" t="str">
        <x:v>High sense of coherence in adolescence is a protective factor in the longitudinal development of ADHD symptoms.</x:v>
      </x:c>
      <x:c r="E1440" s="28" t="str">
        <x:v>Primary/contextual journal article</x:v>
      </x:c>
      <x:c r="F1440" s="28" t="str">
        <x:v>Development &amp; presentation; Family &amp; education; Social &amp; structural; Life outcomes &amp; lived experience</x:v>
      </x:c>
      <x:c r="G1440" s="28" t="str">
        <x:v>Adolescence; Adulthood</x:v>
      </x:c>
      <x:c r="H1440" s="28" t="str">
        <x:v>Later specialized</x:v>
      </x:c>
      <x:c r="I1440" s="28" t="str">
        <x:v>Direct or strongly ADHD-related record retained for later screening; typically narrower treatment, biomarker, mechanistic, or single-comorbidity focus.</x:v>
      </x:c>
      <x:c r="J1440" s="38" t="e">
        <x:f>HYPERLINK("https://pubmed.ncbi.nlm.nih.gov/"&amp;C1440&amp;"/","Open PubMed")</x:f>
        <x:v>HYPERLINK is not implemented. linkLocation=https://pubmed.ncbi.nlm.nih.gov/20102542/, friendlyName=Open PubMed</x:v>
      </x:c>
    </x:row>
    <x:row r="1441">
      <x:c r="A1441" s="26" t="str">
        <x:v>PUBMED-20100759</x:v>
      </x:c>
      <x:c r="B1441" s="26" t="n">
        <x:v>2010</x:v>
      </x:c>
      <x:c r="C1441" s="26" t="str">
        <x:v>20100759</x:v>
      </x:c>
      <x:c r="D1441" s="28" t="str">
        <x:v>Mixed-handedness is linked to mental health problems in children and adolescents.</x:v>
      </x:c>
      <x:c r="E1441" s="28" t="str">
        <x:v>Primary study - cohort</x:v>
      </x:c>
      <x:c r="F1441" s="28" t="str">
        <x:v>Development &amp; presentation; Recognition &amp; diagnosis; Family &amp; education; Social &amp; structural; Environmental &amp; lifestyle; Treatment &amp; support</x:v>
      </x:c>
      <x:c r="G1441" s="28" t="str">
        <x:v>Childhood; Adolescence</x:v>
      </x:c>
      <x:c r="H1441" s="28" t="str">
        <x:v>Later specialized</x:v>
      </x:c>
      <x:c r="I1441" s="28" t="str">
        <x:v>Direct or strongly ADHD-related record retained for later screening; typically narrower treatment, biomarker, mechanistic, or single-comorbidity focus.</x:v>
      </x:c>
      <x:c r="J1441" s="38" t="e">
        <x:f>HYPERLINK("https://pubmed.ncbi.nlm.nih.gov/"&amp;C1441&amp;"/","Open PubMed")</x:f>
        <x:v>HYPERLINK is not implemented. linkLocation=https://pubmed.ncbi.nlm.nih.gov/20100759/, friendlyName=Open PubMed</x:v>
      </x:c>
    </x:row>
    <x:row r="1442">
      <x:c r="A1442" s="26" t="str">
        <x:v>PUBMED-20093941</x:v>
      </x:c>
      <x:c r="B1442" s="26" t="n">
        <x:v>2010</x:v>
      </x:c>
      <x:c r="C1442" s="26" t="str">
        <x:v>20093941</x:v>
      </x:c>
      <x:c r="D1442" s="28" t="str">
        <x:v>The effect of OROS methylphenidate on the sleep of children with attention-deficit/hyperactivity disorder.</x:v>
      </x:c>
      <x:c r="E1442" s="28" t="str">
        <x:v>Primary study - clinical trial</x:v>
      </x:c>
      <x:c r="F1442" s="28" t="str">
        <x:v>Development &amp; presentation; Recognition &amp; diagnosis; Family &amp; education; Social &amp; structural; Environmental &amp; lifestyle; Treatment &amp; support; Life outcomes &amp; lived experience</x:v>
      </x:c>
      <x:c r="G1442" s="28" t="str">
        <x:v>Childhood</x:v>
      </x:c>
      <x:c r="H1442" s="28" t="str">
        <x:v>Later specialized</x:v>
      </x:c>
      <x:c r="I1442" s="28" t="str">
        <x:v>Direct or strongly ADHD-related record retained for later screening; typically narrower treatment, biomarker, mechanistic, or single-comorbidity focus.</x:v>
      </x:c>
      <x:c r="J1442" s="38" t="e">
        <x:f>HYPERLINK("https://pubmed.ncbi.nlm.nih.gov/"&amp;C1442&amp;"/","Open PubMed")</x:f>
        <x:v>HYPERLINK is not implemented. linkLocation=https://pubmed.ncbi.nlm.nih.gov/20093941/, friendlyName=Open PubMed</x:v>
      </x:c>
    </x:row>
    <x:row r="1443">
      <x:c r="A1443" s="26" t="str">
        <x:v>PUBMED-20083646</x:v>
      </x:c>
      <x:c r="B1443" s="26" t="n">
        <x:v>2010</x:v>
      </x:c>
      <x:c r="C1443" s="26" t="str">
        <x:v>20083646</x:v>
      </x:c>
      <x:c r="D1443" s="28" t="str">
        <x:v>Relationship between cigarette smoking and childhood symptoms of inattention and hyperactivity/impulsivity in alcohol-dependent adults without attention-deficit hyperactivity disorder.</x:v>
      </x:c>
      <x:c r="E1443" s="28" t="str">
        <x:v>Primary/contextual journal article</x:v>
      </x:c>
      <x:c r="F1443" s="28" t="str">
        <x:v>Development &amp; presentation; Recognition &amp; diagnosis; Social &amp; structural; Environmental &amp; lifestyle; Treatment &amp; support; Life outcomes &amp; lived experience; Historical &amp; contemporary context</x:v>
      </x:c>
      <x:c r="G1443" s="28" t="str">
        <x:v>Childhood; Adulthood</x:v>
      </x:c>
      <x:c r="H1443" s="28" t="str">
        <x:v>Later specialized</x:v>
      </x:c>
      <x:c r="I1443" s="28" t="str">
        <x:v>Direct or strongly ADHD-related record retained for later screening; typically narrower treatment, biomarker, mechanistic, or single-comorbidity focus.</x:v>
      </x:c>
      <x:c r="J1443" s="38" t="e">
        <x:f>HYPERLINK("https://pubmed.ncbi.nlm.nih.gov/"&amp;C1443&amp;"/","Open PubMed")</x:f>
        <x:v>HYPERLINK is not implemented. linkLocation=https://pubmed.ncbi.nlm.nih.gov/20083646/, friendlyName=Open PubMed</x:v>
      </x:c>
    </x:row>
    <x:row r="1444">
      <x:c r="A1444" s="26" t="str">
        <x:v>PUBMED-20074251</x:v>
      </x:c>
      <x:c r="B1444" s="26" t="n">
        <x:v>2010</x:v>
      </x:c>
      <x:c r="C1444" s="26" t="str">
        <x:v>20074251</x:v>
      </x:c>
      <x:c r="D1444" s="28" t="str">
        <x:v>ADHD and academic performance: why does ADHD impact on academic performance and what can be done to support ADHD children in the classroom?</x:v>
      </x:c>
      <x:c r="E1444" s="28" t="str">
        <x:v>Evidence synthesis - review</x:v>
      </x:c>
      <x:c r="F1444" s="28" t="str">
        <x:v>Development &amp; presentation; Family &amp; education; Social &amp; structural; Life outcomes &amp; lived experience</x:v>
      </x:c>
      <x:c r="G1444" s="28" t="str">
        <x:v>Childhood; Adolescence; Adulthood</x:v>
      </x:c>
      <x:c r="H1444" s="28" t="str">
        <x:v>Later specialized</x:v>
      </x:c>
      <x:c r="I1444" s="28" t="str">
        <x:v>Direct or strongly ADHD-related record retained for later screening; typically narrower treatment, biomarker, mechanistic, or single-comorbidity focus.</x:v>
      </x:c>
      <x:c r="J1444" s="38" t="e">
        <x:f>HYPERLINK("https://pubmed.ncbi.nlm.nih.gov/"&amp;C1444&amp;"/","Open PubMed")</x:f>
        <x:v>HYPERLINK is not implemented. linkLocation=https://pubmed.ncbi.nlm.nih.gov/20074251/, friendlyName=Open PubMed</x:v>
      </x:c>
    </x:row>
    <x:row r="1445">
      <x:c r="A1445" s="26" t="str">
        <x:v>PUBMED-20070786</x:v>
      </x:c>
      <x:c r="B1445" s="26" t="n">
        <x:v>2010</x:v>
      </x:c>
      <x:c r="C1445" s="26" t="str">
        <x:v>20070786</x:v>
      </x:c>
      <x:c r="D1445" s="28" t="str">
        <x:v>Atomoxetine in the treatment of adults with subthreshold and/or late onset attention-deficit hyperactivity disorder-not otherwise specified (ADHD-NOS): a prospective open-label 6-week study.</x:v>
      </x:c>
      <x:c r="E1445" s="28" t="str">
        <x:v>Primary study - clinical trial</x:v>
      </x:c>
      <x:c r="F1445" s="28" t="str">
        <x:v>Development &amp; presentation; Recognition &amp; diagnosis; Social &amp; structural; Treatment &amp; support; Life outcomes &amp; lived experience</x:v>
      </x:c>
      <x:c r="G1445" s="28" t="str">
        <x:v>Adulthood</x:v>
      </x:c>
      <x:c r="H1445" s="28" t="str">
        <x:v>Later specialized</x:v>
      </x:c>
      <x:c r="I1445" s="28" t="str">
        <x:v>Direct or strongly ADHD-related record retained for later screening; typically narrower treatment, biomarker, mechanistic, or single-comorbidity focus.</x:v>
      </x:c>
      <x:c r="J1445" s="38" t="e">
        <x:f>HYPERLINK("https://pubmed.ncbi.nlm.nih.gov/"&amp;C1445&amp;"/","Open PubMed")</x:f>
        <x:v>HYPERLINK is not implemented. linkLocation=https://pubmed.ncbi.nlm.nih.gov/20070786/, friendlyName=Open PubMed</x:v>
      </x:c>
    </x:row>
    <x:row r="1446">
      <x:c r="A1446" s="26" t="str">
        <x:v>PUBMED-20068377</x:v>
      </x:c>
      <x:c r="B1446" s="26" t="n">
        <x:v>2010</x:v>
      </x:c>
      <x:c r="C1446" s="26" t="str">
        <x:v>20068377</x:v>
      </x:c>
      <x:c r="D1446" s="28" t="str">
        <x:v>A naturalistic exploratory study of the impact of demographic, phenotypic and comorbid features in pediatric obsessive-compulsive disorder.</x:v>
      </x:c>
      <x:c r="E1446" s="28" t="str">
        <x:v>Primary study - cross-sectional</x:v>
      </x:c>
      <x:c r="F1446" s="28" t="str">
        <x:v>Development &amp; presentation; Recognition &amp; diagnosis; Family &amp; education; Social &amp; structural; Treatment &amp; support</x:v>
      </x:c>
      <x:c r="G1446" s="28" t="str">
        <x:v>Childhood; Adolescence</x:v>
      </x:c>
      <x:c r="H1446" s="28" t="str">
        <x:v>Later specialized</x:v>
      </x:c>
      <x:c r="I1446" s="28" t="str">
        <x:v>Direct or strongly ADHD-related record retained for later screening; typically narrower treatment, biomarker, mechanistic, or single-comorbidity focus.</x:v>
      </x:c>
      <x:c r="J1446" s="38" t="e">
        <x:f>HYPERLINK("https://pubmed.ncbi.nlm.nih.gov/"&amp;C1446&amp;"/","Open PubMed")</x:f>
        <x:v>HYPERLINK is not implemented. linkLocation=https://pubmed.ncbi.nlm.nih.gov/20068377/, friendlyName=Open PubMed</x:v>
      </x:c>
    </x:row>
    <x:row r="1447">
      <x:c r="A1447" s="26" t="str">
        <x:v>PUBMED-20060441</x:v>
      </x:c>
      <x:c r="B1447" s="26" t="n">
        <x:v>2010</x:v>
      </x:c>
      <x:c r="C1447" s="26" t="str">
        <x:v>20060441</x:v>
      </x:c>
      <x:c r="D1447" s="28" t="str">
        <x:v>Choice behavior in spontaneously hypertensive rats: variable vs. fixed schedules of reinforcement.</x:v>
      </x:c>
      <x:c r="E1447" s="28" t="str">
        <x:v>Primary/contextual journal article</x:v>
      </x:c>
      <x:c r="F1447" s="28" t="str">
        <x:v>Development &amp; presentation; Social &amp; structural</x:v>
      </x:c>
      <x:c r="G1447" s="28" t="str">
        <x:v>Not specified</x:v>
      </x:c>
      <x:c r="H1447" s="28" t="str">
        <x:v>Exclude/incidental</x:v>
      </x:c>
      <x:c r="I1447" s="28" t="str">
        <x:v>Animal-only record; retained outside the human-focused core corpus.</x:v>
      </x:c>
      <x:c r="J1447" s="38" t="e">
        <x:f>HYPERLINK("https://pubmed.ncbi.nlm.nih.gov/"&amp;C1447&amp;"/","Open PubMed")</x:f>
        <x:v>HYPERLINK is not implemented. linkLocation=https://pubmed.ncbi.nlm.nih.gov/20060441/, friendlyName=Open PubMed</x:v>
      </x:c>
    </x:row>
    <x:row r="1448">
      <x:c r="A1448" s="26" t="str">
        <x:v>PUBMED-20050995</x:v>
      </x:c>
      <x:c r="B1448" s="26" t="n">
        <x:v>2010</x:v>
      </x:c>
      <x:c r="C1448" s="26" t="str">
        <x:v>20050995</x:v>
      </x:c>
      <x:c r="D1448" s="28" t="str">
        <x:v>The sleep of children with attention deficit hyperactivity disorder on and off methylphenidate: a matched case-control study.</x:v>
      </x:c>
      <x:c r="E1448" s="28" t="str">
        <x:v>Primary study - randomized controlled trial</x:v>
      </x:c>
      <x:c r="F1448" s="28" t="str">
        <x:v>Development &amp; presentation; Recognition &amp; diagnosis; Social &amp; structural; Environmental &amp; lifestyle; Treatment &amp; support; Life outcomes &amp; lived experience</x:v>
      </x:c>
      <x:c r="G1448" s="28" t="str">
        <x:v>Childhood</x:v>
      </x:c>
      <x:c r="H1448" s="28" t="str">
        <x:v>Later specialized</x:v>
      </x:c>
      <x:c r="I1448" s="28" t="str">
        <x:v>Direct or strongly ADHD-related record retained for later screening; typically narrower treatment, biomarker, mechanistic, or single-comorbidity focus.</x:v>
      </x:c>
      <x:c r="J1448" s="38" t="e">
        <x:f>HYPERLINK("https://pubmed.ncbi.nlm.nih.gov/"&amp;C1448&amp;"/","Open PubMed")</x:f>
        <x:v>HYPERLINK is not implemented. linkLocation=https://pubmed.ncbi.nlm.nih.gov/20050995/, friendlyName=Open PubMed</x:v>
      </x:c>
    </x:row>
    <x:row r="1449">
      <x:c r="A1449" s="26" t="str">
        <x:v>PUBMED-20047681</x:v>
      </x:c>
      <x:c r="B1449" s="26" t="n">
        <x:v>2010</x:v>
      </x:c>
      <x:c r="C1449" s="26" t="str">
        <x:v>20047681</x:v>
      </x:c>
      <x:c r="D1449" s="28" t="str">
        <x:v>Owner reports of attention, activity, and impulsivity in dogs: a replication study.</x:v>
      </x:c>
      <x:c r="E1449" s="28" t="str">
        <x:v>Primary study - cohort</x:v>
      </x:c>
      <x:c r="F1449" s="28" t="str">
        <x:v>Development &amp; presentation; Recognition &amp; diagnosis; Family &amp; education; Social &amp; structural; Historical &amp; contemporary context</x:v>
      </x:c>
      <x:c r="G1449" s="28" t="str">
        <x:v>Not specified</x:v>
      </x:c>
      <x:c r="H1449" s="28" t="str">
        <x:v>Later specialized</x:v>
      </x:c>
      <x:c r="I1449" s="28" t="str">
        <x:v>Direct or strongly ADHD-related record retained for later screening; typically narrower treatment, biomarker, mechanistic, or single-comorbidity focus.</x:v>
      </x:c>
      <x:c r="J1449" s="38" t="e">
        <x:f>HYPERLINK("https://pubmed.ncbi.nlm.nih.gov/"&amp;C1449&amp;"/","Open PubMed")</x:f>
        <x:v>HYPERLINK is not implemented. linkLocation=https://pubmed.ncbi.nlm.nih.gov/20047681/, friendlyName=Open PubMed</x:v>
      </x:c>
    </x:row>
    <x:row r="1450">
      <x:c r="A1450" s="26" t="str">
        <x:v>PUBMED-21442975</x:v>
      </x:c>
      <x:c r="B1450" s="26" t="n">
        <x:v>2010</x:v>
      </x:c>
      <x:c r="C1450" s="26" t="str">
        <x:v>21442975</x:v>
      </x:c>
      <x:c r="D1450" s="28" t="str">
        <x:v>[Neurodevelopmental disorders in response to hormonally active environmental pollutants].</x:v>
      </x:c>
      <x:c r="E1450" s="28" t="str">
        <x:v>Evidence synthesis - review</x:v>
      </x:c>
      <x:c r="F1450" s="28" t="str">
        <x:v>Development &amp; presentation; Family &amp; education; Social &amp; structural; Environmental &amp; lifestyle; Treatment &amp; support; Life outcomes &amp; lived experience</x:v>
      </x:c>
      <x:c r="G1450" s="28" t="str">
        <x:v>Childhood; Adulthood</x:v>
      </x:c>
      <x:c r="H1450" s="28" t="str">
        <x:v>Later specialized</x:v>
      </x:c>
      <x:c r="I1450" s="28" t="str">
        <x:v>Direct or strongly ADHD-related record retained for later screening; typically narrower treatment, biomarker, mechanistic, or single-comorbidity focus.</x:v>
      </x:c>
      <x:c r="J1450" s="38" t="e">
        <x:f>HYPERLINK("https://pubmed.ncbi.nlm.nih.gov/"&amp;C1450&amp;"/","Open PubMed")</x:f>
        <x:v>HYPERLINK is not implemented. linkLocation=https://pubmed.ncbi.nlm.nih.gov/21442975/, friendlyName=Open PubMed</x:v>
      </x:c>
    </x:row>
    <x:row r="1451">
      <x:c r="A1451" s="26" t="str">
        <x:v>PUBMED-21422552</x:v>
      </x:c>
      <x:c r="B1451" s="26" t="n">
        <x:v>2010</x:v>
      </x:c>
      <x:c r="C1451" s="26" t="str">
        <x:v>21422552</x:v>
      </x:c>
      <x:c r="D1451" s="28" t="str">
        <x:v>Dual task performance in children and adolescents with ADHD.</x:v>
      </x:c>
      <x:c r="E1451" s="28" t="str">
        <x:v>Primary/contextual journal article</x:v>
      </x:c>
      <x:c r="F1451" s="28" t="str">
        <x:v>Development &amp; presentation; Social &amp; structural</x:v>
      </x:c>
      <x:c r="G1451" s="28" t="str">
        <x:v>Childhood; Adolescence</x:v>
      </x:c>
      <x:c r="H1451" s="28" t="str">
        <x:v>Later specialized</x:v>
      </x:c>
      <x:c r="I1451" s="28" t="str">
        <x:v>Direct or strongly ADHD-related record retained for later screening; typically narrower treatment, biomarker, mechanistic, or single-comorbidity focus.</x:v>
      </x:c>
      <x:c r="J1451" s="38" t="e">
        <x:f>HYPERLINK("https://pubmed.ncbi.nlm.nih.gov/"&amp;C1451&amp;"/","Open PubMed")</x:f>
        <x:v>HYPERLINK is not implemented. linkLocation=https://pubmed.ncbi.nlm.nih.gov/21422552/, friendlyName=Open PubMed</x:v>
      </x:c>
    </x:row>
    <x:row r="1452">
      <x:c r="A1452" s="26" t="str">
        <x:v>PUBMED-21355494</x:v>
      </x:c>
      <x:c r="B1452" s="26" t="n">
        <x:v>2010</x:v>
      </x:c>
      <x:c r="C1452" s="26" t="str">
        <x:v>21355494</x:v>
      </x:c>
      <x:c r="D1452" s="28" t="str">
        <x:v>When you smoke your baby smokes: advancing maternal and child health through an academic alliance to improve health of mothers and their infants.</x:v>
      </x:c>
      <x:c r="E1452" s="28" t="str">
        <x:v>Contextual - editorial/comment</x:v>
      </x:c>
      <x:c r="F1452" s="28" t="str">
        <x:v>Development &amp; presentation; Family &amp; education; Social &amp; structural; Environmental &amp; lifestyle; Treatment &amp; support</x:v>
      </x:c>
      <x:c r="G1452" s="28" t="str">
        <x:v>Adulthood</x:v>
      </x:c>
      <x:c r="H1452" s="28" t="str">
        <x:v>Later specialized</x:v>
      </x:c>
      <x:c r="I1452" s="28" t="str">
        <x:v>Direct or strongly ADHD-related record retained for later screening; typically narrower treatment, biomarker, mechanistic, or single-comorbidity focus.</x:v>
      </x:c>
      <x:c r="J1452" s="38" t="e">
        <x:f>HYPERLINK("https://pubmed.ncbi.nlm.nih.gov/"&amp;C1452&amp;"/","Open PubMed")</x:f>
        <x:v>HYPERLINK is not implemented. linkLocation=https://pubmed.ncbi.nlm.nih.gov/21355494/, friendlyName=Open PubMed</x:v>
      </x:c>
    </x:row>
    <x:row r="1453">
      <x:c r="A1453" s="26" t="str">
        <x:v>PUBMED-20042370</x:v>
      </x:c>
      <x:c r="B1453" s="26" t="n">
        <x:v>2010</x:v>
      </x:c>
      <x:c r="C1453" s="26" t="str">
        <x:v>20042370</x:v>
      </x:c>
      <x:c r="D1453" s="28" t="str">
        <x:v>EEG abnormalities and epilepsy in autistic spectrum disorders: clinical and familial correlates.</x:v>
      </x:c>
      <x:c r="E1453" s="28" t="str">
        <x:v>Primary/contextual journal article</x:v>
      </x:c>
      <x:c r="F1453" s="28" t="str">
        <x:v>Development &amp; presentation; Recognition &amp; diagnosis; Family &amp; education; Social &amp; structural; Environmental &amp; lifestyle; Life outcomes &amp; lived experience; Historical &amp; contemporary context</x:v>
      </x:c>
      <x:c r="G1453" s="28" t="str">
        <x:v>Childhood; Adolescence</x:v>
      </x:c>
      <x:c r="H1453" s="28" t="str">
        <x:v>Exclude/incidental</x:v>
      </x:c>
      <x:c r="I1453" s="28" t="str">
        <x:v>ADHD appears peripheral or insufficiently aligned with the requested corpus scope based on accessible metadata/abstract.</x:v>
      </x:c>
      <x:c r="J1453" s="38" t="e">
        <x:f>HYPERLINK("https://pubmed.ncbi.nlm.nih.gov/"&amp;C1453&amp;"/","Open PubMed")</x:f>
        <x:v>HYPERLINK is not implemented. linkLocation=https://pubmed.ncbi.nlm.nih.gov/20042370/, friendlyName=Open PubMed</x:v>
      </x:c>
    </x:row>
    <x:row r="1454">
      <x:c r="A1454" s="26" t="str">
        <x:v>PUBMED-20029387</x:v>
      </x:c>
      <x:c r="B1454" s="26" t="n">
        <x:v>2010</x:v>
      </x:c>
      <x:c r="C1454" s="26" t="str">
        <x:v>20029387</x:v>
      </x:c>
      <x:c r="D1454" s="28" t="str">
        <x:v>Functional analysis of intron 8 and 3' UTR variable number of tandem repeats of SLC6A3: differential activity of intron 8 variants.</x:v>
      </x:c>
      <x:c r="E1454" s="28" t="str">
        <x:v>Primary/contextual journal article</x:v>
      </x:c>
      <x:c r="F1454" s="28" t="str">
        <x:v>Development &amp; presentation; Social &amp; structural; Treatment &amp; support</x:v>
      </x:c>
      <x:c r="G1454" s="28" t="str">
        <x:v>Not specified</x:v>
      </x:c>
      <x:c r="H1454" s="28" t="str">
        <x:v>Later specialized</x:v>
      </x:c>
      <x:c r="I1454" s="28" t="str">
        <x:v>Direct or strongly ADHD-related record retained for later screening; typically narrower treatment, biomarker, mechanistic, or single-comorbidity focus.</x:v>
      </x:c>
      <x:c r="J1454" s="38" t="e">
        <x:f>HYPERLINK("https://pubmed.ncbi.nlm.nih.gov/"&amp;C1454&amp;"/","Open PubMed")</x:f>
        <x:v>HYPERLINK is not implemented. linkLocation=https://pubmed.ncbi.nlm.nih.gov/20029387/, friendlyName=Open PubMed</x:v>
      </x:c>
    </x:row>
    <x:row r="1455">
      <x:c r="A1455" s="26" t="str">
        <x:v>PUBMED-20025620</x:v>
      </x:c>
      <x:c r="B1455" s="26" t="n">
        <x:v>2010</x:v>
      </x:c>
      <x:c r="C1455" s="26" t="str">
        <x:v>20025620</x:v>
      </x:c>
      <x:c r="D1455" s="28" t="str">
        <x:v>Incentive-elicited mesolimbic activation and externalizing symptomatology in adolescents.</x:v>
      </x:c>
      <x:c r="E1455" s="28" t="str">
        <x:v>Primary/contextual journal article</x:v>
      </x:c>
      <x:c r="F1455" s="28" t="str">
        <x:v>Development &amp; presentation; Recognition &amp; diagnosis; Social &amp; structural; Treatment &amp; support; Life outcomes &amp; lived experience</x:v>
      </x:c>
      <x:c r="G1455" s="28" t="str">
        <x:v>Childhood; Adolescence</x:v>
      </x:c>
      <x:c r="H1455" s="28" t="str">
        <x:v>Exclude/incidental</x:v>
      </x:c>
      <x:c r="I1455" s="28" t="str">
        <x:v>ADHD appears peripheral or insufficiently aligned with the requested corpus scope based on accessible metadata/abstract.</x:v>
      </x:c>
      <x:c r="J1455" s="38" t="e">
        <x:f>HYPERLINK("https://pubmed.ncbi.nlm.nih.gov/"&amp;C1455&amp;"/","Open PubMed")</x:f>
        <x:v>HYPERLINK is not implemented. linkLocation=https://pubmed.ncbi.nlm.nih.gov/20025620/, friendlyName=Open PubMed</x:v>
      </x:c>
    </x:row>
    <x:row r="1456">
      <x:c r="A1456" s="26" t="str">
        <x:v>PUBMED-20025437</x:v>
      </x:c>
      <x:c r="B1456" s="26" t="n">
        <x:v>2010</x:v>
      </x:c>
      <x:c r="C1456" s="26" t="str">
        <x:v>20025437</x:v>
      </x:c>
      <x:c r="D1456" s="28" t="str">
        <x:v>"Adderall is definitely not a drug": justifications for the illegal use of ADHD stimulants.</x:v>
      </x:c>
      <x:c r="E1456" s="28" t="str">
        <x:v>Primary/contextual journal article</x:v>
      </x:c>
      <x:c r="F1456" s="28" t="str">
        <x:v>Development &amp; presentation; Social &amp; structural; Treatment &amp; support; Historical &amp; contemporary context</x:v>
      </x:c>
      <x:c r="G1456" s="28" t="str">
        <x:v>Not specified</x:v>
      </x:c>
      <x:c r="H1456" s="28" t="str">
        <x:v>Later specialized</x:v>
      </x:c>
      <x:c r="I1456" s="28" t="str">
        <x:v>Direct or strongly ADHD-related record retained for later screening; typically narrower treatment, biomarker, mechanistic, or single-comorbidity focus.</x:v>
      </x:c>
      <x:c r="J1456" s="38" t="e">
        <x:f>HYPERLINK("https://pubmed.ncbi.nlm.nih.gov/"&amp;C1456&amp;"/","Open PubMed")</x:f>
        <x:v>HYPERLINK is not implemented. linkLocation=https://pubmed.ncbi.nlm.nih.gov/20025437/, friendlyName=Open PubMed</x:v>
      </x:c>
    </x:row>
    <x:row r="1457">
      <x:c r="A1457" s="26" t="str">
        <x:v>PUBMED-20024596</x:v>
      </x:c>
      <x:c r="B1457" s="26" t="n">
        <x:v>2010</x:v>
      </x:c>
      <x:c r="C1457" s="26" t="str">
        <x:v>20024596</x:v>
      </x:c>
      <x:c r="D1457" s="28" t="str">
        <x:v>From nature versus nurture, via nature and nurture, to gene x environment interaction in mental disorders.</x:v>
      </x:c>
      <x:c r="E1457" s="28" t="str">
        <x:v>Evidence synthesis - review</x:v>
      </x:c>
      <x:c r="F1457" s="28" t="str">
        <x:v>Development &amp; presentation; Social &amp; structural; Environmental &amp; lifestyle; Treatment &amp; support; Life outcomes &amp; lived experience</x:v>
      </x:c>
      <x:c r="G1457" s="28" t="str">
        <x:v>Childhood; Adolescence</x:v>
      </x:c>
      <x:c r="H1457" s="28" t="str">
        <x:v>Later specialized</x:v>
      </x:c>
      <x:c r="I1457" s="28" t="str">
        <x:v>Direct or strongly ADHD-related record retained for later screening; typically narrower treatment, biomarker, mechanistic, or single-comorbidity focus.</x:v>
      </x:c>
      <x:c r="J1457" s="38" t="e">
        <x:f>HYPERLINK("https://pubmed.ncbi.nlm.nih.gov/"&amp;C1457&amp;"/","Open PubMed")</x:f>
        <x:v>HYPERLINK is not implemented. linkLocation=https://pubmed.ncbi.nlm.nih.gov/20024596/, friendlyName=Open PubMed</x:v>
      </x:c>
    </x:row>
    <x:row r="1458">
      <x:c r="A1458" s="26" t="str">
        <x:v>PUBMED-20015599</x:v>
      </x:c>
      <x:c r="B1458" s="26" t="n">
        <x:v>2010</x:v>
      </x:c>
      <x:c r="C1458" s="26" t="str">
        <x:v>20015599</x:v>
      </x:c>
      <x:c r="D1458" s="28" t="str">
        <x:v>Sustained release methylphenidate for the treatment of ADHD in amphetamine abusers: a pilot study.</x:v>
      </x:c>
      <x:c r="E1458" s="28" t="str">
        <x:v>Primary study - randomized controlled trial</x:v>
      </x:c>
      <x:c r="F1458" s="28" t="str">
        <x:v>Development &amp; presentation; Recognition &amp; diagnosis; Social &amp; structural; Environmental &amp; lifestyle; Treatment &amp; support; Life outcomes &amp; lived experience</x:v>
      </x:c>
      <x:c r="G1458" s="28" t="str">
        <x:v>Adulthood</x:v>
      </x:c>
      <x:c r="H1458" s="28" t="str">
        <x:v>Later specialized</x:v>
      </x:c>
      <x:c r="I1458" s="28" t="str">
        <x:v>Direct or strongly ADHD-related record retained for later screening; typically narrower treatment, biomarker, mechanistic, or single-comorbidity focus.</x:v>
      </x:c>
      <x:c r="J1458" s="38" t="e">
        <x:f>HYPERLINK("https://pubmed.ncbi.nlm.nih.gov/"&amp;C1458&amp;"/","Open PubMed")</x:f>
        <x:v>HYPERLINK is not implemented. linkLocation=https://pubmed.ncbi.nlm.nih.gov/20015599/, friendlyName=Open PubMed</x:v>
      </x:c>
    </x:row>
    <x:row r="1459">
      <x:c r="A1459" s="26" t="str">
        <x:v>PUBMED-20013441</x:v>
      </x:c>
      <x:c r="B1459" s="26" t="n">
        <x:v>2010</x:v>
      </x:c>
      <x:c r="C1459" s="26" t="str">
        <x:v>20013441</x:v>
      </x:c>
      <x:c r="D1459" s="28" t="str">
        <x:v>Pattern of intake of food additives associated with hyperactivity in Irish children and teenagers.</x:v>
      </x:c>
      <x:c r="E1459" s="28" t="str">
        <x:v>Primary/contextual journal article</x:v>
      </x:c>
      <x:c r="F1459" s="28" t="str">
        <x:v>Development &amp; presentation; Recognition &amp; diagnosis; Family &amp; education; Social &amp; structural; Environmental &amp; lifestyle; Treatment &amp; support; Life outcomes &amp; lived experience</x:v>
      </x:c>
      <x:c r="G1459" s="28" t="str">
        <x:v>Childhood; Adolescence</x:v>
      </x:c>
      <x:c r="H1459" s="28" t="str">
        <x:v>Later specialized</x:v>
      </x:c>
      <x:c r="I1459" s="28" t="str">
        <x:v>Direct or strongly ADHD-related record retained for later screening; typically narrower treatment, biomarker, mechanistic, or single-comorbidity focus.</x:v>
      </x:c>
      <x:c r="J1459" s="38" t="e">
        <x:f>HYPERLINK("https://pubmed.ncbi.nlm.nih.gov/"&amp;C1459&amp;"/","Open PubMed")</x:f>
        <x:v>HYPERLINK is not implemented. linkLocation=https://pubmed.ncbi.nlm.nih.gov/20013441/, friendlyName=Open PubMed</x:v>
      </x:c>
    </x:row>
    <x:row r="1460">
      <x:c r="A1460" s="26" t="str">
        <x:v>PUBMED-20008821</x:v>
      </x:c>
      <x:c r="B1460" s="26" t="n">
        <x:v>2010</x:v>
      </x:c>
      <x:c r="C1460" s="26" t="str">
        <x:v>20008821</x:v>
      </x:c>
      <x:c r="D1460" s="28" t="str">
        <x:v>The gold medal face of ADHD.</x:v>
      </x:c>
      <x:c r="E1460" s="28" t="str">
        <x:v>Primary/contextual journal article</x:v>
      </x:c>
      <x:c r="F1460" s="28" t="str">
        <x:v>Development &amp; presentation; Historical &amp; contemporary context</x:v>
      </x:c>
      <x:c r="G1460" s="28" t="str">
        <x:v>Not specified</x:v>
      </x:c>
      <x:c r="H1460" s="28" t="str">
        <x:v>Later specialized</x:v>
      </x:c>
      <x:c r="I1460" s="28" t="str">
        <x:v>Direct or strongly ADHD-related record retained for later screening; typically narrower treatment, biomarker, mechanistic, or single-comorbidity focus.</x:v>
      </x:c>
      <x:c r="J1460" s="38" t="e">
        <x:f>HYPERLINK("https://pubmed.ncbi.nlm.nih.gov/"&amp;C1460&amp;"/","Open PubMed")</x:f>
        <x:v>HYPERLINK is not implemented. linkLocation=https://pubmed.ncbi.nlm.nih.gov/20008821/, friendlyName=Open PubMed</x:v>
      </x:c>
    </x:row>
    <x:row r="1461">
      <x:c r="A1461" s="26" t="str">
        <x:v>PUBMED-20006992</x:v>
      </x:c>
      <x:c r="B1461" s="26" t="n">
        <x:v>2010</x:v>
      </x:c>
      <x:c r="C1461" s="26" t="str">
        <x:v>20006992</x:v>
      </x:c>
      <x:c r="D1461" s="28" t="str">
        <x:v>Correlation of a set of gene variants, life events and personality features on adult ADHD severity.</x:v>
      </x:c>
      <x:c r="E1461" s="28" t="str">
        <x:v>Primary/contextual journal article</x:v>
      </x:c>
      <x:c r="F1461" s="28" t="str">
        <x:v>Development &amp; presentation; Recognition &amp; diagnosis; Social &amp; structural; Environmental &amp; lifestyle; Treatment &amp; support; Life outcomes &amp; lived experience</x:v>
      </x:c>
      <x:c r="G1461" s="28" t="str">
        <x:v>Childhood; Adolescence; Adulthood</x:v>
      </x:c>
      <x:c r="H1461" s="28" t="str">
        <x:v>Later specialized</x:v>
      </x:c>
      <x:c r="I1461" s="28" t="str">
        <x:v>Direct or strongly ADHD-related record retained for later screening; typically narrower treatment, biomarker, mechanistic, or single-comorbidity focus.</x:v>
      </x:c>
      <x:c r="J1461" s="38" t="e">
        <x:f>HYPERLINK("https://pubmed.ncbi.nlm.nih.gov/"&amp;C1461&amp;"/","Open PubMed")</x:f>
        <x:v>HYPERLINK is not implemented. linkLocation=https://pubmed.ncbi.nlm.nih.gov/20006992/, friendlyName=Open PubMed</x:v>
      </x:c>
    </x:row>
    <x:row r="1462">
      <x:c r="A1462" s="26" t="str">
        <x:v>PUBMED-20003583</x:v>
      </x:c>
      <x:c r="B1462" s="26" t="n">
        <x:v>2010</x:v>
      </x:c>
      <x:c r="C1462" s="26" t="str">
        <x:v>20003583</x:v>
      </x:c>
      <x:c r="D1462" s="28" t="str">
        <x:v>Interstimulus jitter facilitates response control in children with ADHD.</x:v>
      </x:c>
      <x:c r="E1462" s="28" t="str">
        <x:v>Primary/contextual journal article</x:v>
      </x:c>
      <x:c r="F1462" s="28" t="str">
        <x:v>Development &amp; presentation; Recognition &amp; diagnosis; Environmental &amp; lifestyle; Life outcomes &amp; lived experience</x:v>
      </x:c>
      <x:c r="G1462" s="28" t="str">
        <x:v>Childhood; Adolescence; Adulthood</x:v>
      </x:c>
      <x:c r="H1462" s="28" t="str">
        <x:v>Later specialized</x:v>
      </x:c>
      <x:c r="I1462" s="28" t="str">
        <x:v>Direct or strongly ADHD-related record retained for later screening; typically narrower treatment, biomarker, mechanistic, or single-comorbidity focus.</x:v>
      </x:c>
      <x:c r="J1462" s="38" t="e">
        <x:f>HYPERLINK("https://pubmed.ncbi.nlm.nih.gov/"&amp;C1462&amp;"/","Open PubMed")</x:f>
        <x:v>HYPERLINK is not implemented. linkLocation=https://pubmed.ncbi.nlm.nih.gov/20003583/, friendlyName=Open PubMed</x:v>
      </x:c>
    </x:row>
    <x:row r="1463">
      <x:c r="A1463" s="26" t="str">
        <x:v>PUBMED-20002622</x:v>
      </x:c>
      <x:c r="B1463" s="26" t="n">
        <x:v>2010</x:v>
      </x:c>
      <x:c r="C1463" s="26" t="str">
        <x:v>20002622</x:v>
      </x:c>
      <x:c r="D1463" s="28" t="str">
        <x:v>Social adversity predicts ADHD-medication in school children--a national cohort study.</x:v>
      </x:c>
      <x:c r="E1463" s="28" t="str">
        <x:v>Primary study - cohort</x:v>
      </x:c>
      <x:c r="F1463" s="28" t="str">
        <x:v>Development &amp; presentation; Family &amp; education; Social &amp; structural; Environmental &amp; lifestyle; Treatment &amp; support</x:v>
      </x:c>
      <x:c r="G1463" s="28" t="str">
        <x:v>Childhood</x:v>
      </x:c>
      <x:c r="H1463" s="28" t="str">
        <x:v>Batch 1 core</x:v>
      </x:c>
      <x:c r="I1463" s="28" t="str">
        <x:v>Direct ADHD primary study on diagnosis, family/education, structural conditions, lived experience/outcomes, or environment/lifestyle.</x:v>
      </x:c>
      <x:c r="J1463" s="38" t="e">
        <x:f>HYPERLINK("https://pubmed.ncbi.nlm.nih.gov/"&amp;C1463&amp;"/","Open PubMed")</x:f>
        <x:v>HYPERLINK is not implemented. linkLocation=https://pubmed.ncbi.nlm.nih.gov/20002622/, friendlyName=Open PubMed</x:v>
      </x:c>
    </x:row>
    <x:row r="1464">
      <x:c r="A1464" s="26" t="str">
        <x:v>PUBMED-19997043</x:v>
      </x:c>
      <x:c r="B1464" s="26" t="n">
        <x:v>2010</x:v>
      </x:c>
      <x:c r="C1464" s="26" t="str">
        <x:v>19997043</x:v>
      </x:c>
      <x:c r="D1464" s="28" t="str">
        <x:v>Variation in the catechol-O-methyltransferase Val 158 Met polymorphism associated with conduct disorder and ADHD symptoms, among adolescent male delinquents.</x:v>
      </x:c>
      <x:c r="E1464" s="28" t="str">
        <x:v>Primary/contextual journal article</x:v>
      </x:c>
      <x:c r="F1464" s="28" t="str">
        <x:v>Development &amp; presentation; Recognition &amp; diagnosis; Life outcomes &amp; lived experience</x:v>
      </x:c>
      <x:c r="G1464" s="28" t="str">
        <x:v>Adolescence</x:v>
      </x:c>
      <x:c r="H1464" s="28" t="str">
        <x:v>Later specialized</x:v>
      </x:c>
      <x:c r="I1464" s="28" t="str">
        <x:v>Direct or strongly ADHD-related record retained for later screening; typically narrower treatment, biomarker, mechanistic, or single-comorbidity focus.</x:v>
      </x:c>
      <x:c r="J1464" s="38" t="e">
        <x:f>HYPERLINK("https://pubmed.ncbi.nlm.nih.gov/"&amp;C1464&amp;"/","Open PubMed")</x:f>
        <x:v>HYPERLINK is not implemented. linkLocation=https://pubmed.ncbi.nlm.nih.gov/19997043/, friendlyName=Open PubMed</x:v>
      </x:c>
    </x:row>
    <x:row r="1465">
      <x:c r="A1465" s="26" t="str">
        <x:v>PUBMED-19939861</x:v>
      </x:c>
      <x:c r="B1465" s="26" t="n">
        <x:v>2010</x:v>
      </x:c>
      <x:c r="C1465" s="26" t="str">
        <x:v>19939861</x:v>
      </x:c>
      <x:c r="D1465" s="28" t="str">
        <x:v>Depression, anxiety and obsessive-compulsive symptoms and quality of life in children with attention-deficit hyperactivity disorder (ADHD) during three-month methylphenidate treatment.</x:v>
      </x:c>
      <x:c r="E1465" s="28" t="str">
        <x:v>Primary study - clinical trial</x:v>
      </x:c>
      <x:c r="F1465" s="28" t="str">
        <x:v>Development &amp; presentation; Family &amp; education; Social &amp; structural; Treatment &amp; support; Life outcomes &amp; lived experience</x:v>
      </x:c>
      <x:c r="G1465" s="28" t="str">
        <x:v>Childhood; Adolescence</x:v>
      </x:c>
      <x:c r="H1465" s="28" t="str">
        <x:v>Later specialized</x:v>
      </x:c>
      <x:c r="I1465" s="28" t="str">
        <x:v>Direct or strongly ADHD-related record retained for later screening; typically narrower treatment, biomarker, mechanistic, or single-comorbidity focus.</x:v>
      </x:c>
      <x:c r="J1465" s="38" t="e">
        <x:f>HYPERLINK("https://pubmed.ncbi.nlm.nih.gov/"&amp;C1465&amp;"/","Open PubMed")</x:f>
        <x:v>HYPERLINK is not implemented. linkLocation=https://pubmed.ncbi.nlm.nih.gov/19939861/, friendlyName=Open PubMed</x:v>
      </x:c>
    </x:row>
    <x:row r="1466">
      <x:c r="A1466" s="26" t="str">
        <x:v>PUBMED-19936695</x:v>
      </x:c>
      <x:c r="B1466" s="26" t="n">
        <x:v>2010</x:v>
      </x:c>
      <x:c r="C1466" s="26" t="str">
        <x:v>19936695</x:v>
      </x:c>
      <x:c r="D1466" s="28" t="str">
        <x:v>[The health economics of attention deficit hyperactivity disorder in Germany. Part 2: Therapeutic options and their cost-effectiveness].</x:v>
      </x:c>
      <x:c r="E1466" s="28" t="str">
        <x:v>Primary/contextual journal article</x:v>
      </x:c>
      <x:c r="F1466" s="28" t="str">
        <x:v>Development &amp; presentation; Social &amp; structural; Treatment &amp; support</x:v>
      </x:c>
      <x:c r="G1466" s="28" t="str">
        <x:v>Childhood</x:v>
      </x:c>
      <x:c r="H1466" s="28" t="str">
        <x:v>Later specialized</x:v>
      </x:c>
      <x:c r="I1466" s="28" t="str">
        <x:v>Direct or strongly ADHD-related record retained for later screening; typically narrower treatment, biomarker, mechanistic, or single-comorbidity focus.</x:v>
      </x:c>
      <x:c r="J1466" s="38" t="e">
        <x:f>HYPERLINK("https://pubmed.ncbi.nlm.nih.gov/"&amp;C1466&amp;"/","Open PubMed")</x:f>
        <x:v>HYPERLINK is not implemented. linkLocation=https://pubmed.ncbi.nlm.nih.gov/19936695/, friendlyName=Open PubMed</x:v>
      </x:c>
    </x:row>
    <x:row r="1467">
      <x:c r="A1467" s="26" t="str">
        <x:v>PUBMED-19926457</x:v>
      </x:c>
      <x:c r="B1467" s="26" t="n">
        <x:v>2010</x:v>
      </x:c>
      <x:c r="C1467" s="26" t="str">
        <x:v>19926457</x:v>
      </x:c>
      <x:c r="D1467" s="28" t="str">
        <x:v>Neural correlates of response inhibition in pediatric bipolar disorder and attention deficit hyperactivity disorder.</x:v>
      </x:c>
      <x:c r="E1467" s="28" t="str">
        <x:v>Primary/contextual journal article</x:v>
      </x:c>
      <x:c r="F1467" s="28" t="str">
        <x:v>Development &amp; presentation; Treatment &amp; support</x:v>
      </x:c>
      <x:c r="G1467" s="28" t="str">
        <x:v>Childhood; Adolescence</x:v>
      </x:c>
      <x:c r="H1467" s="28" t="str">
        <x:v>Later specialized</x:v>
      </x:c>
      <x:c r="I1467" s="28" t="str">
        <x:v>Direct or strongly ADHD-related record retained for later screening; typically narrower treatment, biomarker, mechanistic, or single-comorbidity focus.</x:v>
      </x:c>
      <x:c r="J1467" s="38" t="e">
        <x:f>HYPERLINK("https://pubmed.ncbi.nlm.nih.gov/"&amp;C1467&amp;"/","Open PubMed")</x:f>
        <x:v>HYPERLINK is not implemented. linkLocation=https://pubmed.ncbi.nlm.nih.gov/19926457/, friendlyName=Open PubMed</x:v>
      </x:c>
    </x:row>
    <x:row r="1468">
      <x:c r="A1468" s="26" t="str">
        <x:v>PUBMED-19917597</x:v>
      </x:c>
      <x:c r="B1468" s="26" t="n">
        <x:v>2010</x:v>
      </x:c>
      <x:c r="C1468" s="26" t="str">
        <x:v>19917597</x:v>
      </x:c>
      <x:c r="D1468" s="28" t="str">
        <x:v>Amygdala activation during emotion processing of neutral faces in children with severe mood dysregulation versus ADHD or bipolar disorder.</x:v>
      </x:c>
      <x:c r="E1468" s="28" t="str">
        <x:v>Primary/contextual journal article</x:v>
      </x:c>
      <x:c r="F1468" s="28" t="str">
        <x:v>Development &amp; presentation; Recognition &amp; diagnosis</x:v>
      </x:c>
      <x:c r="G1468" s="28" t="str">
        <x:v>Childhood; Adolescence</x:v>
      </x:c>
      <x:c r="H1468" s="28" t="str">
        <x:v>Later specialized</x:v>
      </x:c>
      <x:c r="I1468" s="28" t="str">
        <x:v>Direct or strongly ADHD-related record retained for later screening; typically narrower treatment, biomarker, mechanistic, or single-comorbidity focus.</x:v>
      </x:c>
      <x:c r="J1468" s="38" t="e">
        <x:f>HYPERLINK("https://pubmed.ncbi.nlm.nih.gov/"&amp;C1468&amp;"/","Open PubMed")</x:f>
        <x:v>HYPERLINK is not implemented. linkLocation=https://pubmed.ncbi.nlm.nih.gov/19917597/, friendlyName=Open PubMed</x:v>
      </x:c>
    </x:row>
    <x:row r="1469">
      <x:c r="A1469" s="26" t="str">
        <x:v>PUBMED-19914796</x:v>
      </x:c>
      <x:c r="B1469" s="26" t="n">
        <x:v>2010</x:v>
      </x:c>
      <x:c r="C1469" s="26" t="str">
        <x:v>19914796</x:v>
      </x:c>
      <x:c r="D1469" s="28" t="str">
        <x:v>Effect of developmental quotient on symptoms of inattention and impulsivity among toddlers with Autism Spectrum Disorders.</x:v>
      </x:c>
      <x:c r="E1469" s="28" t="str">
        <x:v>Primary/contextual journal article</x:v>
      </x:c>
      <x:c r="F1469" s="28" t="str">
        <x:v>Development &amp; presentation; Recognition &amp; diagnosis; Family &amp; education; Social &amp; structural</x:v>
      </x:c>
      <x:c r="G1469" s="28" t="str">
        <x:v>Childhood</x:v>
      </x:c>
      <x:c r="H1469" s="28" t="str">
        <x:v>Exclude/incidental</x:v>
      </x:c>
      <x:c r="I1469" s="28" t="str">
        <x:v>ADHD appears peripheral or insufficiently aligned with the requested corpus scope based on accessible metadata/abstract.</x:v>
      </x:c>
      <x:c r="J1469" s="38" t="e">
        <x:f>HYPERLINK("https://pubmed.ncbi.nlm.nih.gov/"&amp;C1469&amp;"/","Open PubMed")</x:f>
        <x:v>HYPERLINK is not implemented. linkLocation=https://pubmed.ncbi.nlm.nih.gov/19914796/, friendlyName=Open PubMed</x:v>
      </x:c>
    </x:row>
    <x:row r="1470">
      <x:c r="A1470" s="26" t="str">
        <x:v>PUBMED-19883199</x:v>
      </x:c>
      <x:c r="B1470" s="26" t="n">
        <x:v>2010</x:v>
      </x:c>
      <x:c r="C1470" s="26" t="str">
        <x:v>19883199</x:v>
      </x:c>
      <x:c r="D1470" s="28" t="str">
        <x:v>Coverage of the bibliographic databases in mental health research.</x:v>
      </x:c>
      <x:c r="E1470" s="28" t="str">
        <x:v>Primary/contextual journal article</x:v>
      </x:c>
      <x:c r="F1470" s="28" t="str">
        <x:v>Development &amp; presentation; Social &amp; structural</x:v>
      </x:c>
      <x:c r="G1470" s="28" t="str">
        <x:v>Not specified</x:v>
      </x:c>
      <x:c r="H1470" s="28" t="str">
        <x:v>Later specialized</x:v>
      </x:c>
      <x:c r="I1470" s="28" t="str">
        <x:v>Direct or strongly ADHD-related record retained for later screening; typically narrower treatment, biomarker, mechanistic, or single-comorbidity focus.</x:v>
      </x:c>
      <x:c r="J1470" s="38" t="e">
        <x:f>HYPERLINK("https://pubmed.ncbi.nlm.nih.gov/"&amp;C1470&amp;"/","Open PubMed")</x:f>
        <x:v>HYPERLINK is not implemented. linkLocation=https://pubmed.ncbi.nlm.nih.gov/19883199/, friendlyName=Open PubMed</x:v>
      </x:c>
    </x:row>
    <x:row r="1471">
      <x:c r="A1471" s="26" t="str">
        <x:v>PUBMED-19854449</x:v>
      </x:c>
      <x:c r="B1471" s="26" t="n">
        <x:v>2010</x:v>
      </x:c>
      <x:c r="C1471" s="26" t="str">
        <x:v>19854449</x:v>
      </x:c>
      <x:c r="D1471" s="28" t="str">
        <x:v>The contribution of processing impairments to SLI: insights from attention-deficit/hyperactivity disorder.</x:v>
      </x:c>
      <x:c r="E1471" s="28" t="str">
        <x:v>Primary/contextual journal article</x:v>
      </x:c>
      <x:c r="F1471" s="28" t="str">
        <x:v>Development &amp; presentation; Family &amp; education; Social &amp; structural; Life outcomes &amp; lived experience</x:v>
      </x:c>
      <x:c r="G1471" s="28" t="str">
        <x:v>Childhood</x:v>
      </x:c>
      <x:c r="H1471" s="28" t="str">
        <x:v>Later specialized</x:v>
      </x:c>
      <x:c r="I1471" s="28" t="str">
        <x:v>Direct or strongly ADHD-related record retained for later screening; typically narrower treatment, biomarker, mechanistic, or single-comorbidity focus.</x:v>
      </x:c>
      <x:c r="J1471" s="38" t="e">
        <x:f>HYPERLINK("https://pubmed.ncbi.nlm.nih.gov/"&amp;C1471&amp;"/","Open PubMed")</x:f>
        <x:v>HYPERLINK is not implemented. linkLocation=https://pubmed.ncbi.nlm.nih.gov/19854449/, friendlyName=Open PubMed</x:v>
      </x:c>
    </x:row>
    <x:row r="1472">
      <x:c r="A1472" s="26" t="str">
        <x:v>PUBMED-19824895</x:v>
      </x:c>
      <x:c r="B1472" s="26" t="n">
        <x:v>2010</x:v>
      </x:c>
      <x:c r="C1472" s="26" t="str">
        <x:v>19824895</x:v>
      </x:c>
      <x:c r="D1472" s="28" t="str">
        <x:v>Worster-Drought syndrome: poorly recognized despite severe and persistent difficulties with feeding and speech.</x:v>
      </x:c>
      <x:c r="E1472" s="28" t="str">
        <x:v>Primary/contextual journal article</x:v>
      </x:c>
      <x:c r="F1472" s="28" t="str">
        <x:v>Development &amp; presentation; Recognition &amp; diagnosis; Family &amp; education; Social &amp; structural; Life outcomes &amp; lived experience</x:v>
      </x:c>
      <x:c r="G1472" s="28" t="str">
        <x:v>Childhood; Adolescence</x:v>
      </x:c>
      <x:c r="H1472" s="28" t="str">
        <x:v>Exclude/incidental</x:v>
      </x:c>
      <x:c r="I1472" s="28" t="str">
        <x:v>ADHD appears peripheral or insufficiently aligned with the requested corpus scope based on accessible metadata/abstract.</x:v>
      </x:c>
      <x:c r="J1472" s="38" t="e">
        <x:f>HYPERLINK("https://pubmed.ncbi.nlm.nih.gov/"&amp;C1472&amp;"/","Open PubMed")</x:f>
        <x:v>HYPERLINK is not implemented. linkLocation=https://pubmed.ncbi.nlm.nih.gov/19824895/, friendlyName=Open PubMed</x:v>
      </x:c>
    </x:row>
    <x:row r="1473">
      <x:c r="A1473" s="26" t="str">
        <x:v>PUBMED-19818823</x:v>
      </x:c>
      <x:c r="B1473" s="26" t="n">
        <x:v>2010</x:v>
      </x:c>
      <x:c r="C1473" s="26" t="str">
        <x:v>19818823</x:v>
      </x:c>
      <x:c r="D1473" s="28" t="str">
        <x:v>HTTLPR functional polymorphism in schizophrenia: executive functions vs. sustained attention dissociation.</x:v>
      </x:c>
      <x:c r="E1473" s="28" t="str">
        <x:v>Primary/contextual journal article</x:v>
      </x:c>
      <x:c r="F1473" s="28" t="str">
        <x:v>Development &amp; presentation; Recognition &amp; diagnosis; Social &amp; structural; Treatment &amp; support; Life outcomes &amp; lived experience</x:v>
      </x:c>
      <x:c r="G1473" s="28" t="str">
        <x:v>Adolescence; Adulthood</x:v>
      </x:c>
      <x:c r="H1473" s="28" t="str">
        <x:v>Later specialized</x:v>
      </x:c>
      <x:c r="I1473" s="28" t="str">
        <x:v>Direct or strongly ADHD-related record retained for later screening; typically narrower treatment, biomarker, mechanistic, or single-comorbidity focus.</x:v>
      </x:c>
      <x:c r="J1473" s="38" t="e">
        <x:f>HYPERLINK("https://pubmed.ncbi.nlm.nih.gov/"&amp;C1473&amp;"/","Open PubMed")</x:f>
        <x:v>HYPERLINK is not implemented. linkLocation=https://pubmed.ncbi.nlm.nih.gov/19818823/, friendlyName=Open PubMed</x:v>
      </x:c>
    </x:row>
    <x:row r="1474">
      <x:c r="A1474" s="26" t="str">
        <x:v>PUBMED-19811774</x:v>
      </x:c>
      <x:c r="B1474" s="26" t="n">
        <x:v>2010</x:v>
      </x:c>
      <x:c r="C1474" s="26" t="str">
        <x:v>19811774</x:v>
      </x:c>
      <x:c r="D1474" s="28" t="str">
        <x:v>Mapping attention-deficit/hyperactivity disorder from childhood to adolescence--no neurophysiologic evidence for a developmental lag of attention but some for inhibition.</x:v>
      </x:c>
      <x:c r="E1474" s="28" t="str">
        <x:v>Primary/contextual journal article</x:v>
      </x:c>
      <x:c r="F1474" s="28" t="str">
        <x:v>Development &amp; presentation; Recognition &amp; diagnosis; Social &amp; structural</x:v>
      </x:c>
      <x:c r="G1474" s="28" t="str">
        <x:v>Childhood; Adolescence</x:v>
      </x:c>
      <x:c r="H1474" s="28" t="str">
        <x:v>Later specialized</x:v>
      </x:c>
      <x:c r="I1474" s="28" t="str">
        <x:v>Direct or strongly ADHD-related record retained for later screening; typically narrower treatment, biomarker, mechanistic, or single-comorbidity focus.</x:v>
      </x:c>
      <x:c r="J1474" s="38" t="e">
        <x:f>HYPERLINK("https://pubmed.ncbi.nlm.nih.gov/"&amp;C1474&amp;"/","Open PubMed")</x:f>
        <x:v>HYPERLINK is not implemented. linkLocation=https://pubmed.ncbi.nlm.nih.gov/19811774/, friendlyName=Open PubMed</x:v>
      </x:c>
    </x:row>
    <x:row r="1475">
      <x:c r="A1475" s="26" t="str">
        <x:v>PUBMED-19811456</x:v>
      </x:c>
      <x:c r="B1475" s="26" t="n">
        <x:v>2010</x:v>
      </x:c>
      <x:c r="C1475" s="26" t="str">
        <x:v>19811456</x:v>
      </x:c>
      <x:c r="D1475" s="28" t="str">
        <x:v>Chronic fatigue could be a marker of ADHD in children and adolescents.</x:v>
      </x:c>
      <x:c r="E1475" s="28" t="str">
        <x:v>Contextual - editorial/comment</x:v>
      </x:c>
      <x:c r="F1475" s="28" t="str">
        <x:v>Development &amp; presentation; Recognition &amp; diagnosis</x:v>
      </x:c>
      <x:c r="G1475" s="28" t="str">
        <x:v>Childhood; Adolescence; Adulthood</x:v>
      </x:c>
      <x:c r="H1475" s="28" t="str">
        <x:v>Later specialized</x:v>
      </x:c>
      <x:c r="I1475" s="28" t="str">
        <x:v>Direct or strongly ADHD-related record retained for later screening; typically narrower treatment, biomarker, mechanistic, or single-comorbidity focus.</x:v>
      </x:c>
      <x:c r="J1475" s="38" t="e">
        <x:f>HYPERLINK("https://pubmed.ncbi.nlm.nih.gov/"&amp;C1475&amp;"/","Open PubMed")</x:f>
        <x:v>HYPERLINK is not implemented. linkLocation=https://pubmed.ncbi.nlm.nih.gov/19811456/, friendlyName=Open PubMed</x:v>
      </x:c>
    </x:row>
    <x:row r="1476">
      <x:c r="A1476" s="26" t="str">
        <x:v>PUBMED-19805621</x:v>
      </x:c>
      <x:c r="B1476" s="26" t="n">
        <x:v>2010</x:v>
      </x:c>
      <x:c r="C1476" s="26" t="str">
        <x:v>19805621</x:v>
      </x:c>
      <x:c r="D1476" s="28" t="str">
        <x:v>Attention training for school-aged children with ADHD: results of an open trial.</x:v>
      </x:c>
      <x:c r="E1476" s="28" t="str">
        <x:v>Primary/contextual journal article</x:v>
      </x:c>
      <x:c r="F1476" s="28" t="str">
        <x:v>Development &amp; presentation; Recognition &amp; diagnosis; Family &amp; education; Social &amp; structural; Treatment &amp; support; Life outcomes &amp; lived experience</x:v>
      </x:c>
      <x:c r="G1476" s="28" t="str">
        <x:v>Childhood; Adolescence</x:v>
      </x:c>
      <x:c r="H1476" s="28" t="str">
        <x:v>Later specialized</x:v>
      </x:c>
      <x:c r="I1476" s="28" t="str">
        <x:v>Direct or strongly ADHD-related record retained for later screening; typically narrower treatment, biomarker, mechanistic, or single-comorbidity focus.</x:v>
      </x:c>
      <x:c r="J1476" s="38" t="e">
        <x:f>HYPERLINK("https://pubmed.ncbi.nlm.nih.gov/"&amp;C1476&amp;"/","Open PubMed")</x:f>
        <x:v>HYPERLINK is not implemented. linkLocation=https://pubmed.ncbi.nlm.nih.gov/19805621/, friendlyName=Open PubMed</x:v>
      </x:c>
    </x:row>
    <x:row r="1477">
      <x:c r="A1477" s="26" t="str">
        <x:v>PUBMED-19800768</x:v>
      </x:c>
      <x:c r="B1477" s="26" t="n">
        <x:v>2010</x:v>
      </x:c>
      <x:c r="C1477" s="26" t="str">
        <x:v>19800768</x:v>
      </x:c>
      <x:c r="D1477" s="28" t="str">
        <x:v>First preliminary results of a single case report: duloxetine might improve some symptoms of attention-deficit hyperactivity disorder.</x:v>
      </x:c>
      <x:c r="E1477" s="28" t="str">
        <x:v>Other/unclear</x:v>
      </x:c>
      <x:c r="F1477" s="28" t="str">
        <x:v>Development &amp; presentation; Social &amp; structural; Treatment &amp; support; Life outcomes &amp; lived experience</x:v>
      </x:c>
      <x:c r="G1477" s="28" t="str">
        <x:v>Adolescence</x:v>
      </x:c>
      <x:c r="H1477" s="28" t="str">
        <x:v>Later specialized</x:v>
      </x:c>
      <x:c r="I1477" s="28" t="str">
        <x:v>Direct or strongly ADHD-related record retained for later screening; typically narrower treatment, biomarker, mechanistic, or single-comorbidity focus.</x:v>
      </x:c>
      <x:c r="J1477" s="38" t="e">
        <x:f>HYPERLINK("https://pubmed.ncbi.nlm.nih.gov/"&amp;C1477&amp;"/","Open PubMed")</x:f>
        <x:v>HYPERLINK is not implemented. linkLocation=https://pubmed.ncbi.nlm.nih.gov/19800768/, friendlyName=Open PubMed</x:v>
      </x:c>
    </x:row>
    <x:row r="1478">
      <x:c r="A1478" s="26" t="str">
        <x:v>PUBMED-19796442</x:v>
      </x:c>
      <x:c r="B1478" s="26" t="n">
        <x:v>2010</x:v>
      </x:c>
      <x:c r="C1478" s="26" t="str">
        <x:v>19796442</x:v>
      </x:c>
      <x:c r="D1478" s="28" t="str">
        <x:v>Do sleep difficulties exacerbate deficits in sustained attention following traumatic brain injury?</x:v>
      </x:c>
      <x:c r="E1478" s="28" t="str">
        <x:v>Primary/contextual journal article</x:v>
      </x:c>
      <x:c r="F1478" s="28" t="str">
        <x:v>Development &amp; presentation; Recognition &amp; diagnosis; Social &amp; structural; Environmental &amp; lifestyle; Treatment &amp; support; Life outcomes &amp; lived experience</x:v>
      </x:c>
      <x:c r="G1478" s="28" t="str">
        <x:v>Adulthood</x:v>
      </x:c>
      <x:c r="H1478" s="28" t="str">
        <x:v>Later specialized</x:v>
      </x:c>
      <x:c r="I1478" s="28" t="str">
        <x:v>Direct or strongly ADHD-related record retained for later screening; typically narrower treatment, biomarker, mechanistic, or single-comorbidity focus.</x:v>
      </x:c>
      <x:c r="J1478" s="38" t="e">
        <x:f>HYPERLINK("https://pubmed.ncbi.nlm.nih.gov/"&amp;C1478&amp;"/","Open PubMed")</x:f>
        <x:v>HYPERLINK is not implemented. linkLocation=https://pubmed.ncbi.nlm.nih.gov/19796442/, friendlyName=Open PubMed</x:v>
      </x:c>
    </x:row>
    <x:row r="1479">
      <x:c r="A1479" s="26" t="str">
        <x:v>PUBMED-19794136</x:v>
      </x:c>
      <x:c r="B1479" s="26" t="n">
        <x:v>2010</x:v>
      </x:c>
      <x:c r="C1479" s="26" t="str">
        <x:v>19794136</x:v>
      </x:c>
      <x:c r="D1479" s="28" t="str">
        <x:v>Fading memories: retrospective recall inaccuracies in ADHD.</x:v>
      </x:c>
      <x:c r="E1479" s="28" t="str">
        <x:v>Primary/contextual journal article</x:v>
      </x:c>
      <x:c r="F1479" s="28" t="str">
        <x:v>Development &amp; presentation; Recognition &amp; diagnosis; Family &amp; education; Social &amp; structural</x:v>
      </x:c>
      <x:c r="G1479" s="28" t="str">
        <x:v>Childhood; Adolescence; Adulthood</x:v>
      </x:c>
      <x:c r="H1479" s="28" t="str">
        <x:v>Later specialized</x:v>
      </x:c>
      <x:c r="I1479" s="28" t="str">
        <x:v>Direct or strongly ADHD-related record retained for later screening; typically narrower treatment, biomarker, mechanistic, or single-comorbidity focus.</x:v>
      </x:c>
      <x:c r="J1479" s="38" t="e">
        <x:f>HYPERLINK("https://pubmed.ncbi.nlm.nih.gov/"&amp;C1479&amp;"/","Open PubMed")</x:f>
        <x:v>HYPERLINK is not implemented. linkLocation=https://pubmed.ncbi.nlm.nih.gov/19794136/, friendlyName=Open PubMed</x:v>
      </x:c>
    </x:row>
    <x:row r="1480">
      <x:c r="A1480" s="26" t="str">
        <x:v>PUBMED-19759528</x:v>
      </x:c>
      <x:c r="B1480" s="26" t="n">
        <x:v>2010</x:v>
      </x:c>
      <x:c r="C1480" s="26" t="str">
        <x:v>19759528</x:v>
      </x:c>
      <x:c r="D1480" s="28" t="str">
        <x:v>Attention-deficit/hyperactivity disorder and attention networks.</x:v>
      </x:c>
      <x:c r="E1480" s="28" t="str">
        <x:v>Evidence synthesis - review</x:v>
      </x:c>
      <x:c r="F1480" s="28" t="str">
        <x:v>Development &amp; presentation; Social &amp; structural; Historical &amp; contemporary context</x:v>
      </x:c>
      <x:c r="G1480" s="28" t="str">
        <x:v>Not specified</x:v>
      </x:c>
      <x:c r="H1480" s="28" t="str">
        <x:v>Later specialized</x:v>
      </x:c>
      <x:c r="I1480" s="28" t="str">
        <x:v>Direct or strongly ADHD-related record retained for later screening; typically narrower treatment, biomarker, mechanistic, or single-comorbidity focus.</x:v>
      </x:c>
      <x:c r="J1480" s="38" t="e">
        <x:f>HYPERLINK("https://pubmed.ncbi.nlm.nih.gov/"&amp;C1480&amp;"/","Open PubMed")</x:f>
        <x:v>HYPERLINK is not implemented. linkLocation=https://pubmed.ncbi.nlm.nih.gov/19759528/, friendlyName=Open PubMed</x:v>
      </x:c>
    </x:row>
    <x:row r="1481">
      <x:c r="A1481" s="26" t="str">
        <x:v>PUBMED-19757075</x:v>
      </x:c>
      <x:c r="B1481" s="26" t="n">
        <x:v>2010</x:v>
      </x:c>
      <x:c r="C1481" s="26" t="str">
        <x:v>19757075</x:v>
      </x:c>
      <x:c r="D1481" s="28" t="str">
        <x:v>Context-dependent dynamic processes in attention deficit/hyperactivity disorder: differentiating common and unique effects of state regulation deficits and delay aversion.</x:v>
      </x:c>
      <x:c r="E1481" s="28" t="str">
        <x:v>Evidence synthesis - review</x:v>
      </x:c>
      <x:c r="F1481" s="28" t="str">
        <x:v>Development &amp; presentation; Social &amp; structural; Environmental &amp; lifestyle</x:v>
      </x:c>
      <x:c r="G1481" s="28" t="str">
        <x:v>Not specified</x:v>
      </x:c>
      <x:c r="H1481" s="28" t="str">
        <x:v>Later specialized</x:v>
      </x:c>
      <x:c r="I1481" s="28" t="str">
        <x:v>Direct or strongly ADHD-related record retained for later screening; typically narrower treatment, biomarker, mechanistic, or single-comorbidity focus.</x:v>
      </x:c>
      <x:c r="J1481" s="38" t="e">
        <x:f>HYPERLINK("https://pubmed.ncbi.nlm.nih.gov/"&amp;C1481&amp;"/","Open PubMed")</x:f>
        <x:v>HYPERLINK is not implemented. linkLocation=https://pubmed.ncbi.nlm.nih.gov/19757075/, friendlyName=Open PubMed</x:v>
      </x:c>
    </x:row>
    <x:row r="1482">
      <x:c r="A1482" s="26" t="str">
        <x:v>PUBMED-19713073</x:v>
      </x:c>
      <x:c r="B1482" s="26" t="n">
        <x:v>2010</x:v>
      </x:c>
      <x:c r="C1482" s="26" t="str">
        <x:v>19713073</x:v>
      </x:c>
      <x:c r="D1482" s="28" t="str">
        <x:v>Clinic attenders with autism or attention-deficit/hyperactivity disorder: cognitive profile at school age and its relationship to preschool indicators of language delay.</x:v>
      </x:c>
      <x:c r="E1482" s="28" t="str">
        <x:v>Primary/contextual journal article</x:v>
      </x:c>
      <x:c r="F1482" s="28" t="str">
        <x:v>Development &amp; presentation; Recognition &amp; diagnosis; Family &amp; education; Social &amp; structural; Life outcomes &amp; lived experience</x:v>
      </x:c>
      <x:c r="G1482" s="28" t="str">
        <x:v>Childhood</x:v>
      </x:c>
      <x:c r="H1482" s="28" t="str">
        <x:v>Later specialized</x:v>
      </x:c>
      <x:c r="I1482" s="28" t="str">
        <x:v>Direct or strongly ADHD-related record retained for later screening; typically narrower treatment, biomarker, mechanistic, or single-comorbidity focus.</x:v>
      </x:c>
      <x:c r="J1482" s="38" t="e">
        <x:f>HYPERLINK("https://pubmed.ncbi.nlm.nih.gov/"&amp;C1482&amp;"/","Open PubMed")</x:f>
        <x:v>HYPERLINK is not implemented. linkLocation=https://pubmed.ncbi.nlm.nih.gov/19713073/, friendlyName=Open PubMed</x:v>
      </x:c>
    </x:row>
    <x:row r="1483">
      <x:c r="A1483" s="26" t="str">
        <x:v>PUBMED-19707245</x:v>
      </x:c>
      <x:c r="B1483" s="26" t="n">
        <x:v>2010</x:v>
      </x:c>
      <x:c r="C1483" s="26" t="str">
        <x:v>19707245</x:v>
      </x:c>
      <x:c r="D1483" s="28" t="str">
        <x:v>Genome-wide linkage analysis in a Dutch multigenerational family with attention deficit hyperactivity disorder.</x:v>
      </x:c>
      <x:c r="E1483" s="28" t="str">
        <x:v>Primary/contextual journal article</x:v>
      </x:c>
      <x:c r="F1483" s="28" t="str">
        <x:v>Development &amp; presentation; Family &amp; education</x:v>
      </x:c>
      <x:c r="G1483" s="28" t="str">
        <x:v>Not specified</x:v>
      </x:c>
      <x:c r="H1483" s="28" t="str">
        <x:v>Later specialized</x:v>
      </x:c>
      <x:c r="I1483" s="28" t="str">
        <x:v>Direct or strongly ADHD-related record retained for later screening; typically narrower treatment, biomarker, mechanistic, or single-comorbidity focus.</x:v>
      </x:c>
      <x:c r="J1483" s="38" t="e">
        <x:f>HYPERLINK("https://pubmed.ncbi.nlm.nih.gov/"&amp;C1483&amp;"/","Open PubMed")</x:f>
        <x:v>HYPERLINK is not implemented. linkLocation=https://pubmed.ncbi.nlm.nih.gov/19707245/, friendlyName=Open PubMed</x:v>
      </x:c>
    </x:row>
    <x:row r="1484">
      <x:c r="A1484" s="26" t="str">
        <x:v>PUBMED-19706876</x:v>
      </x:c>
      <x:c r="B1484" s="26" t="n">
        <x:v>2010</x:v>
      </x:c>
      <x:c r="C1484" s="26" t="str">
        <x:v>19706876</x:v>
      </x:c>
      <x:c r="D1484" s="28" t="str">
        <x:v>Atomoxetine treatment for ADHD: younger adults compared with older adults.</x:v>
      </x:c>
      <x:c r="E1484" s="28" t="str">
        <x:v>Evidence synthesis - meta-analysis</x:v>
      </x:c>
      <x:c r="F1484" s="28" t="str">
        <x:v>Development &amp; presentation; Recognition &amp; diagnosis; Social &amp; structural; Treatment &amp; support; Life outcomes &amp; lived experience</x:v>
      </x:c>
      <x:c r="G1484" s="28" t="str">
        <x:v>Adolescence; Adulthood</x:v>
      </x:c>
      <x:c r="H1484" s="28" t="str">
        <x:v>Later specialized</x:v>
      </x:c>
      <x:c r="I1484" s="28" t="str">
        <x:v>Direct or strongly ADHD-related record retained for later screening; typically narrower treatment, biomarker, mechanistic, or single-comorbidity focus.</x:v>
      </x:c>
      <x:c r="J1484" s="38" t="e">
        <x:f>HYPERLINK("https://pubmed.ncbi.nlm.nih.gov/"&amp;C1484&amp;"/","Open PubMed")</x:f>
        <x:v>HYPERLINK is not implemented. linkLocation=https://pubmed.ncbi.nlm.nih.gov/19706876/, friendlyName=Open PubMed</x:v>
      </x:c>
    </x:row>
    <x:row r="1485">
      <x:c r="A1485" s="26" t="str">
        <x:v>PUBMED-19700260</x:v>
      </x:c>
      <x:c r="B1485" s="26" t="n">
        <x:v>2010</x:v>
      </x:c>
      <x:c r="C1485" s="26" t="str">
        <x:v>19700260</x:v>
      </x:c>
      <x:c r="D1485" s="28" t="str">
        <x:v>Psychopathological manifestations of children with intellectual disabilities according to their cognitive and adaptive behavior profile.</x:v>
      </x:c>
      <x:c r="E1485" s="28" t="str">
        <x:v>Primary/contextual journal article</x:v>
      </x:c>
      <x:c r="F1485" s="28" t="str">
        <x:v>Development &amp; presentation; Recognition &amp; diagnosis; Family &amp; education; Social &amp; structural; Life outcomes &amp; lived experience</x:v>
      </x:c>
      <x:c r="G1485" s="28" t="str">
        <x:v>Childhood; Adolescence</x:v>
      </x:c>
      <x:c r="H1485" s="28" t="str">
        <x:v>Exclude/incidental</x:v>
      </x:c>
      <x:c r="I1485" s="28" t="str">
        <x:v>ADHD appears peripheral or insufficiently aligned with the requested corpus scope based on accessible metadata/abstract.</x:v>
      </x:c>
      <x:c r="J1485" s="38" t="e">
        <x:f>HYPERLINK("https://pubmed.ncbi.nlm.nih.gov/"&amp;C1485&amp;"/","Open PubMed")</x:f>
        <x:v>HYPERLINK is not implemented. linkLocation=https://pubmed.ncbi.nlm.nih.gov/19700260/, friendlyName=Open PubMed</x:v>
      </x:c>
    </x:row>
    <x:row r="1486">
      <x:c r="A1486" s="26" t="str">
        <x:v>PUBMED-19694631</x:v>
      </x:c>
      <x:c r="B1486" s="26" t="n">
        <x:v>2010</x:v>
      </x:c>
      <x:c r="C1486" s="26" t="str">
        <x:v>19694631</x:v>
      </x:c>
      <x:c r="D1486" s="28" t="str">
        <x:v>Impulsive aggression in adults with attention-deficit/hyperactivity disorder.</x:v>
      </x:c>
      <x:c r="E1486" s="28" t="str">
        <x:v>Primary/contextual journal article</x:v>
      </x:c>
      <x:c r="F1486" s="28" t="str">
        <x:v>Development &amp; presentation; Recognition &amp; diagnosis; Social &amp; structural</x:v>
      </x:c>
      <x:c r="G1486" s="28" t="str">
        <x:v>Adolescence; Adulthood</x:v>
      </x:c>
      <x:c r="H1486" s="28" t="str">
        <x:v>Later specialized</x:v>
      </x:c>
      <x:c r="I1486" s="28" t="str">
        <x:v>Direct or strongly ADHD-related record retained for later screening; typically narrower treatment, biomarker, mechanistic, or single-comorbidity focus.</x:v>
      </x:c>
      <x:c r="J1486" s="38" t="e">
        <x:f>HYPERLINK("https://pubmed.ncbi.nlm.nih.gov/"&amp;C1486&amp;"/","Open PubMed")</x:f>
        <x:v>HYPERLINK is not implemented. linkLocation=https://pubmed.ncbi.nlm.nih.gov/19694631/, friendlyName=Open PubMed</x:v>
      </x:c>
    </x:row>
    <x:row r="1487">
      <x:c r="A1487" s="26" t="str">
        <x:v>PUBMED-19692717</x:v>
      </x:c>
      <x:c r="B1487" s="26" t="n">
        <x:v>2010</x:v>
      </x:c>
      <x:c r="C1487" s="26" t="str">
        <x:v>19692717</x:v>
      </x:c>
      <x:c r="D1487" s="28" t="str">
        <x:v>Association of attention-deficit/hyperactivity disorder and atopic eczema modified by sleep disturbance in a large population-based sample.</x:v>
      </x:c>
      <x:c r="E1487" s="28" t="str">
        <x:v>Primary study - cross-sectional</x:v>
      </x:c>
      <x:c r="F1487" s="28" t="str">
        <x:v>Development &amp; presentation; Recognition &amp; diagnosis; Family &amp; education; Social &amp; structural; Environmental &amp; lifestyle</x:v>
      </x:c>
      <x:c r="G1487" s="28" t="str">
        <x:v>Childhood; Adolescence</x:v>
      </x:c>
      <x:c r="H1487" s="28" t="str">
        <x:v>Batch 1 core</x:v>
      </x:c>
      <x:c r="I1487" s="28" t="str">
        <x:v>Direct ADHD primary study on diagnosis, family/education, structural conditions, lived experience/outcomes, or environment/lifestyle.</x:v>
      </x:c>
      <x:c r="J1487" s="38" t="e">
        <x:f>HYPERLINK("https://pubmed.ncbi.nlm.nih.gov/"&amp;C1487&amp;"/","Open PubMed")</x:f>
        <x:v>HYPERLINK is not implemented. linkLocation=https://pubmed.ncbi.nlm.nih.gov/19692717/, friendlyName=Open PubMed</x:v>
      </x:c>
    </x:row>
    <x:row r="1488">
      <x:c r="A1488" s="26" t="str">
        <x:v>PUBMED-19692708</x:v>
      </x:c>
      <x:c r="B1488" s="26" t="n">
        <x:v>2010</x:v>
      </x:c>
      <x:c r="C1488" s="26" t="str">
        <x:v>19692708</x:v>
      </x:c>
      <x:c r="D1488" s="28" t="str">
        <x:v>The reliability and validity of the Aggregate Neurobehavioral Student Health and Educational Review parent's questionnaire (ANSER-PQ).</x:v>
      </x:c>
      <x:c r="E1488" s="28" t="str">
        <x:v>Primary/contextual journal article</x:v>
      </x:c>
      <x:c r="F1488" s="28" t="str">
        <x:v>Development &amp; presentation; Recognition &amp; diagnosis; Family &amp; education; Social &amp; structural; Environmental &amp; lifestyle; Treatment &amp; support</x:v>
      </x:c>
      <x:c r="G1488" s="28" t="str">
        <x:v>Childhood</x:v>
      </x:c>
      <x:c r="H1488" s="28" t="str">
        <x:v>Later specialized</x:v>
      </x:c>
      <x:c r="I1488" s="28" t="str">
        <x:v>Direct or strongly ADHD-related record retained for later screening; typically narrower treatment, biomarker, mechanistic, or single-comorbidity focus.</x:v>
      </x:c>
      <x:c r="J1488" s="38" t="e">
        <x:f>HYPERLINK("https://pubmed.ncbi.nlm.nih.gov/"&amp;C1488&amp;"/","Open PubMed")</x:f>
        <x:v>HYPERLINK is not implemented. linkLocation=https://pubmed.ncbi.nlm.nih.gov/19692708/, friendlyName=Open PubMed</x:v>
      </x:c>
    </x:row>
    <x:row r="1489">
      <x:c r="A1489" s="26" t="str">
        <x:v>PUBMED-19688258</x:v>
      </x:c>
      <x:c r="B1489" s="26" t="n">
        <x:v>2010</x:v>
      </x:c>
      <x:c r="C1489" s="26" t="str">
        <x:v>19688258</x:v>
      </x:c>
      <x:c r="D1489" s="28" t="str">
        <x:v>Testing developmental pathways to antisocial personality problems.</x:v>
      </x:c>
      <x:c r="E1489" s="28" t="str">
        <x:v>Primary/contextual journal article</x:v>
      </x:c>
      <x:c r="F1489" s="28" t="str">
        <x:v>Development &amp; presentation; Recognition &amp; diagnosis; Family &amp; education; Social &amp; structural; Life outcomes &amp; lived experience</x:v>
      </x:c>
      <x:c r="G1489" s="28" t="str">
        <x:v>Childhood; Adolescence; Adulthood</x:v>
      </x:c>
      <x:c r="H1489" s="28" t="str">
        <x:v>Exclude/incidental</x:v>
      </x:c>
      <x:c r="I1489" s="28" t="str">
        <x:v>ADHD appears peripheral or insufficiently aligned with the requested corpus scope based on accessible metadata/abstract.</x:v>
      </x:c>
      <x:c r="J1489" s="38" t="e">
        <x:f>HYPERLINK("https://pubmed.ncbi.nlm.nih.gov/"&amp;C1489&amp;"/","Open PubMed")</x:f>
        <x:v>HYPERLINK is not implemented. linkLocation=https://pubmed.ncbi.nlm.nih.gov/19688258/, friendlyName=Open PubMed</x:v>
      </x:c>
    </x:row>
    <x:row r="1490">
      <x:c r="A1490" s="26" t="str">
        <x:v>PUBMED-19686766</x:v>
      </x:c>
      <x:c r="B1490" s="26" t="n">
        <x:v>2010</x:v>
      </x:c>
      <x:c r="C1490" s="26" t="str">
        <x:v>19686766</x:v>
      </x:c>
      <x:c r="D1490" s="28" t="str">
        <x:v>The scope of social attention deficits in autism: prioritized orienting to people and animals in static natural scenes.</x:v>
      </x:c>
      <x:c r="E1490" s="28" t="str">
        <x:v>Primary/contextual journal article</x:v>
      </x:c>
      <x:c r="F1490" s="28" t="str">
        <x:v>Development &amp; presentation; Recognition &amp; diagnosis; Social &amp; structural</x:v>
      </x:c>
      <x:c r="G1490" s="28" t="str">
        <x:v>Childhood</x:v>
      </x:c>
      <x:c r="H1490" s="28" t="str">
        <x:v>Later specialized</x:v>
      </x:c>
      <x:c r="I1490" s="28" t="str">
        <x:v>Direct or strongly ADHD-related record retained for later screening; typically narrower treatment, biomarker, mechanistic, or single-comorbidity focus.</x:v>
      </x:c>
      <x:c r="J1490" s="38" t="e">
        <x:f>HYPERLINK("https://pubmed.ncbi.nlm.nih.gov/"&amp;C1490&amp;"/","Open PubMed")</x:f>
        <x:v>HYPERLINK is not implemented. linkLocation=https://pubmed.ncbi.nlm.nih.gov/19686766/, friendlyName=Open PubMed</x:v>
      </x:c>
    </x:row>
    <x:row r="1491">
      <x:c r="A1491" s="26" t="str">
        <x:v>PUBMED-19674195</x:v>
      </x:c>
      <x:c r="B1491" s="26" t="n">
        <x:v>2010</x:v>
      </x:c>
      <x:c r="C1491" s="26" t="str">
        <x:v>19674195</x:v>
      </x:c>
      <x:c r="D1491" s="28" t="str">
        <x:v>Maternal pre-pregnancy obesity and risk for inattention and negative emotionality in children.</x:v>
      </x:c>
      <x:c r="E1491" s="28" t="str">
        <x:v>Primary study - cohort</x:v>
      </x:c>
      <x:c r="F1491" s="28" t="str">
        <x:v>Development &amp; presentation; Family &amp; education; Social &amp; structural; Environmental &amp; lifestyle; Life outcomes &amp; lived experience</x:v>
      </x:c>
      <x:c r="G1491" s="28" t="str">
        <x:v>Childhood; Adulthood</x:v>
      </x:c>
      <x:c r="H1491" s="28" t="str">
        <x:v>Later specialized</x:v>
      </x:c>
      <x:c r="I1491" s="28" t="str">
        <x:v>Direct or strongly ADHD-related record retained for later screening; typically narrower treatment, biomarker, mechanistic, or single-comorbidity focus.</x:v>
      </x:c>
      <x:c r="J1491" s="38" t="e">
        <x:f>HYPERLINK("https://pubmed.ncbi.nlm.nih.gov/"&amp;C1491&amp;"/","Open PubMed")</x:f>
        <x:v>HYPERLINK is not implemented. linkLocation=https://pubmed.ncbi.nlm.nih.gov/19674195/, friendlyName=Open PubMed</x:v>
      </x:c>
    </x:row>
    <x:row r="1492">
      <x:c r="A1492" s="26" t="str">
        <x:v>PUBMED-19603423</x:v>
      </x:c>
      <x:c r="B1492" s="26" t="n">
        <x:v>2010</x:v>
      </x:c>
      <x:c r="C1492" s="26" t="str">
        <x:v>19603423</x:v>
      </x:c>
      <x:c r="D1492" s="28" t="str">
        <x:v>Suggestive evidence for linkage of ADHD features in bipolar disorder to chromosome 10p14.</x:v>
      </x:c>
      <x:c r="E1492" s="28" t="str">
        <x:v>Primary/contextual journal article</x:v>
      </x:c>
      <x:c r="F1492" s="28" t="str">
        <x:v>Development &amp; presentation; Recognition &amp; diagnosis; Social &amp; structural</x:v>
      </x:c>
      <x:c r="G1492" s="28" t="str">
        <x:v>Childhood</x:v>
      </x:c>
      <x:c r="H1492" s="28" t="str">
        <x:v>Later specialized</x:v>
      </x:c>
      <x:c r="I1492" s="28" t="str">
        <x:v>Direct or strongly ADHD-related record retained for later screening; typically narrower treatment, biomarker, mechanistic, or single-comorbidity focus.</x:v>
      </x:c>
      <x:c r="J1492" s="38" t="e">
        <x:f>HYPERLINK("https://pubmed.ncbi.nlm.nih.gov/"&amp;C1492&amp;"/","Open PubMed")</x:f>
        <x:v>HYPERLINK is not implemented. linkLocation=https://pubmed.ncbi.nlm.nih.gov/19603423/, friendlyName=Open PubMed</x:v>
      </x:c>
    </x:row>
    <x:row r="1493">
      <x:c r="A1493" s="26" t="str">
        <x:v>PUBMED-19565430</x:v>
      </x:c>
      <x:c r="B1493" s="26" t="n">
        <x:v>2010</x:v>
      </x:c>
      <x:c r="C1493" s="26" t="str">
        <x:v>19565430</x:v>
      </x:c>
      <x:c r="D1493" s="28" t="str">
        <x:v>Impaired task switching performance in children with dyslexia but not in children with autism.</x:v>
      </x:c>
      <x:c r="E1493" s="28" t="str">
        <x:v>Primary/contextual journal article</x:v>
      </x:c>
      <x:c r="F1493" s="28" t="str">
        <x:v>Development &amp; presentation; Recognition &amp; diagnosis</x:v>
      </x:c>
      <x:c r="G1493" s="28" t="str">
        <x:v>Childhood; Adolescence</x:v>
      </x:c>
      <x:c r="H1493" s="28" t="str">
        <x:v>Exclude/incidental</x:v>
      </x:c>
      <x:c r="I1493" s="28" t="str">
        <x:v>ADHD appears peripheral or insufficiently aligned with the requested corpus scope based on accessible metadata/abstract.</x:v>
      </x:c>
      <x:c r="J1493" s="38" t="e">
        <x:f>HYPERLINK("https://pubmed.ncbi.nlm.nih.gov/"&amp;C1493&amp;"/","Open PubMed")</x:f>
        <x:v>HYPERLINK is not implemented. linkLocation=https://pubmed.ncbi.nlm.nih.gov/19565430/, friendlyName=Open PubMed</x:v>
      </x:c>
    </x:row>
    <x:row r="1494">
      <x:c r="A1494" s="26" t="str">
        <x:v>PUBMED-19549201</x:v>
      </x:c>
      <x:c r="B1494" s="26" t="n">
        <x:v>2010</x:v>
      </x:c>
      <x:c r="C1494" s="26" t="str">
        <x:v>19549201</x:v>
      </x:c>
      <x:c r="D1494" s="28" t="str">
        <x:v>Differentiating attention deficits in children with fetal alcohol spectrum disorder or attention-deficit-hyperactivity disorder.</x:v>
      </x:c>
      <x:c r="E1494" s="28" t="str">
        <x:v>Primary/contextual journal article</x:v>
      </x:c>
      <x:c r="F1494" s="28" t="str">
        <x:v>Development &amp; presentation; Recognition &amp; diagnosis; Environmental &amp; lifestyle</x:v>
      </x:c>
      <x:c r="G1494" s="28" t="str">
        <x:v>Childhood</x:v>
      </x:c>
      <x:c r="H1494" s="28" t="str">
        <x:v>Later specialized</x:v>
      </x:c>
      <x:c r="I1494" s="28" t="str">
        <x:v>Direct or strongly ADHD-related record retained for later screening; typically narrower treatment, biomarker, mechanistic, or single-comorbidity focus.</x:v>
      </x:c>
      <x:c r="J1494" s="38" t="e">
        <x:f>HYPERLINK("https://pubmed.ncbi.nlm.nih.gov/"&amp;C1494&amp;"/","Open PubMed")</x:f>
        <x:v>HYPERLINK is not implemented. linkLocation=https://pubmed.ncbi.nlm.nih.gov/19549201/, friendlyName=Open PubMed</x:v>
      </x:c>
    </x:row>
    <x:row r="1495">
      <x:c r="A1495" s="26" t="str">
        <x:v>PUBMED-19541882</x:v>
      </x:c>
      <x:c r="B1495" s="26" t="n">
        <x:v>2010</x:v>
      </x:c>
      <x:c r="C1495" s="26" t="str">
        <x:v>19541882</x:v>
      </x:c>
      <x:c r="D1495" s="28" t="str">
        <x:v>Girls with social and/or attention deficits: a descriptive study of 100 clinic attenders.</x:v>
      </x:c>
      <x:c r="E1495" s="28" t="str">
        <x:v>Primary/contextual journal article</x:v>
      </x:c>
      <x:c r="F1495" s="28" t="str">
        <x:v>Development &amp; presentation; Recognition &amp; diagnosis; Family &amp; education; Social &amp; structural; Life outcomes &amp; lived experience</x:v>
      </x:c>
      <x:c r="G1495" s="28" t="str">
        <x:v>Childhood; Adolescence</x:v>
      </x:c>
      <x:c r="H1495" s="28" t="str">
        <x:v>Later specialized</x:v>
      </x:c>
      <x:c r="I1495" s="28" t="str">
        <x:v>Direct or strongly ADHD-related record retained for later screening; typically narrower treatment, biomarker, mechanistic, or single-comorbidity focus.</x:v>
      </x:c>
      <x:c r="J1495" s="38" t="e">
        <x:f>HYPERLINK("https://pubmed.ncbi.nlm.nih.gov/"&amp;C1495&amp;"/","Open PubMed")</x:f>
        <x:v>HYPERLINK is not implemented. linkLocation=https://pubmed.ncbi.nlm.nih.gov/19541882/, friendlyName=Open PubMed</x:v>
      </x:c>
    </x:row>
    <x:row r="1496">
      <x:c r="A1496" s="26" t="str">
        <x:v>PUBMED-19531810</x:v>
      </x:c>
      <x:c r="B1496" s="26" t="n">
        <x:v>2010</x:v>
      </x:c>
      <x:c r="C1496" s="26" t="str">
        <x:v>19531810</x:v>
      </x:c>
      <x:c r="D1496" s="28" t="str">
        <x:v>Ethnicity as a moderator of treatment effects on parent--child interaction for children with ADHD.</x:v>
      </x:c>
      <x:c r="E1496" s="28" t="str">
        <x:v>Primary/contextual journal article</x:v>
      </x:c>
      <x:c r="F1496" s="28" t="str">
        <x:v>Development &amp; presentation; Family &amp; education; Social &amp; structural; Treatment &amp; support; Life outcomes &amp; lived experience</x:v>
      </x:c>
      <x:c r="G1496" s="28" t="str">
        <x:v>Childhood; Adulthood</x:v>
      </x:c>
      <x:c r="H1496" s="28" t="str">
        <x:v>Later specialized</x:v>
      </x:c>
      <x:c r="I1496" s="28" t="str">
        <x:v>Direct or strongly ADHD-related record retained for later screening; typically narrower treatment, biomarker, mechanistic, or single-comorbidity focus.</x:v>
      </x:c>
      <x:c r="J1496" s="38" t="e">
        <x:f>HYPERLINK("https://pubmed.ncbi.nlm.nih.gov/"&amp;C1496&amp;"/","Open PubMed")</x:f>
        <x:v>HYPERLINK is not implemented. linkLocation=https://pubmed.ncbi.nlm.nih.gov/19531810/, friendlyName=Open PubMed</x:v>
      </x:c>
    </x:row>
    <x:row r="1497">
      <x:c r="A1497" s="26" t="str">
        <x:v>PUBMED-19521350</x:v>
      </x:c>
      <x:c r="B1497" s="26" t="n">
        <x:v>2010</x:v>
      </x:c>
      <x:c r="C1497" s="26" t="str">
        <x:v>19521350</x:v>
      </x:c>
      <x:c r="D1497" s="28" t="str">
        <x:v>Prevalence of obesity among children with chronic conditions.</x:v>
      </x:c>
      <x:c r="E1497" s="28" t="str">
        <x:v>Primary study - cross-sectional</x:v>
      </x:c>
      <x:c r="F1497" s="28" t="str">
        <x:v>Development &amp; presentation; Family &amp; education; Social &amp; structural; Life outcomes &amp; lived experience</x:v>
      </x:c>
      <x:c r="G1497" s="28" t="str">
        <x:v>Childhood; Adolescence</x:v>
      </x:c>
      <x:c r="H1497" s="28" t="str">
        <x:v>Exclude/incidental</x:v>
      </x:c>
      <x:c r="I1497" s="28" t="str">
        <x:v>ADHD appears peripheral or insufficiently aligned with the requested corpus scope based on accessible metadata/abstract.</x:v>
      </x:c>
      <x:c r="J1497" s="38" t="e">
        <x:f>HYPERLINK("https://pubmed.ncbi.nlm.nih.gov/"&amp;C1497&amp;"/","Open PubMed")</x:f>
        <x:v>HYPERLINK is not implemented. linkLocation=https://pubmed.ncbi.nlm.nih.gov/19521350/, friendlyName=Open PubMed</x:v>
      </x:c>
    </x:row>
    <x:row r="1498">
      <x:c r="A1498" s="26" t="str">
        <x:v>PUBMED-19515266</x:v>
      </x:c>
      <x:c r="B1498" s="26" t="n">
        <x:v>2010</x:v>
      </x:c>
      <x:c r="C1498" s="26" t="str">
        <x:v>19515266</x:v>
      </x:c>
      <x:c r="D1498" s="28" t="str">
        <x:v>Evidence that bipolar disorder is the poor outcome fraction of a common developmental phenotype: an 8-year cohort study in young people.</x:v>
      </x:c>
      <x:c r="E1498" s="28" t="str">
        <x:v>Primary study - cohort</x:v>
      </x:c>
      <x:c r="F1498" s="28" t="str">
        <x:v>Development &amp; presentation; Recognition &amp; diagnosis; Social &amp; structural; Treatment &amp; support; Life outcomes &amp; lived experience</x:v>
      </x:c>
      <x:c r="G1498" s="28" t="str">
        <x:v>Childhood; Adolescence; Adulthood</x:v>
      </x:c>
      <x:c r="H1498" s="28" t="str">
        <x:v>Later specialized</x:v>
      </x:c>
      <x:c r="I1498" s="28" t="str">
        <x:v>Direct or strongly ADHD-related record retained for later screening; typically narrower treatment, biomarker, mechanistic, or single-comorbidity focus.</x:v>
      </x:c>
      <x:c r="J1498" s="38" t="e">
        <x:f>HYPERLINK("https://pubmed.ncbi.nlm.nih.gov/"&amp;C1498&amp;"/","Open PubMed")</x:f>
        <x:v>HYPERLINK is not implemented. linkLocation=https://pubmed.ncbi.nlm.nih.gov/19515266/, friendlyName=Open PubMed</x:v>
      </x:c>
    </x:row>
    <x:row r="1499">
      <x:c r="A1499" s="26" t="str">
        <x:v>PUBMED-19476689</x:v>
      </x:c>
      <x:c r="B1499" s="26" t="n">
        <x:v>2010</x:v>
      </x:c>
      <x:c r="C1499" s="26" t="str">
        <x:v>19476689</x:v>
      </x:c>
      <x:c r="D1499" s="28" t="str">
        <x:v>The links between prenatal stress and offspring development and psychopathology: disentangling environmental and inherited influences.</x:v>
      </x:c>
      <x:c r="E1499" s="28" t="str">
        <x:v>Primary/contextual journal article</x:v>
      </x:c>
      <x:c r="F1499" s="28" t="str">
        <x:v>Development &amp; presentation; Recognition &amp; diagnosis; Family &amp; education; Social &amp; structural; Environmental &amp; lifestyle; Treatment &amp; support; Life outcomes &amp; lived experience</x:v>
      </x:c>
      <x:c r="G1499" s="28" t="str">
        <x:v>Childhood</x:v>
      </x:c>
      <x:c r="H1499" s="28" t="str">
        <x:v>Exclude/incidental</x:v>
      </x:c>
      <x:c r="I1499" s="28" t="str">
        <x:v>ADHD appears peripheral or insufficiently aligned with the requested corpus scope based on accessible metadata/abstract.</x:v>
      </x:c>
      <x:c r="J1499" s="38" t="e">
        <x:f>HYPERLINK("https://pubmed.ncbi.nlm.nih.gov/"&amp;C1499&amp;"/","Open PubMed")</x:f>
        <x:v>HYPERLINK is not implemented. linkLocation=https://pubmed.ncbi.nlm.nih.gov/19476689/, friendlyName=Open PubMed</x:v>
      </x:c>
    </x:row>
    <x:row r="1500">
      <x:c r="A1500" s="26" t="str">
        <x:v>PUBMED-19429843</x:v>
      </x:c>
      <x:c r="B1500" s="26" t="n">
        <x:v>2010</x:v>
      </x:c>
      <x:c r="C1500" s="26" t="str">
        <x:v>19429843</x:v>
      </x:c>
      <x:c r="D1500" s="28" t="str">
        <x:v>Oculomotor and pupillometric indices of pro- and antisaccade performance in youth-onset psychosis and attention deficit/hyperactivity disorder.</x:v>
      </x:c>
      <x:c r="E1500" s="28" t="str">
        <x:v>Primary/contextual journal article</x:v>
      </x:c>
      <x:c r="F1500" s="28" t="str">
        <x:v>Development &amp; presentation; Social &amp; structural</x:v>
      </x:c>
      <x:c r="G1500" s="28" t="str">
        <x:v>Childhood; Adolescence; Adulthood</x:v>
      </x:c>
      <x:c r="H1500" s="28" t="str">
        <x:v>Later specialized</x:v>
      </x:c>
      <x:c r="I1500" s="28" t="str">
        <x:v>Direct or strongly ADHD-related record retained for later screening; typically narrower treatment, biomarker, mechanistic, or single-comorbidity focus.</x:v>
      </x:c>
      <x:c r="J1500" s="38" t="e">
        <x:f>HYPERLINK("https://pubmed.ncbi.nlm.nih.gov/"&amp;C1500&amp;"/","Open PubMed")</x:f>
        <x:v>HYPERLINK is not implemented. linkLocation=https://pubmed.ncbi.nlm.nih.gov/19429843/, friendlyName=Open PubMed</x:v>
      </x:c>
    </x:row>
    <x:row r="1501">
      <x:c r="A1501" s="26" t="str">
        <x:v>PUBMED-19414623</x:v>
      </x:c>
      <x:c r="B1501" s="26" t="n">
        <x:v>2010</x:v>
      </x:c>
      <x:c r="C1501" s="26" t="str">
        <x:v>19414623</x:v>
      </x:c>
      <x:c r="D1501" s="28" t="str">
        <x:v>Ethnic differences in parental beliefs of attention-deficit/hyperactivity disorder and treatment.</x:v>
      </x:c>
      <x:c r="E1501" s="28" t="str">
        <x:v>Primary/contextual journal article</x:v>
      </x:c>
      <x:c r="F1501" s="28" t="str">
        <x:v>Development &amp; presentation; Recognition &amp; diagnosis; Family &amp; education; Social &amp; structural; Treatment &amp; support</x:v>
      </x:c>
      <x:c r="G1501" s="28" t="str">
        <x:v>Childhood</x:v>
      </x:c>
      <x:c r="H1501" s="28" t="str">
        <x:v>Later specialized</x:v>
      </x:c>
      <x:c r="I1501" s="28" t="str">
        <x:v>Direct or strongly ADHD-related record retained for later screening; typically narrower treatment, biomarker, mechanistic, or single-comorbidity focus.</x:v>
      </x:c>
      <x:c r="J1501" s="38" t="e">
        <x:f>HYPERLINK("https://pubmed.ncbi.nlm.nih.gov/"&amp;C1501&amp;"/","Open PubMed")</x:f>
        <x:v>HYPERLINK is not implemented. linkLocation=https://pubmed.ncbi.nlm.nih.gov/19414623/, friendlyName=Open PubMed</x:v>
      </x:c>
    </x:row>
    <x:row r="1502">
      <x:c r="A1502" s="26" t="str">
        <x:v>PUBMED-19401504</x:v>
      </x:c>
      <x:c r="B1502" s="26" t="n">
        <x:v>2010</x:v>
      </x:c>
      <x:c r="C1502" s="26" t="str">
        <x:v>19401504</x:v>
      </x:c>
      <x:c r="D1502" s="28" t="str">
        <x:v>Predicting response of ADHD symptoms to methylphenidate treatment based on comorbid anxiety.</x:v>
      </x:c>
      <x:c r="E1502" s="28" t="str">
        <x:v>Primary/contextual journal article</x:v>
      </x:c>
      <x:c r="F1502" s="28" t="str">
        <x:v>Development &amp; presentation; Recognition &amp; diagnosis; Family &amp; education; Social &amp; structural; Treatment &amp; support; Life outcomes &amp; lived experience</x:v>
      </x:c>
      <x:c r="G1502" s="28" t="str">
        <x:v>Childhood; Adolescence</x:v>
      </x:c>
      <x:c r="H1502" s="28" t="str">
        <x:v>Later specialized</x:v>
      </x:c>
      <x:c r="I1502" s="28" t="str">
        <x:v>Direct or strongly ADHD-related record retained for later screening; typically narrower treatment, biomarker, mechanistic, or single-comorbidity focus.</x:v>
      </x:c>
      <x:c r="J1502" s="38" t="e">
        <x:f>HYPERLINK("https://pubmed.ncbi.nlm.nih.gov/"&amp;C1502&amp;"/","Open PubMed")</x:f>
        <x:v>HYPERLINK is not implemented. linkLocation=https://pubmed.ncbi.nlm.nih.gov/19401504/, friendlyName=Open PubMed</x:v>
      </x:c>
    </x:row>
    <x:row r="1503">
      <x:c r="A1503" s="26" t="str">
        <x:v>PUBMED-19395648</x:v>
      </x:c>
      <x:c r="B1503" s="26" t="n">
        <x:v>2010</x:v>
      </x:c>
      <x:c r="C1503" s="26" t="str">
        <x:v>19395648</x:v>
      </x:c>
      <x:c r="D1503" s="28" t="str">
        <x:v>Effects of extended-release guanfacine on ADHD symptoms and sedation-related adverse events in children with ADHD.</x:v>
      </x:c>
      <x:c r="E1503" s="28" t="str">
        <x:v>Primary/contextual journal article</x:v>
      </x:c>
      <x:c r="F1503" s="28" t="str">
        <x:v>Development &amp; presentation; Social &amp; structural; Treatment &amp; support; Life outcomes &amp; lived experience</x:v>
      </x:c>
      <x:c r="G1503" s="28" t="str">
        <x:v>Childhood; Adolescence</x:v>
      </x:c>
      <x:c r="H1503" s="28" t="str">
        <x:v>Later specialized</x:v>
      </x:c>
      <x:c r="I1503" s="28" t="str">
        <x:v>Direct or strongly ADHD-related record retained for later screening; typically narrower treatment, biomarker, mechanistic, or single-comorbidity focus.</x:v>
      </x:c>
      <x:c r="J1503" s="38" t="e">
        <x:f>HYPERLINK("https://pubmed.ncbi.nlm.nih.gov/"&amp;C1503&amp;"/","Open PubMed")</x:f>
        <x:v>HYPERLINK is not implemented. linkLocation=https://pubmed.ncbi.nlm.nih.gov/19395648/, friendlyName=Open PubMed</x:v>
      </x:c>
    </x:row>
    <x:row r="1504">
      <x:c r="A1504" s="26" t="str">
        <x:v>PUBMED-19395645</x:v>
      </x:c>
      <x:c r="B1504" s="26" t="n">
        <x:v>2010</x:v>
      </x:c>
      <x:c r="C1504" s="26" t="str">
        <x:v>19395645</x:v>
      </x:c>
      <x:c r="D1504" s="28" t="str">
        <x:v>Memory for object locations in boys with and without ADHD.</x:v>
      </x:c>
      <x:c r="E1504" s="28" t="str">
        <x:v>Primary/contextual journal article</x:v>
      </x:c>
      <x:c r="F1504" s="28" t="str">
        <x:v>Development &amp; presentation; Social &amp; structural</x:v>
      </x:c>
      <x:c r="G1504" s="28" t="str">
        <x:v>Childhood</x:v>
      </x:c>
      <x:c r="H1504" s="28" t="str">
        <x:v>Later specialized</x:v>
      </x:c>
      <x:c r="I1504" s="28" t="str">
        <x:v>Direct or strongly ADHD-related record retained for later screening; typically narrower treatment, biomarker, mechanistic, or single-comorbidity focus.</x:v>
      </x:c>
      <x:c r="J1504" s="38" t="e">
        <x:f>HYPERLINK("https://pubmed.ncbi.nlm.nih.gov/"&amp;C1504&amp;"/","Open PubMed")</x:f>
        <x:v>HYPERLINK is not implemented. linkLocation=https://pubmed.ncbi.nlm.nih.gov/19395645/, friendlyName=Open PubMed</x:v>
      </x:c>
    </x:row>
    <x:row r="1505">
      <x:c r="A1505" s="26" t="str">
        <x:v>PUBMED-19365085</x:v>
      </x:c>
      <x:c r="B1505" s="26" t="n">
        <x:v>2010</x:v>
      </x:c>
      <x:c r="C1505" s="26" t="str">
        <x:v>19365085</x:v>
      </x:c>
      <x:c r="D1505" s="28" t="str">
        <x:v>Attention deficit/hyperactivity disorder: a survey on prevalence rate among male subjects in elementary school (7 to 9 years old) in Iran.</x:v>
      </x:c>
      <x:c r="E1505" s="28" t="str">
        <x:v>Primary study - cross-sectional</x:v>
      </x:c>
      <x:c r="F1505" s="28" t="str">
        <x:v>Development &amp; presentation; Recognition &amp; diagnosis; Family &amp; education; Social &amp; structural</x:v>
      </x:c>
      <x:c r="G1505" s="28" t="str">
        <x:v>Childhood</x:v>
      </x:c>
      <x:c r="H1505" s="28" t="str">
        <x:v>Batch 1 core</x:v>
      </x:c>
      <x:c r="I1505" s="28" t="str">
        <x:v>Direct ADHD primary study on diagnosis, family/education, structural conditions, lived experience/outcomes, or environment/lifestyle.</x:v>
      </x:c>
      <x:c r="J1505" s="38" t="e">
        <x:f>HYPERLINK("https://pubmed.ncbi.nlm.nih.gov/"&amp;C1505&amp;"/","Open PubMed")</x:f>
        <x:v>HYPERLINK is not implemented. linkLocation=https://pubmed.ncbi.nlm.nih.gov/19365085/, friendlyName=Open PubMed</x:v>
      </x:c>
    </x:row>
    <x:row r="1506">
      <x:c r="A1506" s="26" t="str">
        <x:v>PUBMED-19338730</x:v>
      </x:c>
      <x:c r="B1506" s="26" t="n">
        <x:v>2010</x:v>
      </x:c>
      <x:c r="C1506" s="26" t="str">
        <x:v>19338730</x:v>
      </x:c>
      <x:c r="D1506" s="28" t="str">
        <x:v>The nature of attentional dysfunctions in adolescents hospitalized for a first episode of psychosis.</x:v>
      </x:c>
      <x:c r="E1506" s="28" t="str">
        <x:v>Primary/contextual journal article</x:v>
      </x:c>
      <x:c r="F1506" s="28" t="str">
        <x:v>Development &amp; presentation; Recognition &amp; diagnosis; Social &amp; structural; Life outcomes &amp; lived experience</x:v>
      </x:c>
      <x:c r="G1506" s="28" t="str">
        <x:v>Childhood; Adolescence</x:v>
      </x:c>
      <x:c r="H1506" s="28" t="str">
        <x:v>Exclude/incidental</x:v>
      </x:c>
      <x:c r="I1506" s="28" t="str">
        <x:v>ADHD appears peripheral or insufficiently aligned with the requested corpus scope based on accessible metadata/abstract.</x:v>
      </x:c>
      <x:c r="J1506" s="38" t="e">
        <x:f>HYPERLINK("https://pubmed.ncbi.nlm.nih.gov/"&amp;C1506&amp;"/","Open PubMed")</x:f>
        <x:v>HYPERLINK is not implemented. linkLocation=https://pubmed.ncbi.nlm.nih.gov/19338730/, friendlyName=Open PubMed</x:v>
      </x:c>
    </x:row>
    <x:row r="1507">
      <x:c r="A1507" s="26" t="str">
        <x:v>PUBMED-19270267</x:v>
      </x:c>
      <x:c r="B1507" s="26" t="n">
        <x:v>2010</x:v>
      </x:c>
      <x:c r="C1507" s="26" t="str">
        <x:v>19270267</x:v>
      </x:c>
      <x:c r="D1507" s="28" t="str">
        <x:v>Attention deficit hyperactivity disorder in men and women newly committed to prison: clinical characteristics, psychiatric comorbidity, and quality of life.</x:v>
      </x:c>
      <x:c r="E1507" s="28" t="str">
        <x:v>Primary study - cross-sectional</x:v>
      </x:c>
      <x:c r="F1507" s="28" t="str">
        <x:v>Development &amp; presentation; Recognition &amp; diagnosis; Social &amp; structural; Life outcomes &amp; lived experience</x:v>
      </x:c>
      <x:c r="G1507" s="28" t="str">
        <x:v>Adulthood</x:v>
      </x:c>
      <x:c r="H1507" s="28" t="str">
        <x:v>Batch 1 core</x:v>
      </x:c>
      <x:c r="I1507" s="28" t="str">
        <x:v>Direct ADHD primary study on diagnosis, family/education, structural conditions, lived experience/outcomes, or environment/lifestyle.</x:v>
      </x:c>
      <x:c r="J1507" s="38" t="e">
        <x:f>HYPERLINK("https://pubmed.ncbi.nlm.nih.gov/"&amp;C1507&amp;"/","Open PubMed")</x:f>
        <x:v>HYPERLINK is not implemented. linkLocation=https://pubmed.ncbi.nlm.nih.gov/19270267/, friendlyName=Open PubMed</x:v>
      </x:c>
    </x:row>
    <x:row r="1508">
      <x:c r="A1508" s="26" t="str">
        <x:v>PUBMED-19242897</x:v>
      </x:c>
      <x:c r="B1508" s="26" t="n">
        <x:v>2010</x:v>
      </x:c>
      <x:c r="C1508" s="26" t="str">
        <x:v>19242897</x:v>
      </x:c>
      <x:c r="D1508" s="28" t="str">
        <x:v>[Development and evaluation of a group therapy for functional memory and attention disorder].</x:v>
      </x:c>
      <x:c r="E1508" s="28" t="str">
        <x:v>Primary study - randomized controlled trial</x:v>
      </x:c>
      <x:c r="F1508" s="28" t="str">
        <x:v>Development &amp; presentation; Recognition &amp; diagnosis; Family &amp; education; Social &amp; structural; Environmental &amp; lifestyle; Treatment &amp; support; Life outcomes &amp; lived experience</x:v>
      </x:c>
      <x:c r="G1508" s="28" t="str">
        <x:v>Adulthood</x:v>
      </x:c>
      <x:c r="H1508" s="28" t="str">
        <x:v>Later specialized</x:v>
      </x:c>
      <x:c r="I1508" s="28" t="str">
        <x:v>Direct or strongly ADHD-related record retained for later screening; typically narrower treatment, biomarker, mechanistic, or single-comorbidity focus.</x:v>
      </x:c>
      <x:c r="J1508" s="38" t="e">
        <x:f>HYPERLINK("https://pubmed.ncbi.nlm.nih.gov/"&amp;C1508&amp;"/","Open PubMed")</x:f>
        <x:v>HYPERLINK is not implemented. linkLocation=https://pubmed.ncbi.nlm.nih.gov/19242897/, friendlyName=Open PubMed</x:v>
      </x:c>
    </x:row>
    <x:row r="1509">
      <x:c r="A1509" s="26" t="str">
        <x:v>PUBMED-42267239</x:v>
      </x:c>
      <x:c r="B1509" s="26" t="n">
        <x:v>2026</x:v>
      </x:c>
      <x:c r="C1509" s="26" t="str">
        <x:v>42267239</x:v>
      </x:c>
      <x:c r="D1509" s="28" t="str">
        <x:v>Efficacy and Safety of Centanafadine in Attention-Deficit/Hyperactivity Disorder: A Systematic Review and Meta-Analysis of Randomized Controlled Trials.</x:v>
      </x:c>
      <x:c r="E1509" s="28" t="str">
        <x:v>Evidence synthesis - meta-analysis</x:v>
      </x:c>
      <x:c r="F1509" s="28" t="str">
        <x:v>Development &amp; presentation; Recognition &amp; diagnosis; Social &amp; structural; Treatment &amp; support; Life outcomes &amp; lived experience</x:v>
      </x:c>
      <x:c r="G1509" s="28" t="str">
        <x:v>Not specified</x:v>
      </x:c>
      <x:c r="H1509" s="28" t="str">
        <x:v>Later specialized</x:v>
      </x:c>
      <x:c r="I1509" s="28" t="str">
        <x:v>Direct or strongly ADHD-related record retained for later screening; typically narrower treatment, biomarker, mechanistic, or single-comorbidity focus.</x:v>
      </x:c>
      <x:c r="J1509" s="38" t="e">
        <x:f>HYPERLINK("https://pubmed.ncbi.nlm.nih.gov/"&amp;C1509&amp;"/","Open PubMed")</x:f>
        <x:v>HYPERLINK is not implemented. linkLocation=https://pubmed.ncbi.nlm.nih.gov/42267239/, friendlyName=Open PubMed</x:v>
      </x:c>
    </x:row>
    <x:row r="1510">
      <x:c r="A1510" s="26" t="str">
        <x:v>PUBMED-42259585</x:v>
      </x:c>
      <x:c r="B1510" s="26" t="n">
        <x:v>2026</x:v>
      </x:c>
      <x:c r="C1510" s="26" t="str">
        <x:v>42259585</x:v>
      </x:c>
      <x:c r="D1510" s="28" t="str">
        <x:v>Advances in the management of ADHD in children and adolescents.</x:v>
      </x:c>
      <x:c r="E1510" s="28" t="str">
        <x:v>Evidence synthesis - review</x:v>
      </x:c>
      <x:c r="F1510" s="28" t="str">
        <x:v>Development &amp; presentation; Recognition &amp; diagnosis; Family &amp; education; Social &amp; structural; Environmental &amp; lifestyle; Treatment &amp; support; Life outcomes &amp; lived experience</x:v>
      </x:c>
      <x:c r="G1510" s="28" t="str">
        <x:v>Childhood; Adolescence</x:v>
      </x:c>
      <x:c r="H1510" s="28" t="str">
        <x:v>Later specialized</x:v>
      </x:c>
      <x:c r="I1510" s="28" t="str">
        <x:v>Direct or strongly ADHD-related record retained for later screening; typically narrower treatment, biomarker, mechanistic, or single-comorbidity focus.</x:v>
      </x:c>
      <x:c r="J1510" s="38" t="e">
        <x:f>HYPERLINK("https://pubmed.ncbi.nlm.nih.gov/"&amp;C1510&amp;"/","Open PubMed")</x:f>
        <x:v>HYPERLINK is not implemented. linkLocation=https://pubmed.ncbi.nlm.nih.gov/42259585/, friendlyName=Open PubMed</x:v>
      </x:c>
    </x:row>
    <x:row r="1511">
      <x:c r="A1511" s="26" t="str">
        <x:v>PUBMED-41995162</x:v>
      </x:c>
      <x:c r="B1511" s="26" t="n">
        <x:v>2026</x:v>
      </x:c>
      <x:c r="C1511" s="26" t="str">
        <x:v>41995162</x:v>
      </x:c>
      <x:c r="D1511" s="28" t="str">
        <x:v>[Not Available].</x:v>
      </x:c>
      <x:c r="E1511" s="28" t="str">
        <x:v>Evidence synthesis - review</x:v>
      </x:c>
      <x:c r="F1511" s="28" t="str">
        <x:v>Development &amp; presentation; Recognition &amp; diagnosis; Social &amp; structural; Environmental &amp; lifestyle; Treatment &amp; support; Historical &amp; contemporary context</x:v>
      </x:c>
      <x:c r="G1511" s="28" t="str">
        <x:v>Childhood; Adolescence</x:v>
      </x:c>
      <x:c r="H1511" s="28" t="str">
        <x:v>Exclude/incidental</x:v>
      </x:c>
      <x:c r="I1511" s="28" t="str">
        <x:v>ADHD appears peripheral or insufficiently aligned with the requested corpus scope based on accessible metadata/abstract.</x:v>
      </x:c>
      <x:c r="J1511" s="38" t="e">
        <x:f>HYPERLINK("https://pubmed.ncbi.nlm.nih.gov/"&amp;C1511&amp;"/","Open PubMed")</x:f>
        <x:v>HYPERLINK is not implemented. linkLocation=https://pubmed.ncbi.nlm.nih.gov/41995162/, friendlyName=Open PubMed</x:v>
      </x:c>
    </x:row>
    <x:row r="1512">
      <x:c r="A1512" s="26" t="str">
        <x:v>PUBMED-42020718</x:v>
      </x:c>
      <x:c r="B1512" s="26" t="n">
        <x:v>2026</x:v>
      </x:c>
      <x:c r="C1512" s="26" t="str">
        <x:v>42020718</x:v>
      </x:c>
      <x:c r="D1512" s="28" t="str">
        <x:v>Cell-type-specific genetic architecture reveals neuronal and immune contributions to neuropsychiatric disorders.</x:v>
      </x:c>
      <x:c r="E1512" s="28" t="str">
        <x:v>Primary/contextual journal article</x:v>
      </x:c>
      <x:c r="F1512" s="28" t="str">
        <x:v>Development &amp; presentation; Social &amp; structural</x:v>
      </x:c>
      <x:c r="G1512" s="28" t="str">
        <x:v>Not specified</x:v>
      </x:c>
      <x:c r="H1512" s="28" t="str">
        <x:v>Exclude/incidental</x:v>
      </x:c>
      <x:c r="I1512" s="28" t="str">
        <x:v>ADHD appears peripheral or insufficiently aligned with the requested corpus scope based on accessible metadata/abstract.</x:v>
      </x:c>
      <x:c r="J1512" s="38" t="e">
        <x:f>HYPERLINK("https://pubmed.ncbi.nlm.nih.gov/"&amp;C1512&amp;"/","Open PubMed")</x:f>
        <x:v>HYPERLINK is not implemented. linkLocation=https://pubmed.ncbi.nlm.nih.gov/42020718/, friendlyName=Open PubMed</x:v>
      </x:c>
    </x:row>
    <x:row r="1513">
      <x:c r="A1513" s="26" t="str">
        <x:v>PUBMED-42139800</x:v>
      </x:c>
      <x:c r="B1513" s="26" t="n">
        <x:v>2026</x:v>
      </x:c>
      <x:c r="C1513" s="26" t="str">
        <x:v>42139800</x:v>
      </x:c>
      <x:c r="D1513" s="28" t="str">
        <x:v>Reinventing amlodipine.</x:v>
      </x:c>
      <x:c r="E1513" s="28" t="str">
        <x:v>Evidence synthesis - review</x:v>
      </x:c>
      <x:c r="F1513" s="28" t="str">
        <x:v>Development &amp; presentation; Social &amp; structural; Treatment &amp; support; Historical &amp; contemporary context</x:v>
      </x:c>
      <x:c r="G1513" s="28" t="str">
        <x:v>Not specified</x:v>
      </x:c>
      <x:c r="H1513" s="28" t="str">
        <x:v>Later specialized</x:v>
      </x:c>
      <x:c r="I1513" s="28" t="str">
        <x:v>Direct or strongly ADHD-related record retained for later screening; typically narrower treatment, biomarker, mechanistic, or single-comorbidity focus.</x:v>
      </x:c>
      <x:c r="J1513" s="38" t="e">
        <x:f>HYPERLINK("https://pubmed.ncbi.nlm.nih.gov/"&amp;C1513&amp;"/","Open PubMed")</x:f>
        <x:v>HYPERLINK is not implemented. linkLocation=https://pubmed.ncbi.nlm.nih.gov/42139800/, friendlyName=Open PubMed</x:v>
      </x:c>
    </x:row>
    <x:row r="1514">
      <x:c r="A1514" s="26" t="str">
        <x:v>PUBMED-42018215</x:v>
      </x:c>
      <x:c r="B1514" s="26" t="n">
        <x:v>2026</x:v>
      </x:c>
      <x:c r="C1514" s="26" t="str">
        <x:v>42018215</x:v>
      </x:c>
      <x:c r="D1514" s="28" t="str">
        <x:v>Pharmacological Management of ADHD in Women Across Perimenopause, Menopause and Post-Menopause.</x:v>
      </x:c>
      <x:c r="E1514" s="28" t="str">
        <x:v>Evidence synthesis - review</x:v>
      </x:c>
      <x:c r="F1514" s="28" t="str">
        <x:v>Development &amp; presentation; Recognition &amp; diagnosis; Social &amp; structural; Environmental &amp; lifestyle; Treatment &amp; support</x:v>
      </x:c>
      <x:c r="G1514" s="28" t="str">
        <x:v>Not specified</x:v>
      </x:c>
      <x:c r="H1514" s="28" t="str">
        <x:v>Later specialized</x:v>
      </x:c>
      <x:c r="I1514" s="28" t="str">
        <x:v>Direct or strongly ADHD-related record retained for later screening; typically narrower treatment, biomarker, mechanistic, or single-comorbidity focus.</x:v>
      </x:c>
      <x:c r="J1514" s="38" t="e">
        <x:f>HYPERLINK("https://pubmed.ncbi.nlm.nih.gov/"&amp;C1514&amp;"/","Open PubMed")</x:f>
        <x:v>HYPERLINK is not implemented. linkLocation=https://pubmed.ncbi.nlm.nih.gov/42018215/, friendlyName=Open PubMed</x:v>
      </x:c>
    </x:row>
    <x:row r="1515">
      <x:c r="A1515" s="26" t="str">
        <x:v>PUBMED-42207323</x:v>
      </x:c>
      <x:c r="B1515" s="26" t="n">
        <x:v>2026</x:v>
      </x:c>
      <x:c r="C1515" s="26" t="str">
        <x:v>42207323</x:v>
      </x:c>
      <x:c r="D1515" s="28" t="str">
        <x:v>ADHD and the female reproductive stages: menstruation, perinatal and menopause.</x:v>
      </x:c>
      <x:c r="E1515" s="28" t="str">
        <x:v>Primary study - cross-sectional</x:v>
      </x:c>
      <x:c r="F1515" s="28" t="str">
        <x:v>Development &amp; presentation; Recognition &amp; diagnosis; Social &amp; structural; Environmental &amp; lifestyle; Historical &amp; contemporary context</x:v>
      </x:c>
      <x:c r="G1515" s="28" t="str">
        <x:v>Adulthood</x:v>
      </x:c>
      <x:c r="H1515" s="28" t="str">
        <x:v>Later specialized</x:v>
      </x:c>
      <x:c r="I1515" s="28" t="str">
        <x:v>Direct or strongly ADHD-related record retained for later screening; typically narrower treatment, biomarker, mechanistic, or single-comorbidity focus.</x:v>
      </x:c>
      <x:c r="J1515" s="38" t="e">
        <x:f>HYPERLINK("https://pubmed.ncbi.nlm.nih.gov/"&amp;C1515&amp;"/","Open PubMed")</x:f>
        <x:v>HYPERLINK is not implemented. linkLocation=https://pubmed.ncbi.nlm.nih.gov/42207323/, friendlyName=Open PubMed</x:v>
      </x:c>
    </x:row>
    <x:row r="1516">
      <x:c r="A1516" s="26" t="str">
        <x:v>PUBMED-42484392</x:v>
      </x:c>
      <x:c r="B1516" s="26" t="n">
        <x:v>2026</x:v>
      </x:c>
      <x:c r="C1516" s="26" t="str">
        <x:v>42484392</x:v>
      </x:c>
      <x:c r="D1516" s="28" t="str">
        <x:v>Autism, ADHD and the menopause.</x:v>
      </x:c>
      <x:c r="E1516" s="28" t="str">
        <x:v>Evidence synthesis - review</x:v>
      </x:c>
      <x:c r="F1516" s="28" t="str">
        <x:v>Development &amp; presentation; Recognition &amp; diagnosis; Social &amp; structural; Historical &amp; contemporary context</x:v>
      </x:c>
      <x:c r="G1516" s="28" t="str">
        <x:v>Adulthood</x:v>
      </x:c>
      <x:c r="H1516" s="28" t="str">
        <x:v>Later specialized</x:v>
      </x:c>
      <x:c r="I1516" s="28" t="str">
        <x:v>Direct or strongly ADHD-related record retained for later screening; typically narrower treatment, biomarker, mechanistic, or single-comorbidity focus.</x:v>
      </x:c>
      <x:c r="J1516" s="38" t="e">
        <x:f>HYPERLINK("https://pubmed.ncbi.nlm.nih.gov/"&amp;C1516&amp;"/","Open PubMed")</x:f>
        <x:v>HYPERLINK is not implemented. linkLocation=https://pubmed.ncbi.nlm.nih.gov/42484392/, friendlyName=Open PubMed</x:v>
      </x:c>
    </x:row>
    <x:row r="1517">
      <x:c r="A1517" s="26" t="str">
        <x:v>PUBMED-42262184</x:v>
      </x:c>
      <x:c r="B1517" s="26" t="n">
        <x:v>2026</x:v>
      </x:c>
      <x:c r="C1517" s="26" t="str">
        <x:v>42262184</x:v>
      </x:c>
      <x:c r="D1517" s="28" t="str">
        <x:v>[Not Available].</x:v>
      </x:c>
      <x:c r="E1517" s="28" t="str">
        <x:v>Primary/contextual journal article</x:v>
      </x:c>
      <x:c r="F1517" s="28" t="str">
        <x:v>Development &amp; presentation; Recognition &amp; diagnosis; Family &amp; education; Social &amp; structural</x:v>
      </x:c>
      <x:c r="G1517" s="28" t="str">
        <x:v>Childhood; Adolescence; Adulthood</x:v>
      </x:c>
      <x:c r="H1517" s="28" t="str">
        <x:v>Later specialized</x:v>
      </x:c>
      <x:c r="I1517" s="28" t="str">
        <x:v>Direct or strongly ADHD-related record retained for later screening; typically narrower treatment, biomarker, mechanistic, or single-comorbidity focus.</x:v>
      </x:c>
      <x:c r="J1517" s="38" t="e">
        <x:f>HYPERLINK("https://pubmed.ncbi.nlm.nih.gov/"&amp;C1517&amp;"/","Open PubMed")</x:f>
        <x:v>HYPERLINK is not implemented. linkLocation=https://pubmed.ncbi.nlm.nih.gov/42262184/, friendlyName=Open PubMed</x:v>
      </x:c>
    </x:row>
    <x:row r="1518">
      <x:c r="A1518" s="26" t="str">
        <x:v>PUBMED-42320784</x:v>
      </x:c>
      <x:c r="B1518" s="26" t="n">
        <x:v>2026</x:v>
      </x:c>
      <x:c r="C1518" s="26" t="str">
        <x:v>42320784</x:v>
      </x:c>
      <x:c r="D1518" s="28" t="str">
        <x:v>Breastfeeding and Development of Attention-Deficit/Hyperactivity Disorder Symptoms Across Childhood.</x:v>
      </x:c>
      <x:c r="E1518" s="28" t="str">
        <x:v>Primary study - cohort</x:v>
      </x:c>
      <x:c r="F1518" s="28" t="str">
        <x:v>Development &amp; presentation; Family &amp; education; Social &amp; structural; Environmental &amp; lifestyle; Life outcomes &amp; lived experience</x:v>
      </x:c>
      <x:c r="G1518" s="28" t="str">
        <x:v>Childhood</x:v>
      </x:c>
      <x:c r="H1518" s="28" t="str">
        <x:v>Later specialized</x:v>
      </x:c>
      <x:c r="I1518" s="28" t="str">
        <x:v>Direct or strongly ADHD-related record retained for later screening; typically narrower treatment, biomarker, mechanistic, or single-comorbidity focus.</x:v>
      </x:c>
      <x:c r="J1518" s="38" t="e">
        <x:f>HYPERLINK("https://pubmed.ncbi.nlm.nih.gov/"&amp;C1518&amp;"/","Open PubMed")</x:f>
        <x:v>HYPERLINK is not implemented. linkLocation=https://pubmed.ncbi.nlm.nih.gov/42320784/, friendlyName=Open PubMed</x:v>
      </x:c>
    </x:row>
    <x:row r="1519">
      <x:c r="A1519" s="26" t="str">
        <x:v>PUBMED-42066563</x:v>
      </x:c>
      <x:c r="B1519" s="26" t="n">
        <x:v>2026</x:v>
      </x:c>
      <x:c r="C1519" s="26" t="str">
        <x:v>42066563</x:v>
      </x:c>
      <x:c r="D1519" s="28" t="str">
        <x:v>Daridorexant for adults with attention deficit hyperactivity disorder (ADHD) and insomnia disorder: An exploratory study.</x:v>
      </x:c>
      <x:c r="E1519" s="28" t="str">
        <x:v>Primary/contextual journal article</x:v>
      </x:c>
      <x:c r="F1519" s="28" t="str">
        <x:v>Development &amp; presentation; Recognition &amp; diagnosis; Social &amp; structural; Environmental &amp; lifestyle; Treatment &amp; support; Life outcomes &amp; lived experience</x:v>
      </x:c>
      <x:c r="G1519" s="28" t="str">
        <x:v>Adulthood</x:v>
      </x:c>
      <x:c r="H1519" s="28" t="str">
        <x:v>Later specialized</x:v>
      </x:c>
      <x:c r="I1519" s="28" t="str">
        <x:v>Direct or strongly ADHD-related record retained for later screening; typically narrower treatment, biomarker, mechanistic, or single-comorbidity focus.</x:v>
      </x:c>
      <x:c r="J1519" s="38" t="e">
        <x:f>HYPERLINK("https://pubmed.ncbi.nlm.nih.gov/"&amp;C1519&amp;"/","Open PubMed")</x:f>
        <x:v>HYPERLINK is not implemented. linkLocation=https://pubmed.ncbi.nlm.nih.gov/42066563/, friendlyName=Open PubMed</x:v>
      </x:c>
    </x:row>
    <x:row r="1520">
      <x:c r="A1520" s="26" t="str">
        <x:v>PUBMED-42297780</x:v>
      </x:c>
      <x:c r="B1520" s="26" t="n">
        <x:v>2026</x:v>
      </x:c>
      <x:c r="C1520" s="26" t="str">
        <x:v>42297780</x:v>
      </x:c>
      <x:c r="D1520" s="28" t="str">
        <x:v>Dynamic relationship and pleiotropic loci of attention deficit hyperactivity disorder with sleep traits.</x:v>
      </x:c>
      <x:c r="E1520" s="28" t="str">
        <x:v>Primary study - cohort</x:v>
      </x:c>
      <x:c r="F1520" s="28" t="str">
        <x:v>Development &amp; presentation; Social &amp; structural; Environmental &amp; lifestyle; Treatment &amp; support; Life outcomes &amp; lived experience</x:v>
      </x:c>
      <x:c r="G1520" s="28" t="str">
        <x:v>Childhood; Adolescence</x:v>
      </x:c>
      <x:c r="H1520" s="28" t="str">
        <x:v>Batch 1 core</x:v>
      </x:c>
      <x:c r="I1520" s="28" t="str">
        <x:v>Direct ADHD primary study on diagnosis, family/education, structural conditions, lived experience/outcomes, or environment/lifestyle.</x:v>
      </x:c>
      <x:c r="J1520" s="38" t="e">
        <x:f>HYPERLINK("https://pubmed.ncbi.nlm.nih.gov/"&amp;C1520&amp;"/","Open PubMed")</x:f>
        <x:v>HYPERLINK is not implemented. linkLocation=https://pubmed.ncbi.nlm.nih.gov/42297780/, friendlyName=Open PubMed</x:v>
      </x:c>
    </x:row>
    <x:row r="1521">
      <x:c r="A1521" s="26" t="str">
        <x:v>PUBMED-42358124</x:v>
      </x:c>
      <x:c r="B1521" s="26" t="n">
        <x:v>2026</x:v>
      </x:c>
      <x:c r="C1521" s="26" t="str">
        <x:v>42358124</x:v>
      </x:c>
      <x:c r="D1521" s="28" t="str">
        <x:v>Prevalence of Attention Deficit Hyperactivity Disorder in Adult Patients With Fibromyalgia.</x:v>
      </x:c>
      <x:c r="E1521" s="28" t="str">
        <x:v>Primary study - cross-sectional</x:v>
      </x:c>
      <x:c r="F1521" s="28" t="str">
        <x:v>Development &amp; presentation; Recognition &amp; diagnosis; Family &amp; education; Social &amp; structural; Life outcomes &amp; lived experience</x:v>
      </x:c>
      <x:c r="G1521" s="28" t="str">
        <x:v>Childhood; Adulthood</x:v>
      </x:c>
      <x:c r="H1521" s="28" t="str">
        <x:v>Later specialized</x:v>
      </x:c>
      <x:c r="I1521" s="28" t="str">
        <x:v>Direct or strongly ADHD-related record retained for later screening; typically narrower treatment, biomarker, mechanistic, or single-comorbidity focus.</x:v>
      </x:c>
      <x:c r="J1521" s="38" t="e">
        <x:f>HYPERLINK("https://pubmed.ncbi.nlm.nih.gov/"&amp;C1521&amp;"/","Open PubMed")</x:f>
        <x:v>HYPERLINK is not implemented. linkLocation=https://pubmed.ncbi.nlm.nih.gov/42358124/, friendlyName=Open PubMed</x:v>
      </x:c>
    </x:row>
    <x:row r="1522">
      <x:c r="A1522" s="26" t="str">
        <x:v>PUBMED-42154266</x:v>
      </x:c>
      <x:c r="B1522" s="26" t="n">
        <x:v>2026</x:v>
      </x:c>
      <x:c r="C1522" s="26" t="str">
        <x:v>42154266</x:v>
      </x:c>
      <x:c r="D1522" s="28" t="str">
        <x:v>ADHD and metabolic syndrome: behavioral and weight-related pathways to cardiovascular risk.</x:v>
      </x:c>
      <x:c r="E1522" s="28" t="str">
        <x:v>Primary study - cohort</x:v>
      </x:c>
      <x:c r="F1522" s="28" t="str">
        <x:v>Development &amp; presentation; Recognition &amp; diagnosis; Social &amp; structural; Treatment &amp; support</x:v>
      </x:c>
      <x:c r="G1522" s="28" t="str">
        <x:v>Adulthood</x:v>
      </x:c>
      <x:c r="H1522" s="28" t="str">
        <x:v>Later specialized</x:v>
      </x:c>
      <x:c r="I1522" s="28" t="str">
        <x:v>Direct or strongly ADHD-related record retained for later screening; typically narrower treatment, biomarker, mechanistic, or single-comorbidity focus.</x:v>
      </x:c>
      <x:c r="J1522" s="38" t="e">
        <x:f>HYPERLINK("https://pubmed.ncbi.nlm.nih.gov/"&amp;C1522&amp;"/","Open PubMed")</x:f>
        <x:v>HYPERLINK is not implemented. linkLocation=https://pubmed.ncbi.nlm.nih.gov/42154266/, friendlyName=Open PubMed</x:v>
      </x:c>
    </x:row>
    <x:row r="1523">
      <x:c r="A1523" s="26" t="str">
        <x:v>PUBMED-42371637</x:v>
      </x:c>
      <x:c r="B1523" s="26" t="n">
        <x:v>2026</x:v>
      </x:c>
      <x:c r="C1523" s="26" t="str">
        <x:v>42371637</x:v>
      </x:c>
      <x:c r="D1523" s="28" t="str">
        <x:v>Prenatal Acetaminophen (Paracetamol) Use and the Risk of Autism and/or Attention-Deficit/Hyperactivity Disorder Among Sibling-Matched Cohorts.</x:v>
      </x:c>
      <x:c r="E1523" s="28" t="str">
        <x:v>Primary study - cohort</x:v>
      </x:c>
      <x:c r="F1523" s="28" t="str">
        <x:v>Development &amp; presentation; Recognition &amp; diagnosis; Family &amp; education; Social &amp; structural; Environmental &amp; lifestyle; Treatment &amp; support; Life outcomes &amp; lived experience</x:v>
      </x:c>
      <x:c r="G1523" s="28" t="str">
        <x:v>Childhood; Adulthood</x:v>
      </x:c>
      <x:c r="H1523" s="28" t="str">
        <x:v>Batch 1 core</x:v>
      </x:c>
      <x:c r="I1523" s="28" t="str">
        <x:v>Direct ADHD primary study on diagnosis, family/education, structural conditions, lived experience/outcomes, or environment/lifestyle.</x:v>
      </x:c>
      <x:c r="J1523" s="38" t="e">
        <x:f>HYPERLINK("https://pubmed.ncbi.nlm.nih.gov/"&amp;C1523&amp;"/","Open PubMed")</x:f>
        <x:v>HYPERLINK is not implemented. linkLocation=https://pubmed.ncbi.nlm.nih.gov/42371637/, friendlyName=Open PubMed</x:v>
      </x:c>
    </x:row>
    <x:row r="1524">
      <x:c r="A1524" s="26" t="str">
        <x:v>PUBMED-42134365</x:v>
      </x:c>
      <x:c r="B1524" s="26" t="n">
        <x:v>2026</x:v>
      </x:c>
      <x:c r="C1524" s="26" t="str">
        <x:v>42134365</x:v>
      </x:c>
      <x:c r="D1524" s="28" t="str">
        <x:v>Pharmacological interventions for ADHD: a systematic review and dose-effect network meta-analysis.</x:v>
      </x:c>
      <x:c r="E1524" s="28" t="str">
        <x:v>Evidence synthesis - meta-analysis</x:v>
      </x:c>
      <x:c r="F1524" s="28" t="str">
        <x:v>Development &amp; presentation; Recognition &amp; diagnosis; Social &amp; structural; Treatment &amp; support; Life outcomes &amp; lived experience</x:v>
      </x:c>
      <x:c r="G1524" s="28" t="str">
        <x:v>Childhood; Adolescence; Adulthood</x:v>
      </x:c>
      <x:c r="H1524" s="28" t="str">
        <x:v>Batch 1 core</x:v>
      </x:c>
      <x:c r="I1524" s="28" t="str">
        <x:v>Direct ADHD evidence synthesis/guideline with broad multi-topic relevance.</x:v>
      </x:c>
      <x:c r="J1524" s="38" t="e">
        <x:f>HYPERLINK("https://pubmed.ncbi.nlm.nih.gov/"&amp;C1524&amp;"/","Open PubMed")</x:f>
        <x:v>HYPERLINK is not implemented. linkLocation=https://pubmed.ncbi.nlm.nih.gov/42134365/, friendlyName=Open PubMed</x:v>
      </x:c>
    </x:row>
    <x:row r="1525">
      <x:c r="A1525" s="26" t="str">
        <x:v>PUBMED-42467432</x:v>
      </x:c>
      <x:c r="B1525" s="26" t="n">
        <x:v>2026</x:v>
      </x:c>
      <x:c r="C1525" s="26" t="str">
        <x:v>42467432</x:v>
      </x:c>
      <x:c r="D1525" s="28" t="str">
        <x:v>Problematic Social Media Use and Attention-Deficit/Hyperactivity Disorder Symptoms in Adolescents.</x:v>
      </x:c>
      <x:c r="E1525" s="28" t="str">
        <x:v>Primary study - cohort</x:v>
      </x:c>
      <x:c r="F1525" s="28" t="str">
        <x:v>Development &amp; presentation; Recognition &amp; diagnosis; Family &amp; education; Social &amp; structural; Environmental &amp; lifestyle; Life outcomes &amp; lived experience; Historical &amp; contemporary context</x:v>
      </x:c>
      <x:c r="G1525" s="28" t="str">
        <x:v>Childhood; Adolescence</x:v>
      </x:c>
      <x:c r="H1525" s="28" t="str">
        <x:v>Batch 1 core</x:v>
      </x:c>
      <x:c r="I1525" s="28" t="str">
        <x:v>Direct ADHD primary study on diagnosis, family/education, structural conditions, lived experience/outcomes, or environment/lifestyle.</x:v>
      </x:c>
      <x:c r="J1525" s="38" t="e">
        <x:f>HYPERLINK("https://pubmed.ncbi.nlm.nih.gov/"&amp;C1525&amp;"/","Open PubMed")</x:f>
        <x:v>HYPERLINK is not implemented. linkLocation=https://pubmed.ncbi.nlm.nih.gov/42467432/, friendlyName=Open PubMed</x:v>
      </x:c>
    </x:row>
    <x:row r="1526">
      <x:c r="A1526" s="26" t="str">
        <x:v>PUBMED-42304068</x:v>
      </x:c>
      <x:c r="B1526" s="26" t="n">
        <x:v>2026</x:v>
      </x:c>
      <x:c r="C1526" s="26" t="str">
        <x:v>42304068</x:v>
      </x:c>
      <x:c r="D1526" s="28" t="str">
        <x:v>Incidence, prevalence, and global burden of attention-deficit/hyperactivity disorder from 1990 to 2021 across 204 countries in individuals under age 20: data, with critical appraisal, from the 2021 Global Burden of Disease study.</x:v>
      </x:c>
      <x:c r="E1526" s="28" t="str">
        <x:v>Primary/contextual journal article</x:v>
      </x:c>
      <x:c r="F1526" s="28" t="str">
        <x:v>Development &amp; presentation; Family &amp; education; Social &amp; structural</x:v>
      </x:c>
      <x:c r="G1526" s="28" t="str">
        <x:v>Childhood; Adolescence; Adulthood</x:v>
      </x:c>
      <x:c r="H1526" s="28" t="str">
        <x:v>Later specialized</x:v>
      </x:c>
      <x:c r="I1526" s="28" t="str">
        <x:v>Direct or strongly ADHD-related record retained for later screening; typically narrower treatment, biomarker, mechanistic, or single-comorbidity focus.</x:v>
      </x:c>
      <x:c r="J1526" s="38" t="e">
        <x:f>HYPERLINK("https://pubmed.ncbi.nlm.nih.gov/"&amp;C1526&amp;"/","Open PubMed")</x:f>
        <x:v>HYPERLINK is not implemented. linkLocation=https://pubmed.ncbi.nlm.nih.gov/42304068/, friendlyName=Open PubMed</x:v>
      </x:c>
    </x:row>
    <x:row r="1527">
      <x:c r="A1527" s="26" t="str">
        <x:v>PUBMED-42215949</x:v>
      </x:c>
      <x:c r="B1527" s="26" t="n">
        <x:v>2026</x:v>
      </x:c>
      <x:c r="C1527" s="26" t="str">
        <x:v>42215949</x:v>
      </x:c>
      <x:c r="D1527" s="28" t="str">
        <x:v>The cerebral neurovascular coupling and glymphatic circulation dysfunction in children with attention deficit/hyperactivity disorder.</x:v>
      </x:c>
      <x:c r="E1527" s="28" t="str">
        <x:v>Primary study - case-control</x:v>
      </x:c>
      <x:c r="F1527" s="28" t="str">
        <x:v>Development &amp; presentation; Recognition &amp; diagnosis; Social &amp; structural; Environmental &amp; lifestyle; Life outcomes &amp; lived experience</x:v>
      </x:c>
      <x:c r="G1527" s="28" t="str">
        <x:v>Childhood; Adolescence</x:v>
      </x:c>
      <x:c r="H1527" s="28" t="str">
        <x:v>Later specialized</x:v>
      </x:c>
      <x:c r="I1527" s="28" t="str">
        <x:v>Direct or strongly ADHD-related record retained for later screening; typically narrower treatment, biomarker, mechanistic, or single-comorbidity focus.</x:v>
      </x:c>
      <x:c r="J1527" s="38" t="e">
        <x:f>HYPERLINK("https://pubmed.ncbi.nlm.nih.gov/"&amp;C1527&amp;"/","Open PubMed")</x:f>
        <x:v>HYPERLINK is not implemented. linkLocation=https://pubmed.ncbi.nlm.nih.gov/42215949/, friendlyName=Open PubMed</x:v>
      </x:c>
    </x:row>
    <x:row r="1528">
      <x:c r="A1528" s="26" t="str">
        <x:v>PUBMED-42486440</x:v>
      </x:c>
      <x:c r="B1528" s="26" t="n">
        <x:v>2026</x:v>
      </x:c>
      <x:c r="C1528" s="26" t="str">
        <x:v>42486440</x:v>
      </x:c>
      <x:c r="D1528" s="28" t="str">
        <x:v>Exploring zebrafish models of ADHD: A systematic review of genetic and pharmacological approaches.</x:v>
      </x:c>
      <x:c r="E1528" s="28" t="str">
        <x:v>Evidence synthesis - systematic review</x:v>
      </x:c>
      <x:c r="F1528" s="28" t="str">
        <x:v>Development &amp; presentation; Recognition &amp; diagnosis; Social &amp; structural; Environmental &amp; lifestyle; Treatment &amp; support</x:v>
      </x:c>
      <x:c r="G1528" s="28" t="str">
        <x:v>Not specified</x:v>
      </x:c>
      <x:c r="H1528" s="28" t="str">
        <x:v>Exclude/incidental</x:v>
      </x:c>
      <x:c r="I1528" s="28" t="str">
        <x:v>Animal-only record; retained outside the human-focused core corpus.</x:v>
      </x:c>
      <x:c r="J1528" s="38" t="e">
        <x:f>HYPERLINK("https://pubmed.ncbi.nlm.nih.gov/"&amp;C1528&amp;"/","Open PubMed")</x:f>
        <x:v>HYPERLINK is not implemented. linkLocation=https://pubmed.ncbi.nlm.nih.gov/42486440/, friendlyName=Open PubMed</x:v>
      </x:c>
    </x:row>
    <x:row r="1529">
      <x:c r="A1529" s="26" t="str">
        <x:v>PUBMED-42112549</x:v>
      </x:c>
      <x:c r="B1529" s="26" t="n">
        <x:v>2026</x:v>
      </x:c>
      <x:c r="C1529" s="26" t="str">
        <x:v>42112549</x:v>
      </x:c>
      <x:c r="D1529" s="28" t="str">
        <x:v>Cortical morphometric inverse divergence in attention-deficit/hyperactivity disorder correlates with cell-type-specific, laminar-specific and developmental transcriptomic signatures.</x:v>
      </x:c>
      <x:c r="E1529" s="28" t="str">
        <x:v>Primary study - cohort</x:v>
      </x:c>
      <x:c r="F1529" s="28" t="str">
        <x:v>Development &amp; presentation; Recognition &amp; diagnosis; Social &amp; structural; Life outcomes &amp; lived experience</x:v>
      </x:c>
      <x:c r="G1529" s="28" t="str">
        <x:v>Childhood; Adolescence</x:v>
      </x:c>
      <x:c r="H1529" s="28" t="str">
        <x:v>Later specialized</x:v>
      </x:c>
      <x:c r="I1529" s="28" t="str">
        <x:v>Direct or strongly ADHD-related record retained for later screening; typically narrower treatment, biomarker, mechanistic, or single-comorbidity focus.</x:v>
      </x:c>
      <x:c r="J1529" s="38" t="e">
        <x:f>HYPERLINK("https://pubmed.ncbi.nlm.nih.gov/"&amp;C1529&amp;"/","Open PubMed")</x:f>
        <x:v>HYPERLINK is not implemented. linkLocation=https://pubmed.ncbi.nlm.nih.gov/42112549/, friendlyName=Open PubMed</x:v>
      </x:c>
    </x:row>
    <x:row r="1530">
      <x:c r="A1530" s="26" t="str">
        <x:v>PUBMED-42553683</x:v>
      </x:c>
      <x:c r="B1530" s="26" t="n">
        <x:v>2026</x:v>
      </x:c>
      <x:c r="C1530" s="26" t="str">
        <x:v>42553683</x:v>
      </x:c>
      <x:c r="D1530" s="28" t="str">
        <x:v>Epidemiological characteristics of comorbidities in childhood Attention-Deficit/Hyperactivity Disorder and common comorbidity patterns.</x:v>
      </x:c>
      <x:c r="E1530" s="28" t="str">
        <x:v>Primary/contextual journal article</x:v>
      </x:c>
      <x:c r="F1530" s="28" t="str">
        <x:v>Development &amp; presentation; Recognition &amp; diagnosis; Family &amp; education; Social &amp; structural; Environmental &amp; lifestyle; Life outcomes &amp; lived experience; Historical &amp; contemporary context</x:v>
      </x:c>
      <x:c r="G1530" s="28" t="str">
        <x:v>Childhood</x:v>
      </x:c>
      <x:c r="H1530" s="28" t="str">
        <x:v>Later specialized</x:v>
      </x:c>
      <x:c r="I1530" s="28" t="str">
        <x:v>Direct or strongly ADHD-related record retained for later screening; typically narrower treatment, biomarker, mechanistic, or single-comorbidity focus.</x:v>
      </x:c>
      <x:c r="J1530" s="38" t="e">
        <x:f>HYPERLINK("https://pubmed.ncbi.nlm.nih.gov/"&amp;C1530&amp;"/","Open PubMed")</x:f>
        <x:v>HYPERLINK is not implemented. linkLocation=https://pubmed.ncbi.nlm.nih.gov/42553683/, friendlyName=Open PubMed</x:v>
      </x:c>
    </x:row>
    <x:row r="1531">
      <x:c r="A1531" s="26" t="str">
        <x:v>PUBMED-42297542</x:v>
      </x:c>
      <x:c r="B1531" s="26" t="n">
        <x:v>2026</x:v>
      </x:c>
      <x:c r="C1531" s="26" t="str">
        <x:v>42297542</x:v>
      </x:c>
      <x:c r="D1531" s="28" t="str">
        <x:v>Sleep disturbances in Attention-Deficit/Hyperactivity Disorder: State of the art and management.</x:v>
      </x:c>
      <x:c r="E1531" s="28" t="str">
        <x:v>Evidence synthesis - review</x:v>
      </x:c>
      <x:c r="F1531" s="28" t="str">
        <x:v>Development &amp; presentation; Recognition &amp; diagnosis; Social &amp; structural; Environmental &amp; lifestyle; Treatment &amp; support; Life outcomes &amp; lived experience</x:v>
      </x:c>
      <x:c r="G1531" s="28" t="str">
        <x:v>Childhood; Adulthood</x:v>
      </x:c>
      <x:c r="H1531" s="28" t="str">
        <x:v>Later specialized</x:v>
      </x:c>
      <x:c r="I1531" s="28" t="str">
        <x:v>Direct or strongly ADHD-related record retained for later screening; typically narrower treatment, biomarker, mechanistic, or single-comorbidity focus.</x:v>
      </x:c>
      <x:c r="J1531" s="38" t="e">
        <x:f>HYPERLINK("https://pubmed.ncbi.nlm.nih.gov/"&amp;C1531&amp;"/","Open PubMed")</x:f>
        <x:v>HYPERLINK is not implemented. linkLocation=https://pubmed.ncbi.nlm.nih.gov/42297542/, friendlyName=Open PubMed</x:v>
      </x:c>
    </x:row>
    <x:row r="1532">
      <x:c r="A1532" s="26" t="str">
        <x:v>PUBMED-42274016</x:v>
      </x:c>
      <x:c r="B1532" s="26" t="n">
        <x:v>2026</x:v>
      </x:c>
      <x:c r="C1532" s="26" t="str">
        <x:v>42274016</x:v>
      </x:c>
      <x:c r="D1532" s="28" t="str">
        <x:v>Menstrual health and Attention-Deficit/Hyperactivity Disorder (ADHD) symptoms: A scoping review.</x:v>
      </x:c>
      <x:c r="E1532" s="28" t="str">
        <x:v>Evidence synthesis - review</x:v>
      </x:c>
      <x:c r="F1532" s="28" t="str">
        <x:v>Development &amp; presentation; Recognition &amp; diagnosis; Social &amp; structural; Treatment &amp; support; Life outcomes &amp; lived experience</x:v>
      </x:c>
      <x:c r="G1532" s="28" t="str">
        <x:v>Not specified</x:v>
      </x:c>
      <x:c r="H1532" s="28" t="str">
        <x:v>Batch 1 core</x:v>
      </x:c>
      <x:c r="I1532" s="28" t="str">
        <x:v>Direct ADHD evidence synthesis/guideline with broad multi-topic relevance.</x:v>
      </x:c>
      <x:c r="J1532" s="38" t="e">
        <x:f>HYPERLINK("https://pubmed.ncbi.nlm.nih.gov/"&amp;C1532&amp;"/","Open PubMed")</x:f>
        <x:v>HYPERLINK is not implemented. linkLocation=https://pubmed.ncbi.nlm.nih.gov/42274016/, friendlyName=Open PubMed</x:v>
      </x:c>
    </x:row>
    <x:row r="1533">
      <x:c r="A1533" s="26" t="str">
        <x:v>PUBMED-41990960</x:v>
      </x:c>
      <x:c r="B1533" s="26" t="n">
        <x:v>2026</x:v>
      </x:c>
      <x:c r="C1533" s="26" t="str">
        <x:v>41990960</x:v>
      </x:c>
      <x:c r="D1533" s="28" t="str">
        <x:v>Comparing daytime pharmacokinetic and pharmacodynamic profiles of once-daily lisdexamfetamine versus twice-daily dexamfetamine in adult ADHD.</x:v>
      </x:c>
      <x:c r="E1533" s="28" t="str">
        <x:v>Primary/contextual journal article</x:v>
      </x:c>
      <x:c r="F1533" s="28" t="str">
        <x:v>Development &amp; presentation; Social &amp; structural; Treatment &amp; support; Life outcomes &amp; lived experience</x:v>
      </x:c>
      <x:c r="G1533" s="28" t="str">
        <x:v>Adulthood</x:v>
      </x:c>
      <x:c r="H1533" s="28" t="str">
        <x:v>Later specialized</x:v>
      </x:c>
      <x:c r="I1533" s="28" t="str">
        <x:v>Direct or strongly ADHD-related record retained for later screening; typically narrower treatment, biomarker, mechanistic, or single-comorbidity focus.</x:v>
      </x:c>
      <x:c r="J1533" s="38" t="e">
        <x:f>HYPERLINK("https://pubmed.ncbi.nlm.nih.gov/"&amp;C1533&amp;"/","Open PubMed")</x:f>
        <x:v>HYPERLINK is not implemented. linkLocation=https://pubmed.ncbi.nlm.nih.gov/41990960/, friendlyName=Open PubMed</x:v>
      </x:c>
    </x:row>
    <x:row r="1534">
      <x:c r="A1534" s="26" t="str">
        <x:v>PUBMED-42127382</x:v>
      </x:c>
      <x:c r="B1534" s="26" t="n">
        <x:v>2026</x:v>
      </x:c>
      <x:c r="C1534" s="26" t="str">
        <x:v>42127382</x:v>
      </x:c>
      <x:c r="D1534" s="28" t="str">
        <x:v>Methylphenidate treatment in adults with comorbid attention-deficit/hyperactivity disorder and borderline personality disorder: a prospective longitudinal study.</x:v>
      </x:c>
      <x:c r="E1534" s="28" t="str">
        <x:v>Primary/contextual journal article</x:v>
      </x:c>
      <x:c r="F1534" s="28" t="str">
        <x:v>Development &amp; presentation; Recognition &amp; diagnosis; Social &amp; structural; Treatment &amp; support; Life outcomes &amp; lived experience</x:v>
      </x:c>
      <x:c r="G1534" s="28" t="str">
        <x:v>Adulthood</x:v>
      </x:c>
      <x:c r="H1534" s="28" t="str">
        <x:v>Later specialized</x:v>
      </x:c>
      <x:c r="I1534" s="28" t="str">
        <x:v>Direct or strongly ADHD-related record retained for later screening; typically narrower treatment, biomarker, mechanistic, or single-comorbidity focus.</x:v>
      </x:c>
      <x:c r="J1534" s="38" t="e">
        <x:f>HYPERLINK("https://pubmed.ncbi.nlm.nih.gov/"&amp;C1534&amp;"/","Open PubMed")</x:f>
        <x:v>HYPERLINK is not implemented. linkLocation=https://pubmed.ncbi.nlm.nih.gov/42127382/, friendlyName=Open PubMed</x:v>
      </x:c>
    </x:row>
    <x:row r="1535">
      <x:c r="A1535" s="26" t="str">
        <x:v>PUBMED-42144137</x:v>
      </x:c>
      <x:c r="B1535" s="26" t="n">
        <x:v>2026</x:v>
      </x:c>
      <x:c r="C1535" s="26" t="str">
        <x:v>42144137</x:v>
      </x:c>
      <x:c r="D1535" s="28" t="str">
        <x:v>Treatment patterns and comparative clinical outcomes of ADHD medications in adolescents and young adults with comorbid major depressive disorder.</x:v>
      </x:c>
      <x:c r="E1535" s="28" t="str">
        <x:v>Primary study - cohort</x:v>
      </x:c>
      <x:c r="F1535" s="28" t="str">
        <x:v>Development &amp; presentation; Recognition &amp; diagnosis; Social &amp; structural; Treatment &amp; support; Life outcomes &amp; lived experience</x:v>
      </x:c>
      <x:c r="G1535" s="28" t="str">
        <x:v>Childhood; Adolescence; Adulthood</x:v>
      </x:c>
      <x:c r="H1535" s="28" t="str">
        <x:v>Later specialized</x:v>
      </x:c>
      <x:c r="I1535" s="28" t="str">
        <x:v>Direct or strongly ADHD-related record retained for later screening; typically narrower treatment, biomarker, mechanistic, or single-comorbidity focus.</x:v>
      </x:c>
      <x:c r="J1535" s="38" t="e">
        <x:f>HYPERLINK("https://pubmed.ncbi.nlm.nih.gov/"&amp;C1535&amp;"/","Open PubMed")</x:f>
        <x:v>HYPERLINK is not implemented. linkLocation=https://pubmed.ncbi.nlm.nih.gov/42144137/, friendlyName=Open PubMed</x:v>
      </x:c>
    </x:row>
    <x:row r="1536">
      <x:c r="A1536" s="26" t="str">
        <x:v>PUBMED-42207988</x:v>
      </x:c>
      <x:c r="B1536" s="26" t="n">
        <x:v>2026</x:v>
      </x:c>
      <x:c r="C1536" s="26" t="str">
        <x:v>42207988</x:v>
      </x:c>
      <x:c r="D1536" s="28" t="str">
        <x:v>Viloxazine Extended Release in Adults With Attention-Deficit/Hyperactivity Disorder and Depression and/or Anxiety Symptoms: Results From a Decentralized, Open-Label, Phase 4 Trial.</x:v>
      </x:c>
      <x:c r="E1536" s="28" t="str">
        <x:v>Primary study - clinical trial</x:v>
      </x:c>
      <x:c r="F1536" s="28" t="str">
        <x:v>Development &amp; presentation; Recognition &amp; diagnosis; Social &amp; structural; Environmental &amp; lifestyle; Treatment &amp; support; Life outcomes &amp; lived experience</x:v>
      </x:c>
      <x:c r="G1536" s="28" t="str">
        <x:v>Adulthood</x:v>
      </x:c>
      <x:c r="H1536" s="28" t="str">
        <x:v>Later specialized</x:v>
      </x:c>
      <x:c r="I1536" s="28" t="str">
        <x:v>Direct or strongly ADHD-related record retained for later screening; typically narrower treatment, biomarker, mechanistic, or single-comorbidity focus.</x:v>
      </x:c>
      <x:c r="J1536" s="38" t="e">
        <x:f>HYPERLINK("https://pubmed.ncbi.nlm.nih.gov/"&amp;C1536&amp;"/","Open PubMed")</x:f>
        <x:v>HYPERLINK is not implemented. linkLocation=https://pubmed.ncbi.nlm.nih.gov/42207988/, friendlyName=Open PubMed</x:v>
      </x:c>
    </x:row>
    <x:row r="1537">
      <x:c r="A1537" s="26" t="str">
        <x:v>PUBMED-42128970</x:v>
      </x:c>
      <x:c r="B1537" s="26" t="n">
        <x:v>2026</x:v>
      </x:c>
      <x:c r="C1537" s="26" t="str">
        <x:v>42128970</x:v>
      </x:c>
      <x:c r="D1537" s="28" t="str">
        <x:v>Stimulant Medications and Bone Health.</x:v>
      </x:c>
      <x:c r="E1537" s="28" t="str">
        <x:v>Evidence synthesis - review</x:v>
      </x:c>
      <x:c r="F1537" s="28" t="str">
        <x:v>Development &amp; presentation; Environmental &amp; lifestyle; Treatment &amp; support</x:v>
      </x:c>
      <x:c r="G1537" s="28" t="str">
        <x:v>Not specified</x:v>
      </x:c>
      <x:c r="H1537" s="28" t="str">
        <x:v>Later specialized</x:v>
      </x:c>
      <x:c r="I1537" s="28" t="str">
        <x:v>Direct or strongly ADHD-related record retained for later screening; typically narrower treatment, biomarker, mechanistic, or single-comorbidity focus.</x:v>
      </x:c>
      <x:c r="J1537" s="38" t="e">
        <x:f>HYPERLINK("https://pubmed.ncbi.nlm.nih.gov/"&amp;C1537&amp;"/","Open PubMed")</x:f>
        <x:v>HYPERLINK is not implemented. linkLocation=https://pubmed.ncbi.nlm.nih.gov/42128970/, friendlyName=Open PubMed</x:v>
      </x:c>
    </x:row>
    <x:row r="1538">
      <x:c r="A1538" s="26" t="str">
        <x:v>PUBMED-42384073</x:v>
      </x:c>
      <x:c r="B1538" s="26" t="n">
        <x:v>2026</x:v>
      </x:c>
      <x:c r="C1538" s="26" t="str">
        <x:v>42384073</x:v>
      </x:c>
      <x:c r="D1538" s="28" t="str">
        <x:v>Attention-deficit/hyperactivity disorder and snuff use prior to and early in pregnancy.</x:v>
      </x:c>
      <x:c r="E1538" s="28" t="str">
        <x:v>Primary/contextual journal article</x:v>
      </x:c>
      <x:c r="F1538" s="28" t="str">
        <x:v>Development &amp; presentation; Recognition &amp; diagnosis; Social &amp; structural; Environmental &amp; lifestyle; Treatment &amp; support; Life outcomes &amp; lived experience</x:v>
      </x:c>
      <x:c r="G1538" s="28" t="str">
        <x:v>Adulthood</x:v>
      </x:c>
      <x:c r="H1538" s="28" t="str">
        <x:v>Later specialized</x:v>
      </x:c>
      <x:c r="I1538" s="28" t="str">
        <x:v>Direct or strongly ADHD-related record retained for later screening; typically narrower treatment, biomarker, mechanistic, or single-comorbidity focus.</x:v>
      </x:c>
      <x:c r="J1538" s="38" t="e">
        <x:f>HYPERLINK("https://pubmed.ncbi.nlm.nih.gov/"&amp;C1538&amp;"/","Open PubMed")</x:f>
        <x:v>HYPERLINK is not implemented. linkLocation=https://pubmed.ncbi.nlm.nih.gov/42384073/, friendlyName=Open PubMed</x:v>
      </x:c>
    </x:row>
    <x:row r="1539">
      <x:c r="A1539" s="26" t="str">
        <x:v>PUBMED-42275888</x:v>
      </x:c>
      <x:c r="B1539" s="26" t="n">
        <x:v>2026</x:v>
      </x:c>
      <x:c r="C1539" s="26" t="str">
        <x:v>42275888</x:v>
      </x:c>
      <x:c r="D1539" s="28" t="str">
        <x:v>Perceptual learning in ADHD.</x:v>
      </x:c>
      <x:c r="E1539" s="28" t="str">
        <x:v>Primary/contextual journal article</x:v>
      </x:c>
      <x:c r="F1539" s="28" t="str">
        <x:v>Development &amp; presentation; Social &amp; structural; Treatment &amp; support</x:v>
      </x:c>
      <x:c r="G1539" s="28" t="str">
        <x:v>Adulthood</x:v>
      </x:c>
      <x:c r="H1539" s="28" t="str">
        <x:v>Later specialized</x:v>
      </x:c>
      <x:c r="I1539" s="28" t="str">
        <x:v>Direct or strongly ADHD-related record retained for later screening; typically narrower treatment, biomarker, mechanistic, or single-comorbidity focus.</x:v>
      </x:c>
      <x:c r="J1539" s="38" t="e">
        <x:f>HYPERLINK("https://pubmed.ncbi.nlm.nih.gov/"&amp;C1539&amp;"/","Open PubMed")</x:f>
        <x:v>HYPERLINK is not implemented. linkLocation=https://pubmed.ncbi.nlm.nih.gov/42275888/, friendlyName=Open PubMed</x:v>
      </x:c>
    </x:row>
    <x:row r="1540">
      <x:c r="A1540" s="26" t="str">
        <x:v>PUBMED-42173367</x:v>
      </x:c>
      <x:c r="B1540" s="26" t="n">
        <x:v>2026</x:v>
      </x:c>
      <x:c r="C1540" s="26" t="str">
        <x:v>42173367</x:v>
      </x:c>
      <x:c r="D1540" s="28" t="str">
        <x:v>Emotion regulation difficulties in adults with ADHD and associations with insomnia symptoms.</x:v>
      </x:c>
      <x:c r="E1540" s="28" t="str">
        <x:v>Primary study - cross-sectional</x:v>
      </x:c>
      <x:c r="F1540" s="28" t="str">
        <x:v>Development &amp; presentation; Recognition &amp; diagnosis; Family &amp; education; Social &amp; structural; Environmental &amp; lifestyle; Treatment &amp; support; Life outcomes &amp; lived experience; Historical &amp; contemporary context</x:v>
      </x:c>
      <x:c r="G1540" s="28" t="str">
        <x:v>Adolescence; Adulthood</x:v>
      </x:c>
      <x:c r="H1540" s="28" t="str">
        <x:v>Later specialized</x:v>
      </x:c>
      <x:c r="I1540" s="28" t="str">
        <x:v>Direct or strongly ADHD-related record retained for later screening; typically narrower treatment, biomarker, mechanistic, or single-comorbidity focus.</x:v>
      </x:c>
      <x:c r="J1540" s="38" t="e">
        <x:f>HYPERLINK("https://pubmed.ncbi.nlm.nih.gov/"&amp;C1540&amp;"/","Open PubMed")</x:f>
        <x:v>HYPERLINK is not implemented. linkLocation=https://pubmed.ncbi.nlm.nih.gov/42173367/, friendlyName=Open PubMed</x:v>
      </x:c>
    </x:row>
    <x:row r="1541">
      <x:c r="A1541" s="26" t="str">
        <x:v>PUBMED-42160906</x:v>
      </x:c>
      <x:c r="B1541" s="26" t="n">
        <x:v>2026</x:v>
      </x:c>
      <x:c r="C1541" s="26" t="str">
        <x:v>42160906</x:v>
      </x:c>
      <x:c r="D1541" s="28" t="str">
        <x:v>The American Society of Clinical Psychopharmacology task force consensus statement on the deprescribing of stimulant medications in adults with ADHD(✰).</x:v>
      </x:c>
      <x:c r="E1541" s="28" t="str">
        <x:v>Evidence synthesis - review</x:v>
      </x:c>
      <x:c r="F1541" s="28" t="str">
        <x:v>Development &amp; presentation; Recognition &amp; diagnosis; Social &amp; structural; Treatment &amp; support; Life outcomes &amp; lived experience</x:v>
      </x:c>
      <x:c r="G1541" s="28" t="str">
        <x:v>Adulthood</x:v>
      </x:c>
      <x:c r="H1541" s="28" t="str">
        <x:v>Later specialized</x:v>
      </x:c>
      <x:c r="I1541" s="28" t="str">
        <x:v>Direct or strongly ADHD-related record retained for later screening; typically narrower treatment, biomarker, mechanistic, or single-comorbidity focus.</x:v>
      </x:c>
      <x:c r="J1541" s="38" t="e">
        <x:f>HYPERLINK("https://pubmed.ncbi.nlm.nih.gov/"&amp;C1541&amp;"/","Open PubMed")</x:f>
        <x:v>HYPERLINK is not implemented. linkLocation=https://pubmed.ncbi.nlm.nih.gov/42160906/, friendlyName=Open PubMed</x:v>
      </x:c>
    </x:row>
    <x:row r="1542">
      <x:c r="A1542" s="26" t="str">
        <x:v>PUBMED-42216364</x:v>
      </x:c>
      <x:c r="B1542" s="26" t="n">
        <x:v>2026</x:v>
      </x:c>
      <x:c r="C1542" s="26" t="str">
        <x:v>42216364</x:v>
      </x:c>
      <x:c r="D1542" s="28" t="str">
        <x:v>Causal relationship between inflammatory proteins and attention deficit hyperactivity disorder: A serum-metabolites-mediated Mendelian randomization analysis.</x:v>
      </x:c>
      <x:c r="E1542" s="28" t="str">
        <x:v>Primary/contextual journal article</x:v>
      </x:c>
      <x:c r="F1542" s="28" t="str">
        <x:v>Development &amp; presentation; Social &amp; structural; Life outcomes &amp; lived experience</x:v>
      </x:c>
      <x:c r="G1542" s="28" t="str">
        <x:v>Not specified</x:v>
      </x:c>
      <x:c r="H1542" s="28" t="str">
        <x:v>Later specialized</x:v>
      </x:c>
      <x:c r="I1542" s="28" t="str">
        <x:v>Direct or strongly ADHD-related record retained for later screening; typically narrower treatment, biomarker, mechanistic, or single-comorbidity focus.</x:v>
      </x:c>
      <x:c r="J1542" s="38" t="e">
        <x:f>HYPERLINK("https://pubmed.ncbi.nlm.nih.gov/"&amp;C1542&amp;"/","Open PubMed")</x:f>
        <x:v>HYPERLINK is not implemented. linkLocation=https://pubmed.ncbi.nlm.nih.gov/42216364/, friendlyName=Open PubMed</x:v>
      </x:c>
    </x:row>
    <x:row r="1543">
      <x:c r="A1543" s="26" t="str">
        <x:v>PUBMED-42176346</x:v>
      </x:c>
      <x:c r="B1543" s="26" t="n">
        <x:v>2026</x:v>
      </x:c>
      <x:c r="C1543" s="26" t="str">
        <x:v>42176346</x:v>
      </x:c>
      <x:c r="D1543" s="28" t="str">
        <x:v>Comorbidity of asthma and attention deficit hyperactivity disorder in childhood: causal, shared early-life risk factors, or shared genetic liability?</x:v>
      </x:c>
      <x:c r="E1543" s="28" t="str">
        <x:v>Primary/contextual journal article</x:v>
      </x:c>
      <x:c r="F1543" s="28" t="str">
        <x:v>Development &amp; presentation; Recognition &amp; diagnosis; Family &amp; education; Social &amp; structural; Life outcomes &amp; lived experience</x:v>
      </x:c>
      <x:c r="G1543" s="28" t="str">
        <x:v>Childhood</x:v>
      </x:c>
      <x:c r="H1543" s="28" t="str">
        <x:v>Later specialized</x:v>
      </x:c>
      <x:c r="I1543" s="28" t="str">
        <x:v>Direct or strongly ADHD-related record retained for later screening; typically narrower treatment, biomarker, mechanistic, or single-comorbidity focus.</x:v>
      </x:c>
      <x:c r="J1543" s="38" t="e">
        <x:f>HYPERLINK("https://pubmed.ncbi.nlm.nih.gov/"&amp;C1543&amp;"/","Open PubMed")</x:f>
        <x:v>HYPERLINK is not implemented. linkLocation=https://pubmed.ncbi.nlm.nih.gov/42176346/, friendlyName=Open PubMed</x:v>
      </x:c>
    </x:row>
    <x:row r="1544">
      <x:c r="A1544" s="26" t="str">
        <x:v>PUBMED-42268594</x:v>
      </x:c>
      <x:c r="B1544" s="26" t="n">
        <x:v>2026</x:v>
      </x:c>
      <x:c r="C1544" s="26" t="str">
        <x:v>42268594</x:v>
      </x:c>
      <x:c r="D1544" s="28" t="str">
        <x:v>Changes in Genetic Contributions to ASD and ADHD by Year of Diagnosis.</x:v>
      </x:c>
      <x:c r="E1544" s="28" t="str">
        <x:v>Primary study - cohort</x:v>
      </x:c>
      <x:c r="F1544" s="28" t="str">
        <x:v>Development &amp; presentation; Recognition &amp; diagnosis; Family &amp; education; Social &amp; structural; Environmental &amp; lifestyle; Treatment &amp; support; Life outcomes &amp; lived experience</x:v>
      </x:c>
      <x:c r="G1544" s="28" t="str">
        <x:v>Childhood; Adolescence</x:v>
      </x:c>
      <x:c r="H1544" s="28" t="str">
        <x:v>Batch 1 core</x:v>
      </x:c>
      <x:c r="I1544" s="28" t="str">
        <x:v>Direct ADHD primary study on diagnosis, family/education, structural conditions, lived experience/outcomes, or environment/lifestyle.</x:v>
      </x:c>
      <x:c r="J1544" s="38" t="e">
        <x:f>HYPERLINK("https://pubmed.ncbi.nlm.nih.gov/"&amp;C1544&amp;"/","Open PubMed")</x:f>
        <x:v>HYPERLINK is not implemented. linkLocation=https://pubmed.ncbi.nlm.nih.gov/42268594/, friendlyName=Open PubMed</x:v>
      </x:c>
    </x:row>
    <x:row r="1545">
      <x:c r="A1545" s="26" t="str">
        <x:v>PUBMED-42442822</x:v>
      </x:c>
      <x:c r="B1545" s="26" t="n">
        <x:v>2026</x:v>
      </x:c>
      <x:c r="C1545" s="26" t="str">
        <x:v>42442822</x:v>
      </x:c>
      <x:c r="D1545" s="28" t="str">
        <x:v>The Stigmatization of Caregivers of Children With Attention-Deficit/Hyperactivity Disorder: A Systematic Review.</x:v>
      </x:c>
      <x:c r="E1545" s="28" t="str">
        <x:v>Evidence synthesis - systematic review</x:v>
      </x:c>
      <x:c r="F1545" s="28" t="str">
        <x:v>Development &amp; presentation; Recognition &amp; diagnosis; Family &amp; education; Social &amp; structural; Environmental &amp; lifestyle; Treatment &amp; support; Life outcomes &amp; lived experience; Historical &amp; contemporary context</x:v>
      </x:c>
      <x:c r="G1545" s="28" t="str">
        <x:v>Childhood; Adulthood</x:v>
      </x:c>
      <x:c r="H1545" s="28" t="str">
        <x:v>Batch 1 core</x:v>
      </x:c>
      <x:c r="I1545" s="28" t="str">
        <x:v>Direct ADHD evidence synthesis/guideline with broad multi-topic relevance.</x:v>
      </x:c>
      <x:c r="J1545" s="38" t="e">
        <x:f>HYPERLINK("https://pubmed.ncbi.nlm.nih.gov/"&amp;C1545&amp;"/","Open PubMed")</x:f>
        <x:v>HYPERLINK is not implemented. linkLocation=https://pubmed.ncbi.nlm.nih.gov/42442822/, friendlyName=Open PubMed</x:v>
      </x:c>
    </x:row>
    <x:row r="1546">
      <x:c r="A1546" s="26" t="str">
        <x:v>PUBMED-42090912</x:v>
      </x:c>
      <x:c r="B1546" s="26" t="n">
        <x:v>2026</x:v>
      </x:c>
      <x:c r="C1546" s="26" t="str">
        <x:v>42090912</x:v>
      </x:c>
      <x:c r="D1546" s="28" t="str">
        <x:v>Sleep hygiene and its relation to sleep in adolescents with attention-deficit/hyperactivity disorder (ADHD).</x:v>
      </x:c>
      <x:c r="E1546" s="28" t="str">
        <x:v>Primary/contextual journal article</x:v>
      </x:c>
      <x:c r="F1546" s="28" t="str">
        <x:v>Development &amp; presentation; Recognition &amp; diagnosis; Social &amp; structural; Environmental &amp; lifestyle; Life outcomes &amp; lived experience</x:v>
      </x:c>
      <x:c r="G1546" s="28" t="str">
        <x:v>Adolescence</x:v>
      </x:c>
      <x:c r="H1546" s="28" t="str">
        <x:v>Later specialized</x:v>
      </x:c>
      <x:c r="I1546" s="28" t="str">
        <x:v>Direct or strongly ADHD-related record retained for later screening; typically narrower treatment, biomarker, mechanistic, or single-comorbidity focus.</x:v>
      </x:c>
      <x:c r="J1546" s="38" t="e">
        <x:f>HYPERLINK("https://pubmed.ncbi.nlm.nih.gov/"&amp;C1546&amp;"/","Open PubMed")</x:f>
        <x:v>HYPERLINK is not implemented. linkLocation=https://pubmed.ncbi.nlm.nih.gov/42090912/, friendlyName=Open PubMed</x:v>
      </x:c>
    </x:row>
    <x:row r="1547">
      <x:c r="A1547" s="26" t="str">
        <x:v>PUBMED-42240305</x:v>
      </x:c>
      <x:c r="B1547" s="26" t="n">
        <x:v>2026</x:v>
      </x:c>
      <x:c r="C1547" s="26" t="str">
        <x:v>42240305</x:v>
      </x:c>
      <x:c r="D1547" s="28" t="str">
        <x:v>Efficacy of an Unguided Digital Intervention for Adults With Attention-Deficit/Hyperactivity Disorder: A Randomized Controlled Trial.</x:v>
      </x:c>
      <x:c r="E1547" s="28" t="str">
        <x:v>Primary study - randomized controlled trial</x:v>
      </x:c>
      <x:c r="F1547" s="28" t="str">
        <x:v>Development &amp; presentation; Recognition &amp; diagnosis; Social &amp; structural; Environmental &amp; lifestyle; Treatment &amp; support; Life outcomes &amp; lived experience; Historical &amp; contemporary context</x:v>
      </x:c>
      <x:c r="G1547" s="28" t="str">
        <x:v>Adulthood</x:v>
      </x:c>
      <x:c r="H1547" s="28" t="str">
        <x:v>Later specialized</x:v>
      </x:c>
      <x:c r="I1547" s="28" t="str">
        <x:v>Direct or strongly ADHD-related record retained for later screening; typically narrower treatment, biomarker, mechanistic, or single-comorbidity focus.</x:v>
      </x:c>
      <x:c r="J1547" s="38" t="e">
        <x:f>HYPERLINK("https://pubmed.ncbi.nlm.nih.gov/"&amp;C1547&amp;"/","Open PubMed")</x:f>
        <x:v>HYPERLINK is not implemented. linkLocation=https://pubmed.ncbi.nlm.nih.gov/42240305/, friendlyName=Open PubMed</x:v>
      </x:c>
    </x:row>
    <x:row r="1548">
      <x:c r="A1548" s="26" t="str">
        <x:v>PUBMED-42398159</x:v>
      </x:c>
      <x:c r="B1548" s="26" t="n">
        <x:v>2026</x:v>
      </x:c>
      <x:c r="C1548" s="26" t="str">
        <x:v>42398159</x:v>
      </x:c>
      <x:c r="D1548" s="28" t="str">
        <x:v>Clinical and sleep profile of children with specific learning disorders, attention deficit hyperactivity disorder, or both: a retrospective multicenter study.</x:v>
      </x:c>
      <x:c r="E1548" s="28" t="str">
        <x:v>Primary/contextual journal article</x:v>
      </x:c>
      <x:c r="F1548" s="28" t="str">
        <x:v>Development &amp; presentation; Recognition &amp; diagnosis; Social &amp; structural; Environmental &amp; lifestyle</x:v>
      </x:c>
      <x:c r="G1548" s="28" t="str">
        <x:v>Childhood; Adolescence</x:v>
      </x:c>
      <x:c r="H1548" s="28" t="str">
        <x:v>Later specialized</x:v>
      </x:c>
      <x:c r="I1548" s="28" t="str">
        <x:v>Direct or strongly ADHD-related record retained for later screening; typically narrower treatment, biomarker, mechanistic, or single-comorbidity focus.</x:v>
      </x:c>
      <x:c r="J1548" s="38" t="e">
        <x:f>HYPERLINK("https://pubmed.ncbi.nlm.nih.gov/"&amp;C1548&amp;"/","Open PubMed")</x:f>
        <x:v>HYPERLINK is not implemented. linkLocation=https://pubmed.ncbi.nlm.nih.gov/42398159/, friendlyName=Open PubMed</x:v>
      </x:c>
    </x:row>
    <x:row r="1549">
      <x:c r="A1549" s="26" t="str">
        <x:v>PUBMED-42243950</x:v>
      </x:c>
      <x:c r="B1549" s="26" t="n">
        <x:v>2026</x:v>
      </x:c>
      <x:c r="C1549" s="26" t="str">
        <x:v>42243950</x:v>
      </x:c>
      <x:c r="D1549" s="28" t="str">
        <x:v>Investigation of the Effects of Methylphenidate on Hemodynamic Parameters in Children With ADHD.</x:v>
      </x:c>
      <x:c r="E1549" s="28" t="str">
        <x:v>Primary/contextual journal article</x:v>
      </x:c>
      <x:c r="F1549" s="28" t="str">
        <x:v>Development &amp; presentation; Recognition &amp; diagnosis; Social &amp; structural; Treatment &amp; support</x:v>
      </x:c>
      <x:c r="G1549" s="28" t="str">
        <x:v>Childhood; Adolescence</x:v>
      </x:c>
      <x:c r="H1549" s="28" t="str">
        <x:v>Later specialized</x:v>
      </x:c>
      <x:c r="I1549" s="28" t="str">
        <x:v>Direct or strongly ADHD-related record retained for later screening; typically narrower treatment, biomarker, mechanistic, or single-comorbidity focus.</x:v>
      </x:c>
      <x:c r="J1549" s="38" t="e">
        <x:f>HYPERLINK("https://pubmed.ncbi.nlm.nih.gov/"&amp;C1549&amp;"/","Open PubMed")</x:f>
        <x:v>HYPERLINK is not implemented. linkLocation=https://pubmed.ncbi.nlm.nih.gov/42243950/, friendlyName=Open PubMed</x:v>
      </x:c>
    </x:row>
    <x:row r="1550">
      <x:c r="A1550" s="26" t="str">
        <x:v>PUBMED-42280312</x:v>
      </x:c>
      <x:c r="B1550" s="26" t="n">
        <x:v>2026</x:v>
      </x:c>
      <x:c r="C1550" s="26" t="str">
        <x:v>42280312</x:v>
      </x:c>
      <x:c r="D1550" s="28" t="str">
        <x:v>Dietary Patterns and Feeding Challenges in Children with Neurodevelopmental Disorders.</x:v>
      </x:c>
      <x:c r="E1550" s="28" t="str">
        <x:v>Contextual - editorial/comment</x:v>
      </x:c>
      <x:c r="F1550" s="28" t="str">
        <x:v>Development &amp; presentation; Social &amp; structural; Environmental &amp; lifestyle; Life outcomes &amp; lived experience</x:v>
      </x:c>
      <x:c r="G1550" s="28" t="str">
        <x:v>Childhood</x:v>
      </x:c>
      <x:c r="H1550" s="28" t="str">
        <x:v>Exclude/incidental</x:v>
      </x:c>
      <x:c r="I1550" s="28" t="str">
        <x:v>ADHD appears peripheral or insufficiently aligned with the requested corpus scope based on accessible metadata/abstract.</x:v>
      </x:c>
      <x:c r="J1550" s="38" t="e">
        <x:f>HYPERLINK("https://pubmed.ncbi.nlm.nih.gov/"&amp;C1550&amp;"/","Open PubMed")</x:f>
        <x:v>HYPERLINK is not implemented. linkLocation=https://pubmed.ncbi.nlm.nih.gov/42280312/, friendlyName=Open PubMed</x:v>
      </x:c>
    </x:row>
    <x:row r="1551">
      <x:c r="A1551" s="26" t="str">
        <x:v>PUBMED-42285531</x:v>
      </x:c>
      <x:c r="B1551" s="26" t="n">
        <x:v>2026</x:v>
      </x:c>
      <x:c r="C1551" s="26" t="str">
        <x:v>42285531</x:v>
      </x:c>
      <x:c r="D1551" s="28" t="str">
        <x:v>Putamen function and MAOA genotype define genetic and neural subtypes of hyperactivity-impulsivity in ADHD.</x:v>
      </x:c>
      <x:c r="E1551" s="28" t="str">
        <x:v>Primary/contextual journal article</x:v>
      </x:c>
      <x:c r="F1551" s="28" t="str">
        <x:v>Development &amp; presentation; Recognition &amp; diagnosis; Social &amp; structural; Treatment &amp; support</x:v>
      </x:c>
      <x:c r="G1551" s="28" t="str">
        <x:v>Childhood</x:v>
      </x:c>
      <x:c r="H1551" s="28" t="str">
        <x:v>Later specialized</x:v>
      </x:c>
      <x:c r="I1551" s="28" t="str">
        <x:v>Direct or strongly ADHD-related record retained for later screening; typically narrower treatment, biomarker, mechanistic, or single-comorbidity focus.</x:v>
      </x:c>
      <x:c r="J1551" s="38" t="e">
        <x:f>HYPERLINK("https://pubmed.ncbi.nlm.nih.gov/"&amp;C1551&amp;"/","Open PubMed")</x:f>
        <x:v>HYPERLINK is not implemented. linkLocation=https://pubmed.ncbi.nlm.nih.gov/42285531/, friendlyName=Open PubMed</x:v>
      </x:c>
    </x:row>
    <x:row r="1552">
      <x:c r="A1552" s="26" t="str">
        <x:v>PUBMED-42532998</x:v>
      </x:c>
      <x:c r="B1552" s="26" t="n">
        <x:v>2026</x:v>
      </x:c>
      <x:c r="C1552" s="26" t="str">
        <x:v>42532998</x:v>
      </x:c>
      <x:c r="D1552" s="28" t="str">
        <x:v>Cerebrospinal fluid biomarkers reveal transdiagnostic synaptic dysfunction across major psychiatric disorders.</x:v>
      </x:c>
      <x:c r="E1552" s="28" t="str">
        <x:v>Primary study - cohort</x:v>
      </x:c>
      <x:c r="F1552" s="28" t="str">
        <x:v>Development &amp; presentation; Recognition &amp; diagnosis; Social &amp; structural</x:v>
      </x:c>
      <x:c r="G1552" s="28" t="str">
        <x:v>Not specified</x:v>
      </x:c>
      <x:c r="H1552" s="28" t="str">
        <x:v>Exclude/incidental</x:v>
      </x:c>
      <x:c r="I1552" s="28" t="str">
        <x:v>ADHD appears peripheral or insufficiently aligned with the requested corpus scope based on accessible metadata/abstract.</x:v>
      </x:c>
      <x:c r="J1552" s="38" t="e">
        <x:f>HYPERLINK("https://pubmed.ncbi.nlm.nih.gov/"&amp;C1552&amp;"/","Open PubMed")</x:f>
        <x:v>HYPERLINK is not implemented. linkLocation=https://pubmed.ncbi.nlm.nih.gov/42532998/, friendlyName=Open PubMed</x:v>
      </x:c>
    </x:row>
    <x:row r="1553">
      <x:c r="A1553" s="26" t="str">
        <x:v>PUBMED-42455456</x:v>
      </x:c>
      <x:c r="B1553" s="26" t="n">
        <x:v>2026</x:v>
      </x:c>
      <x:c r="C1553" s="26" t="str">
        <x:v>42455456</x:v>
      </x:c>
      <x:c r="D1553" s="28" t="str">
        <x:v>Roles and impacts of pharmacists in attention-deficit hyperactivity disorder services: a scoping review.</x:v>
      </x:c>
      <x:c r="E1553" s="28" t="str">
        <x:v>Evidence synthesis - review</x:v>
      </x:c>
      <x:c r="F1553" s="28" t="str">
        <x:v>Development &amp; presentation; Family &amp; education; Social &amp; structural; Treatment &amp; support; Life outcomes &amp; lived experience</x:v>
      </x:c>
      <x:c r="G1553" s="28" t="str">
        <x:v>Not specified</x:v>
      </x:c>
      <x:c r="H1553" s="28" t="str">
        <x:v>Batch 1 core</x:v>
      </x:c>
      <x:c r="I1553" s="28" t="str">
        <x:v>Direct ADHD evidence synthesis/guideline with broad multi-topic relevance.</x:v>
      </x:c>
      <x:c r="J1553" s="38" t="e">
        <x:f>HYPERLINK("https://pubmed.ncbi.nlm.nih.gov/"&amp;C1553&amp;"/","Open PubMed")</x:f>
        <x:v>HYPERLINK is not implemented. linkLocation=https://pubmed.ncbi.nlm.nih.gov/42455456/, friendlyName=Open PubMed</x:v>
      </x:c>
    </x:row>
    <x:row r="1554">
      <x:c r="A1554" s="26" t="str">
        <x:v>PUBMED-42185531</x:v>
      </x:c>
      <x:c r="B1554" s="26" t="n">
        <x:v>2026</x:v>
      </x:c>
      <x:c r="C1554" s="26" t="str">
        <x:v>42185531</x:v>
      </x:c>
      <x:c r="D1554" s="28" t="str">
        <x:v>Genetic investigation of the association between maternal dietary patterns and offspring ADHD.</x:v>
      </x:c>
      <x:c r="E1554" s="28" t="str">
        <x:v>Primary study - cohort</x:v>
      </x:c>
      <x:c r="F1554" s="28" t="str">
        <x:v>Development &amp; presentation; Recognition &amp; diagnosis; Social &amp; structural; Environmental &amp; lifestyle; Treatment &amp; support</x:v>
      </x:c>
      <x:c r="G1554" s="28" t="str">
        <x:v>Childhood</x:v>
      </x:c>
      <x:c r="H1554" s="28" t="str">
        <x:v>Batch 1 core</x:v>
      </x:c>
      <x:c r="I1554" s="28" t="str">
        <x:v>Direct ADHD primary study on diagnosis, family/education, structural conditions, lived experience/outcomes, or environment/lifestyle.</x:v>
      </x:c>
      <x:c r="J1554" s="38" t="e">
        <x:f>HYPERLINK("https://pubmed.ncbi.nlm.nih.gov/"&amp;C1554&amp;"/","Open PubMed")</x:f>
        <x:v>HYPERLINK is not implemented. linkLocation=https://pubmed.ncbi.nlm.nih.gov/42185531/, friendlyName=Open PubMed</x:v>
      </x:c>
    </x:row>
    <x:row r="1555">
      <x:c r="A1555" s="26" t="str">
        <x:v>PUBMED-42274394</x:v>
      </x:c>
      <x:c r="B1555" s="26" t="n">
        <x:v>2026</x:v>
      </x:c>
      <x:c r="C1555" s="26" t="str">
        <x:v>42274394</x:v>
      </x:c>
      <x:c r="D1555" s="28" t="str">
        <x:v>Internalizing and Externalizing Problems and Psychiatric Comorbidities in Children With Hereditary Spherocytosis.</x:v>
      </x:c>
      <x:c r="E1555" s="28" t="str">
        <x:v>Primary study - cohort</x:v>
      </x:c>
      <x:c r="F1555" s="28" t="str">
        <x:v>Development &amp; presentation; Recognition &amp; diagnosis; Family &amp; education; Social &amp; structural; Life outcomes &amp; lived experience</x:v>
      </x:c>
      <x:c r="G1555" s="28" t="str">
        <x:v>Childhood; Adolescence</x:v>
      </x:c>
      <x:c r="H1555" s="28" t="str">
        <x:v>Later specialized</x:v>
      </x:c>
      <x:c r="I1555" s="28" t="str">
        <x:v>Direct or strongly ADHD-related record retained for later screening; typically narrower treatment, biomarker, mechanistic, or single-comorbidity focus.</x:v>
      </x:c>
      <x:c r="J1555" s="38" t="e">
        <x:f>HYPERLINK("https://pubmed.ncbi.nlm.nih.gov/"&amp;C1555&amp;"/","Open PubMed")</x:f>
        <x:v>HYPERLINK is not implemented. linkLocation=https://pubmed.ncbi.nlm.nih.gov/42274394/, friendlyName=Open PubMed</x:v>
      </x:c>
    </x:row>
    <x:row r="1556">
      <x:c r="A1556" s="26" t="str">
        <x:v>PUBMED-42602386</x:v>
      </x:c>
      <x:c r="B1556" s="26" t="n">
        <x:v>2026</x:v>
      </x:c>
      <x:c r="C1556" s="26" t="str">
        <x:v>42602386</x:v>
      </x:c>
      <x:c r="D1556" s="28" t="str">
        <x:v>Efficacy and safety of ashwagandha root extract in children and adolescents with mild attention-deficit/hyperactivity disorder: a randomized, double-blind, placebo-controlled trial.</x:v>
      </x:c>
      <x:c r="E1556" s="28" t="str">
        <x:v>Primary study - randomized controlled trial</x:v>
      </x:c>
      <x:c r="F1556" s="28" t="str">
        <x:v>Development &amp; presentation; Recognition &amp; diagnosis; Social &amp; structural; Environmental &amp; lifestyle; Treatment &amp; support; Life outcomes &amp; lived experience</x:v>
      </x:c>
      <x:c r="G1556" s="28" t="str">
        <x:v>Childhood; Adolescence</x:v>
      </x:c>
      <x:c r="H1556" s="28" t="str">
        <x:v>Later specialized</x:v>
      </x:c>
      <x:c r="I1556" s="28" t="str">
        <x:v>Direct or strongly ADHD-related record retained for later screening; typically narrower treatment, biomarker, mechanistic, or single-comorbidity focus.</x:v>
      </x:c>
      <x:c r="J1556" s="38" t="e">
        <x:f>HYPERLINK("https://pubmed.ncbi.nlm.nih.gov/"&amp;C1556&amp;"/","Open PubMed")</x:f>
        <x:v>HYPERLINK is not implemented. linkLocation=https://pubmed.ncbi.nlm.nih.gov/42602386/, friendlyName=Open PubMed</x:v>
      </x:c>
    </x:row>
    <x:row r="1557">
      <x:c r="A1557" s="26" t="str">
        <x:v>PUBMED-42130043</x:v>
      </x:c>
      <x:c r="B1557" s="26" t="n">
        <x:v>2026</x:v>
      </x:c>
      <x:c r="C1557" s="26" t="str">
        <x:v>42130043</x:v>
      </x:c>
      <x:c r="D1557" s="28" t="str">
        <x:v>Manganese Exposure and Attention-Deficit/Hyperactivity Disorder-Related Neurobehavioral Outcomes in Children: A Systematic Review of Human Studies.</x:v>
      </x:c>
      <x:c r="E1557" s="28" t="str">
        <x:v>Evidence synthesis - systematic review</x:v>
      </x:c>
      <x:c r="F1557" s="28" t="str">
        <x:v>Development &amp; presentation; Recognition &amp; diagnosis; Social &amp; structural; Environmental &amp; lifestyle; Treatment &amp; support; Life outcomes &amp; lived experience; Historical &amp; contemporary context</x:v>
      </x:c>
      <x:c r="G1557" s="28" t="str">
        <x:v>Childhood</x:v>
      </x:c>
      <x:c r="H1557" s="28" t="str">
        <x:v>Batch 1 core</x:v>
      </x:c>
      <x:c r="I1557" s="28" t="str">
        <x:v>Direct ADHD evidence synthesis/guideline with broad multi-topic relevance.</x:v>
      </x:c>
      <x:c r="J1557" s="38" t="e">
        <x:f>HYPERLINK("https://pubmed.ncbi.nlm.nih.gov/"&amp;C1557&amp;"/","Open PubMed")</x:f>
        <x:v>HYPERLINK is not implemented. linkLocation=https://pubmed.ncbi.nlm.nih.gov/42130043/, friendlyName=Open PubMed</x:v>
      </x:c>
    </x:row>
    <x:row r="1558">
      <x:c r="A1558" s="26" t="str">
        <x:v>PUBMED-41989380</x:v>
      </x:c>
      <x:c r="B1558" s="26" t="n">
        <x:v>2026</x:v>
      </x:c>
      <x:c r="C1558" s="26" t="str">
        <x:v>41989380</x:v>
      </x:c>
      <x:c r="D1558" s="28" t="str">
        <x:v>Microbiome signatures correlate with diet-mediated ADHD symptom reduction.</x:v>
      </x:c>
      <x:c r="E1558" s="28" t="str">
        <x:v>Primary/contextual journal article</x:v>
      </x:c>
      <x:c r="F1558" s="28" t="str">
        <x:v>Development &amp; presentation; Social &amp; structural; Environmental &amp; lifestyle; Treatment &amp; support</x:v>
      </x:c>
      <x:c r="G1558" s="28" t="str">
        <x:v>Childhood</x:v>
      </x:c>
      <x:c r="H1558" s="28" t="str">
        <x:v>Later specialized</x:v>
      </x:c>
      <x:c r="I1558" s="28" t="str">
        <x:v>Direct or strongly ADHD-related record retained for later screening; typically narrower treatment, biomarker, mechanistic, or single-comorbidity focus.</x:v>
      </x:c>
      <x:c r="J1558" s="38" t="e">
        <x:f>HYPERLINK("https://pubmed.ncbi.nlm.nih.gov/"&amp;C1558&amp;"/","Open PubMed")</x:f>
        <x:v>HYPERLINK is not implemented. linkLocation=https://pubmed.ncbi.nlm.nih.gov/41989380/, friendlyName=Open PubMed</x:v>
      </x:c>
    </x:row>
    <x:row r="1559">
      <x:c r="A1559" s="26" t="str">
        <x:v>PUBMED-42469203</x:v>
      </x:c>
      <x:c r="B1559" s="26" t="n">
        <x:v>2026</x:v>
      </x:c>
      <x:c r="C1559" s="26" t="str">
        <x:v>42469203</x:v>
      </x:c>
      <x:c r="D1559" s="28" t="str">
        <x:v>Effects of methylphenidate on the human vascular endothelium.</x:v>
      </x:c>
      <x:c r="E1559" s="28" t="str">
        <x:v>Primary/contextual journal article</x:v>
      </x:c>
      <x:c r="F1559" s="28" t="str">
        <x:v>Development &amp; presentation; Social &amp; structural; Environmental &amp; lifestyle; Treatment &amp; support; Life outcomes &amp; lived experience</x:v>
      </x:c>
      <x:c r="G1559" s="28" t="str">
        <x:v>Childhood; Adolescence; Adulthood</x:v>
      </x:c>
      <x:c r="H1559" s="28" t="str">
        <x:v>Later specialized</x:v>
      </x:c>
      <x:c r="I1559" s="28" t="str">
        <x:v>Direct or strongly ADHD-related record retained for later screening; typically narrower treatment, biomarker, mechanistic, or single-comorbidity focus.</x:v>
      </x:c>
      <x:c r="J1559" s="38" t="e">
        <x:f>HYPERLINK("https://pubmed.ncbi.nlm.nih.gov/"&amp;C1559&amp;"/","Open PubMed")</x:f>
        <x:v>HYPERLINK is not implemented. linkLocation=https://pubmed.ncbi.nlm.nih.gov/42469203/, friendlyName=Open PubMed</x:v>
      </x:c>
    </x:row>
    <x:row r="1560">
      <x:c r="A1560" s="26" t="str">
        <x:v>PUBMED-42361358</x:v>
      </x:c>
      <x:c r="B1560" s="26" t="n">
        <x:v>2026</x:v>
      </x:c>
      <x:c r="C1560" s="26" t="str">
        <x:v>42361358</x:v>
      </x:c>
      <x:c r="D1560" s="28" t="str">
        <x:v>A Metacognitive Intervention for Children and Adolescents in Neuropediatric Care (Mio-Training): Protocol for a Randomized Controlled Trial.</x:v>
      </x:c>
      <x:c r="E1560" s="28" t="str">
        <x:v>Primary study - randomized controlled trial</x:v>
      </x:c>
      <x:c r="F1560" s="28" t="str">
        <x:v>Development &amp; presentation; Recognition &amp; diagnosis; Family &amp; education; Social &amp; structural; Environmental &amp; lifestyle; Treatment &amp; support; Life outcomes &amp; lived experience</x:v>
      </x:c>
      <x:c r="G1560" s="28" t="str">
        <x:v>Childhood; Adolescence</x:v>
      </x:c>
      <x:c r="H1560" s="28" t="str">
        <x:v>Later specialized</x:v>
      </x:c>
      <x:c r="I1560" s="28" t="str">
        <x:v>Direct or strongly ADHD-related record retained for later screening; typically narrower treatment, biomarker, mechanistic, or single-comorbidity focus.</x:v>
      </x:c>
      <x:c r="J1560" s="38" t="e">
        <x:f>HYPERLINK("https://pubmed.ncbi.nlm.nih.gov/"&amp;C1560&amp;"/","Open PubMed")</x:f>
        <x:v>HYPERLINK is not implemented. linkLocation=https://pubmed.ncbi.nlm.nih.gov/42361358/, friendlyName=Open PubMed</x:v>
      </x:c>
    </x:row>
    <x:row r="1561">
      <x:c r="A1561" s="26" t="str">
        <x:v>PUBMED-42321154</x:v>
      </x:c>
      <x:c r="B1561" s="26" t="n">
        <x:v>2026</x:v>
      </x:c>
      <x:c r="C1561" s="26" t="str">
        <x:v>42321154</x:v>
      </x:c>
      <x:c r="D1561" s="28" t="str">
        <x:v>A Telerehabilitation-Based Fine Motor Training Program for Children With Inattentive Attention-Deficit/Hyperactivity Disorder: Randomized Controlled Trial.</x:v>
      </x:c>
      <x:c r="E1561" s="28" t="str">
        <x:v>Primary study - randomized controlled trial</x:v>
      </x:c>
      <x:c r="F1561" s="28" t="str">
        <x:v>Development &amp; presentation; Recognition &amp; diagnosis; Family &amp; education; Social &amp; structural; Treatment &amp; support; Life outcomes &amp; lived experience; Historical &amp; contemporary context</x:v>
      </x:c>
      <x:c r="G1561" s="28" t="str">
        <x:v>Childhood</x:v>
      </x:c>
      <x:c r="H1561" s="28" t="str">
        <x:v>Later specialized</x:v>
      </x:c>
      <x:c r="I1561" s="28" t="str">
        <x:v>Direct or strongly ADHD-related record retained for later screening; typically narrower treatment, biomarker, mechanistic, or single-comorbidity focus.</x:v>
      </x:c>
      <x:c r="J1561" s="38" t="e">
        <x:f>HYPERLINK("https://pubmed.ncbi.nlm.nih.gov/"&amp;C1561&amp;"/","Open PubMed")</x:f>
        <x:v>HYPERLINK is not implemented. linkLocation=https://pubmed.ncbi.nlm.nih.gov/42321154/, friendlyName=Open PubMed</x:v>
      </x:c>
    </x:row>
    <x:row r="1562">
      <x:c r="A1562" s="26" t="str">
        <x:v>PUBMED-42671284</x:v>
      </x:c>
      <x:c r="B1562" s="26" t="n">
        <x:v>2026</x:v>
      </x:c>
      <x:c r="C1562" s="26" t="str">
        <x:v>42671284</x:v>
      </x:c>
      <x:c r="D1562" s="28" t="str">
        <x:v>Time Trends in Maternal Attention-Deficit/Hyperactivity Disorder and Medication Use in Pregnancy.</x:v>
      </x:c>
      <x:c r="E1562" s="28" t="str">
        <x:v>Primary study - cross-sectional</x:v>
      </x:c>
      <x:c r="F1562" s="28" t="str">
        <x:v>Development &amp; presentation; Recognition &amp; diagnosis; Social &amp; structural; Treatment &amp; support</x:v>
      </x:c>
      <x:c r="G1562" s="28" t="str">
        <x:v>Adulthood</x:v>
      </x:c>
      <x:c r="H1562" s="28" t="str">
        <x:v>Later specialized</x:v>
      </x:c>
      <x:c r="I1562" s="28" t="str">
        <x:v>Direct or strongly ADHD-related record retained for later screening; typically narrower treatment, biomarker, mechanistic, or single-comorbidity focus.</x:v>
      </x:c>
      <x:c r="J1562" s="38" t="e">
        <x:f>HYPERLINK("https://pubmed.ncbi.nlm.nih.gov/"&amp;C1562&amp;"/","Open PubMed")</x:f>
        <x:v>HYPERLINK is not implemented. linkLocation=https://pubmed.ncbi.nlm.nih.gov/42671284/, friendlyName=Open PubMed</x:v>
      </x:c>
    </x:row>
    <x:row r="1563">
      <x:c r="A1563" s="26" t="str">
        <x:v>PUBMED-42218040</x:v>
      </x:c>
      <x:c r="B1563" s="26" t="n">
        <x:v>2026</x:v>
      </x:c>
      <x:c r="C1563" s="26" t="str">
        <x:v>42218040</x:v>
      </x:c>
      <x:c r="D1563" s="28" t="str">
        <x:v>Real-World Analysis Comparing Persistence and Adherence of Delayed-Release/Extended-Release Methylphenidate with Stimulant Medications Among Patients with Attention-Deficit/Hyperactivity Disorder in the United States.</x:v>
      </x:c>
      <x:c r="E1563" s="28" t="str">
        <x:v>Primary study - cohort</x:v>
      </x:c>
      <x:c r="F1563" s="28" t="str">
        <x:v>Development &amp; presentation; Social &amp; structural; Treatment &amp; support; Life outcomes &amp; lived experience</x:v>
      </x:c>
      <x:c r="G1563" s="28" t="str">
        <x:v>Childhood; Adolescence; Adulthood</x:v>
      </x:c>
      <x:c r="H1563" s="28" t="str">
        <x:v>Later specialized</x:v>
      </x:c>
      <x:c r="I1563" s="28" t="str">
        <x:v>Direct or strongly ADHD-related record retained for later screening; typically narrower treatment, biomarker, mechanistic, or single-comorbidity focus.</x:v>
      </x:c>
      <x:c r="J1563" s="38" t="e">
        <x:f>HYPERLINK("https://pubmed.ncbi.nlm.nih.gov/"&amp;C1563&amp;"/","Open PubMed")</x:f>
        <x:v>HYPERLINK is not implemented. linkLocation=https://pubmed.ncbi.nlm.nih.gov/42218040/, friendlyName=Open PubMed</x:v>
      </x:c>
    </x:row>
    <x:row r="1564">
      <x:c r="A1564" s="26" t="str">
        <x:v>PUBMED-42149817</x:v>
      </x:c>
      <x:c r="B1564" s="26" t="n">
        <x:v>2026</x:v>
      </x:c>
      <x:c r="C1564" s="26" t="str">
        <x:v>42149817</x:v>
      </x:c>
      <x:c r="D1564" s="28" t="str">
        <x:v>Effects of music-based occupational therapy activities on attention executive functions in children with attention deficit and hyperactivity disorder.</x:v>
      </x:c>
      <x:c r="E1564" s="28" t="str">
        <x:v>Primary study - randomized controlled trial</x:v>
      </x:c>
      <x:c r="F1564" s="28" t="str">
        <x:v>Development &amp; presentation; Recognition &amp; diagnosis; Family &amp; education; Social &amp; structural; Environmental &amp; lifestyle; Treatment &amp; support; Life outcomes &amp; lived experience</x:v>
      </x:c>
      <x:c r="G1564" s="28" t="str">
        <x:v>Childhood</x:v>
      </x:c>
      <x:c r="H1564" s="28" t="str">
        <x:v>Later specialized</x:v>
      </x:c>
      <x:c r="I1564" s="28" t="str">
        <x:v>Direct or strongly ADHD-related record retained for later screening; typically narrower treatment, biomarker, mechanistic, or single-comorbidity focus.</x:v>
      </x:c>
      <x:c r="J1564" s="38" t="e">
        <x:f>HYPERLINK("https://pubmed.ncbi.nlm.nih.gov/"&amp;C1564&amp;"/","Open PubMed")</x:f>
        <x:v>HYPERLINK is not implemented. linkLocation=https://pubmed.ncbi.nlm.nih.gov/42149817/, friendlyName=Open PubMed</x:v>
      </x:c>
    </x:row>
    <x:row r="1565">
      <x:c r="A1565" s="26" t="str">
        <x:v>PUBMED-42298576</x:v>
      </x:c>
      <x:c r="B1565" s="26" t="n">
        <x:v>2026</x:v>
      </x:c>
      <x:c r="C1565" s="26" t="str">
        <x:v>42298576</x:v>
      </x:c>
      <x:c r="D1565" s="28" t="str">
        <x:v>Shared genetic architecture between ADHD and intelligence varies across ADHD subtypes.</x:v>
      </x:c>
      <x:c r="E1565" s="28" t="str">
        <x:v>Primary/contextual journal article</x:v>
      </x:c>
      <x:c r="F1565" s="28" t="str">
        <x:v>Development &amp; presentation; Recognition &amp; diagnosis; Social &amp; structural; Treatment &amp; support; Life outcomes &amp; lived experience</x:v>
      </x:c>
      <x:c r="G1565" s="28" t="str">
        <x:v>Childhood; Adolescence</x:v>
      </x:c>
      <x:c r="H1565" s="28" t="str">
        <x:v>Later specialized</x:v>
      </x:c>
      <x:c r="I1565" s="28" t="str">
        <x:v>Direct or strongly ADHD-related record retained for later screening; typically narrower treatment, biomarker, mechanistic, or single-comorbidity focus.</x:v>
      </x:c>
      <x:c r="J1565" s="38" t="e">
        <x:f>HYPERLINK("https://pubmed.ncbi.nlm.nih.gov/"&amp;C1565&amp;"/","Open PubMed")</x:f>
        <x:v>HYPERLINK is not implemented. linkLocation=https://pubmed.ncbi.nlm.nih.gov/42298576/, friendlyName=Open PubMed</x:v>
      </x:c>
    </x:row>
    <x:row r="1566">
      <x:c r="A1566" s="26" t="str">
        <x:v>PUBMED-42013385</x:v>
      </x:c>
      <x:c r="B1566" s="26" t="n">
        <x:v>2026</x:v>
      </x:c>
      <x:c r="C1566" s="26" t="str">
        <x:v>42013385</x:v>
      </x:c>
      <x:c r="D1566" s="28" t="str">
        <x:v>Update on The Evidence-Based Assessment of Attention-Deficit/Hyperactivity Disorder in Youth.</x:v>
      </x:c>
      <x:c r="E1566" s="28" t="str">
        <x:v>Evidence synthesis - review</x:v>
      </x:c>
      <x:c r="F1566" s="28" t="str">
        <x:v>Development &amp; presentation; Recognition &amp; diagnosis; Social &amp; structural; Treatment &amp; support</x:v>
      </x:c>
      <x:c r="G1566" s="28" t="str">
        <x:v>Childhood; Adolescence</x:v>
      </x:c>
      <x:c r="H1566" s="28" t="str">
        <x:v>Later specialized</x:v>
      </x:c>
      <x:c r="I1566" s="28" t="str">
        <x:v>Direct or strongly ADHD-related record retained for later screening; typically narrower treatment, biomarker, mechanistic, or single-comorbidity focus.</x:v>
      </x:c>
      <x:c r="J1566" s="38" t="e">
        <x:f>HYPERLINK("https://pubmed.ncbi.nlm.nih.gov/"&amp;C1566&amp;"/","Open PubMed")</x:f>
        <x:v>HYPERLINK is not implemented. linkLocation=https://pubmed.ncbi.nlm.nih.gov/42013385/, friendlyName=Open PubMed</x:v>
      </x:c>
    </x:row>
    <x:row r="1567">
      <x:c r="A1567" s="26" t="str">
        <x:v>PUBMED-41914113</x:v>
      </x:c>
      <x:c r="B1567" s="26" t="n">
        <x:v>2026</x:v>
      </x:c>
      <x:c r="C1567" s="26" t="str">
        <x:v>41914113</x:v>
      </x:c>
      <x:c r="D1567" s="28" t="str">
        <x:v>The Effect of Combined Iron and Methylphenidate Use in Iron Deficient Attention deficit Hyperactivity Disorder (ADHD) Children of Bangladesh.</x:v>
      </x:c>
      <x:c r="E1567" s="28" t="str">
        <x:v>Primary study - randomized controlled trial</x:v>
      </x:c>
      <x:c r="F1567" s="28" t="str">
        <x:v>Development &amp; presentation; Recognition &amp; diagnosis; Social &amp; structural; Treatment &amp; support; Life outcomes &amp; lived experience</x:v>
      </x:c>
      <x:c r="G1567" s="28" t="str">
        <x:v>Childhood</x:v>
      </x:c>
      <x:c r="H1567" s="28" t="str">
        <x:v>Later specialized</x:v>
      </x:c>
      <x:c r="I1567" s="28" t="str">
        <x:v>Direct or strongly ADHD-related record retained for later screening; typically narrower treatment, biomarker, mechanistic, or single-comorbidity focus.</x:v>
      </x:c>
      <x:c r="J1567" s="38" t="e">
        <x:f>HYPERLINK("https://pubmed.ncbi.nlm.nih.gov/"&amp;C1567&amp;"/","Open PubMed")</x:f>
        <x:v>HYPERLINK is not implemented. linkLocation=https://pubmed.ncbi.nlm.nih.gov/41914113/, friendlyName=Open PubMed</x:v>
      </x:c>
    </x:row>
    <x:row r="1568">
      <x:c r="A1568" s="26" t="str">
        <x:v>PUBMED-42197085</x:v>
      </x:c>
      <x:c r="B1568" s="26" t="n">
        <x:v>2026</x:v>
      </x:c>
      <x:c r="C1568" s="26" t="str">
        <x:v>42197085</x:v>
      </x:c>
      <x:c r="D1568" s="28" t="str">
        <x:v>Dietary Carbohydrates and ADHD Symptoms: A Systematic Review.</x:v>
      </x:c>
      <x:c r="E1568" s="28" t="str">
        <x:v>Evidence synthesis - systematic review</x:v>
      </x:c>
      <x:c r="F1568" s="28" t="str">
        <x:v>Development &amp; presentation; Recognition &amp; diagnosis; Social &amp; structural; Environmental &amp; lifestyle; Treatment &amp; support; Life outcomes &amp; lived experience</x:v>
      </x:c>
      <x:c r="G1568" s="28" t="str">
        <x:v>Childhood; Adolescence; Adulthood</x:v>
      </x:c>
      <x:c r="H1568" s="28" t="str">
        <x:v>Batch 1 core</x:v>
      </x:c>
      <x:c r="I1568" s="28" t="str">
        <x:v>Direct ADHD evidence synthesis/guideline with broad multi-topic relevance.</x:v>
      </x:c>
      <x:c r="J1568" s="38" t="e">
        <x:f>HYPERLINK("https://pubmed.ncbi.nlm.nih.gov/"&amp;C1568&amp;"/","Open PubMed")</x:f>
        <x:v>HYPERLINK is not implemented. linkLocation=https://pubmed.ncbi.nlm.nih.gov/42197085/, friendlyName=Open PubMed</x:v>
      </x:c>
    </x:row>
    <x:row r="1569">
      <x:c r="A1569" s="26" t="str">
        <x:v>PUBMED-42601825</x:v>
      </x:c>
      <x:c r="B1569" s="26" t="n">
        <x:v>2026</x:v>
      </x:c>
      <x:c r="C1569" s="26" t="str">
        <x:v>42601825</x:v>
      </x:c>
      <x:c r="D1569" s="28" t="str">
        <x:v>Management of Attention-Deficit/Hyperactivity Disorder (ADHD): The Role of Traditional Chinese Medicine.</x:v>
      </x:c>
      <x:c r="E1569" s="28" t="str">
        <x:v>Evidence synthesis - review</x:v>
      </x:c>
      <x:c r="F1569" s="28" t="str">
        <x:v>Development &amp; presentation; Family &amp; education; Social &amp; structural; Treatment &amp; support; Life outcomes &amp; lived experience</x:v>
      </x:c>
      <x:c r="G1569" s="28" t="str">
        <x:v>Childhood</x:v>
      </x:c>
      <x:c r="H1569" s="28" t="str">
        <x:v>Later specialized</x:v>
      </x:c>
      <x:c r="I1569" s="28" t="str">
        <x:v>Direct or strongly ADHD-related record retained for later screening; typically narrower treatment, biomarker, mechanistic, or single-comorbidity focus.</x:v>
      </x:c>
      <x:c r="J1569" s="38" t="e">
        <x:f>HYPERLINK("https://pubmed.ncbi.nlm.nih.gov/"&amp;C1569&amp;"/","Open PubMed")</x:f>
        <x:v>HYPERLINK is not implemented. linkLocation=https://pubmed.ncbi.nlm.nih.gov/42601825/, friendlyName=Open PubMed</x:v>
      </x:c>
    </x:row>
    <x:row r="1570">
      <x:c r="A1570" s="26" t="str">
        <x:v>PUBMED-42537007</x:v>
      </x:c>
      <x:c r="B1570" s="26" t="n">
        <x:v>2026</x:v>
      </x:c>
      <x:c r="C1570" s="26" t="str">
        <x:v>42537007</x:v>
      </x:c>
      <x:c r="D1570" s="28" t="str">
        <x:v>Attention deficit/hyperactivity disorder diagnosis in adulthood: Prevalence and predictive utility of neuropsychological scales.</x:v>
      </x:c>
      <x:c r="E1570" s="28" t="str">
        <x:v>Primary study - cross-sectional</x:v>
      </x:c>
      <x:c r="F1570" s="28" t="str">
        <x:v>Development &amp; presentation; Recognition &amp; diagnosis; Family &amp; education; Social &amp; structural</x:v>
      </x:c>
      <x:c r="G1570" s="28" t="str">
        <x:v>Adulthood</x:v>
      </x:c>
      <x:c r="H1570" s="28" t="str">
        <x:v>Batch 1 core</x:v>
      </x:c>
      <x:c r="I1570" s="28" t="str">
        <x:v>Direct ADHD primary study on diagnosis, family/education, structural conditions, lived experience/outcomes, or environment/lifestyle.</x:v>
      </x:c>
      <x:c r="J1570" s="38" t="e">
        <x:f>HYPERLINK("https://pubmed.ncbi.nlm.nih.gov/"&amp;C1570&amp;"/","Open PubMed")</x:f>
        <x:v>HYPERLINK is not implemented. linkLocation=https://pubmed.ncbi.nlm.nih.gov/42537007/, friendlyName=Open PubMed</x:v>
      </x:c>
    </x:row>
    <x:row r="1571">
      <x:c r="A1571" s="26" t="str">
        <x:v>PUBMED-42690084</x:v>
      </x:c>
      <x:c r="B1571" s="26" t="n">
        <x:v>2026</x:v>
      </x:c>
      <x:c r="C1571" s="26" t="str">
        <x:v>42690084</x:v>
      </x:c>
      <x:c r="D1571" s="28" t="str">
        <x:v>Pharmacotherapies for Co-Occurring Stimulant Use Disorder and Attention-Deficit/Hyperactivity Disorder: A Network Meta-Analysis.</x:v>
      </x:c>
      <x:c r="E1571" s="28" t="str">
        <x:v>Evidence synthesis - meta-analysis</x:v>
      </x:c>
      <x:c r="F1571" s="28" t="str">
        <x:v>Development &amp; presentation; Social &amp; structural; Treatment &amp; support; Life outcomes &amp; lived experience</x:v>
      </x:c>
      <x:c r="G1571" s="28" t="str">
        <x:v>Adulthood</x:v>
      </x:c>
      <x:c r="H1571" s="28" t="str">
        <x:v>Batch 1 core</x:v>
      </x:c>
      <x:c r="I1571" s="28" t="str">
        <x:v>Direct ADHD evidence synthesis/guideline with broad multi-topic relevance.</x:v>
      </x:c>
      <x:c r="J1571" s="38" t="e">
        <x:f>HYPERLINK("https://pubmed.ncbi.nlm.nih.gov/"&amp;C1571&amp;"/","Open PubMed")</x:f>
        <x:v>HYPERLINK is not implemented. linkLocation=https://pubmed.ncbi.nlm.nih.gov/42690084/, friendlyName=Open PubMed</x:v>
      </x:c>
    </x:row>
    <x:row r="1572">
      <x:c r="A1572" s="26" t="str">
        <x:v>PUBMED-42676931</x:v>
      </x:c>
      <x:c r="B1572" s="26" t="n">
        <x:v>2026</x:v>
      </x:c>
      <x:c r="C1572" s="26" t="str">
        <x:v>42676931</x:v>
      </x:c>
      <x:c r="D1572" s="28" t="str">
        <x:v>Thyroid function in children with attention-deficit/hyperactivity disorder and specific learning disorder: a retrospective comparative study.</x:v>
      </x:c>
      <x:c r="E1572" s="28" t="str">
        <x:v>Primary study - cross-sectional</x:v>
      </x:c>
      <x:c r="F1572" s="28" t="str">
        <x:v>Development &amp; presentation; Recognition &amp; diagnosis; Social &amp; structural; Treatment &amp; support</x:v>
      </x:c>
      <x:c r="G1572" s="28" t="str">
        <x:v>Childhood; Adolescence</x:v>
      </x:c>
      <x:c r="H1572" s="28" t="str">
        <x:v>Later specialized</x:v>
      </x:c>
      <x:c r="I1572" s="28" t="str">
        <x:v>Direct or strongly ADHD-related record retained for later screening; typically narrower treatment, biomarker, mechanistic, or single-comorbidity focus.</x:v>
      </x:c>
      <x:c r="J1572" s="38" t="e">
        <x:f>HYPERLINK("https://pubmed.ncbi.nlm.nih.gov/"&amp;C1572&amp;"/","Open PubMed")</x:f>
        <x:v>HYPERLINK is not implemented. linkLocation=https://pubmed.ncbi.nlm.nih.gov/42676931/, friendlyName=Open PubMed</x:v>
      </x:c>
    </x:row>
    <x:row r="1573">
      <x:c r="A1573" s="26" t="str">
        <x:v>PUBMED-42755248</x:v>
      </x:c>
      <x:c r="B1573" s="26" t="n">
        <x:v>2026</x:v>
      </x:c>
      <x:c r="C1573" s="26" t="str">
        <x:v>42755248</x:v>
      </x:c>
      <x:c r="D1573" s="28" t="str">
        <x:v>Phenotypic and genetic relations between attention-deficit/hyperactivity disorder and substance use disorders.</x:v>
      </x:c>
      <x:c r="E1573" s="28" t="str">
        <x:v>Primary study - cohort</x:v>
      </x:c>
      <x:c r="F1573" s="28" t="str">
        <x:v>Development &amp; presentation; Recognition &amp; diagnosis; Social &amp; structural; Environmental &amp; lifestyle; Life outcomes &amp; lived experience</x:v>
      </x:c>
      <x:c r="G1573" s="28" t="str">
        <x:v>Adolescence; Adulthood</x:v>
      </x:c>
      <x:c r="H1573" s="28" t="str">
        <x:v>Later specialized</x:v>
      </x:c>
      <x:c r="I1573" s="28" t="str">
        <x:v>Direct or strongly ADHD-related record retained for later screening; typically narrower treatment, biomarker, mechanistic, or single-comorbidity focus.</x:v>
      </x:c>
      <x:c r="J1573" s="38" t="e">
        <x:f>HYPERLINK("https://pubmed.ncbi.nlm.nih.gov/"&amp;C1573&amp;"/","Open PubMed")</x:f>
        <x:v>HYPERLINK is not implemented. linkLocation=https://pubmed.ncbi.nlm.nih.gov/42755248/, friendlyName=Open PubMed</x:v>
      </x:c>
    </x:row>
    <x:row r="1574">
      <x:c r="A1574" s="26" t="str">
        <x:v>PUBMED-42218111</x:v>
      </x:c>
      <x:c r="B1574" s="26" t="n">
        <x:v>2026</x:v>
      </x:c>
      <x:c r="C1574" s="26" t="str">
        <x:v>42218111</x:v>
      </x:c>
      <x:c r="D1574" s="28" t="str">
        <x:v>The impact of pregestational stress on neurodevelopment: Implications for autism spectrum disorder and attention-deficit/hyperactivity disorder.</x:v>
      </x:c>
      <x:c r="E1574" s="28" t="str">
        <x:v>Evidence synthesis - review</x:v>
      </x:c>
      <x:c r="F1574" s="28" t="str">
        <x:v>Development &amp; presentation; Family &amp; education; Social &amp; structural; Environmental &amp; lifestyle</x:v>
      </x:c>
      <x:c r="G1574" s="28" t="str">
        <x:v>Not specified</x:v>
      </x:c>
      <x:c r="H1574" s="28" t="str">
        <x:v>Later specialized</x:v>
      </x:c>
      <x:c r="I1574" s="28" t="str">
        <x:v>Direct or strongly ADHD-related record retained for later screening; typically narrower treatment, biomarker, mechanistic, or single-comorbidity focus.</x:v>
      </x:c>
      <x:c r="J1574" s="38" t="e">
        <x:f>HYPERLINK("https://pubmed.ncbi.nlm.nih.gov/"&amp;C1574&amp;"/","Open PubMed")</x:f>
        <x:v>HYPERLINK is not implemented. linkLocation=https://pubmed.ncbi.nlm.nih.gov/42218111/, friendlyName=Open PubMed</x:v>
      </x:c>
    </x:row>
    <x:row r="1575">
      <x:c r="A1575" s="26" t="str">
        <x:v>PUBMED-42206583</x:v>
      </x:c>
      <x:c r="B1575" s="26" t="n">
        <x:v>2026</x:v>
      </x:c>
      <x:c r="C1575" s="26" t="str">
        <x:v>42206583</x:v>
      </x:c>
      <x:c r="D1575" s="28" t="str">
        <x:v>Narcissistic Traits, Self-Esteem and Aggression Symptoms in Children and Adolescents With Attention-Deficit/Hyperactivity Disorder.</x:v>
      </x:c>
      <x:c r="E1575" s="28" t="str">
        <x:v>Primary/contextual journal article</x:v>
      </x:c>
      <x:c r="F1575" s="28" t="str">
        <x:v>Development &amp; presentation; Recognition &amp; diagnosis; Family &amp; education; Social &amp; structural; Treatment &amp; support</x:v>
      </x:c>
      <x:c r="G1575" s="28" t="str">
        <x:v>Childhood; Adolescence</x:v>
      </x:c>
      <x:c r="H1575" s="28" t="str">
        <x:v>Later specialized</x:v>
      </x:c>
      <x:c r="I1575" s="28" t="str">
        <x:v>Direct or strongly ADHD-related record retained for later screening; typically narrower treatment, biomarker, mechanistic, or single-comorbidity focus.</x:v>
      </x:c>
      <x:c r="J1575" s="38" t="e">
        <x:f>HYPERLINK("https://pubmed.ncbi.nlm.nih.gov/"&amp;C1575&amp;"/","Open PubMed")</x:f>
        <x:v>HYPERLINK is not implemented. linkLocation=https://pubmed.ncbi.nlm.nih.gov/42206583/, friendlyName=Open PubMed</x:v>
      </x:c>
    </x:row>
    <x:row r="1576">
      <x:c r="A1576" s="26" t="str">
        <x:v>PUBMED-42026112</x:v>
      </x:c>
      <x:c r="B1576" s="26" t="n">
        <x:v>2026</x:v>
      </x:c>
      <x:c r="C1576" s="26" t="str">
        <x:v>42026112</x:v>
      </x:c>
      <x:c r="D1576" s="28" t="str">
        <x:v>Attention-deficit/hyperactivity disorder and autism spectrum disorder in chronic pain: a study in Japanese pain centers.</x:v>
      </x:c>
      <x:c r="E1576" s="28" t="str">
        <x:v>Primary study - cross-sectional</x:v>
      </x:c>
      <x:c r="F1576" s="28" t="str">
        <x:v>Development &amp; presentation; Recognition &amp; diagnosis; Social &amp; structural</x:v>
      </x:c>
      <x:c r="G1576" s="28" t="str">
        <x:v>Adulthood</x:v>
      </x:c>
      <x:c r="H1576" s="28" t="str">
        <x:v>Later specialized</x:v>
      </x:c>
      <x:c r="I1576" s="28" t="str">
        <x:v>Direct or strongly ADHD-related record retained for later screening; typically narrower treatment, biomarker, mechanistic, or single-comorbidity focus.</x:v>
      </x:c>
      <x:c r="J1576" s="38" t="e">
        <x:f>HYPERLINK("https://pubmed.ncbi.nlm.nih.gov/"&amp;C1576&amp;"/","Open PubMed")</x:f>
        <x:v>HYPERLINK is not implemented. linkLocation=https://pubmed.ncbi.nlm.nih.gov/42026112/, friendlyName=Open PubMed</x:v>
      </x:c>
    </x:row>
    <x:row r="1577">
      <x:c r="A1577" s="26" t="str">
        <x:v>PUBMED-42431851</x:v>
      </x:c>
      <x:c r="B1577" s="26" t="n">
        <x:v>2026</x:v>
      </x:c>
      <x:c r="C1577" s="26" t="str">
        <x:v>42431851</x:v>
      </x:c>
      <x:c r="D1577" s="28" t="str">
        <x:v>Investigation of polygenic risk scores and subphenotypes in social anxiety disorder.</x:v>
      </x:c>
      <x:c r="E1577" s="28" t="str">
        <x:v>Primary study - cohort</x:v>
      </x:c>
      <x:c r="F1577" s="28" t="str">
        <x:v>Development &amp; presentation; Recognition &amp; diagnosis; Social &amp; structural; Environmental &amp; lifestyle; Treatment &amp; support</x:v>
      </x:c>
      <x:c r="G1577" s="28" t="str">
        <x:v>Adulthood</x:v>
      </x:c>
      <x:c r="H1577" s="28" t="str">
        <x:v>Exclude/incidental</x:v>
      </x:c>
      <x:c r="I1577" s="28" t="str">
        <x:v>ADHD appears peripheral or insufficiently aligned with the requested corpus scope based on accessible metadata/abstract.</x:v>
      </x:c>
      <x:c r="J1577" s="38" t="e">
        <x:f>HYPERLINK("https://pubmed.ncbi.nlm.nih.gov/"&amp;C1577&amp;"/","Open PubMed")</x:f>
        <x:v>HYPERLINK is not implemented. linkLocation=https://pubmed.ncbi.nlm.nih.gov/42431851/, friendlyName=Open PubMed</x:v>
      </x:c>
    </x:row>
    <x:row r="1578">
      <x:c r="A1578" s="26" t="str">
        <x:v>PUBMED-42284935</x:v>
      </x:c>
      <x:c r="B1578" s="26" t="n">
        <x:v>2026</x:v>
      </x:c>
      <x:c r="C1578" s="26" t="str">
        <x:v>42284935</x:v>
      </x:c>
      <x:c r="D1578" s="28" t="str">
        <x:v>Physical exercise interventions for health outcomes in children and adolescents with attention deficit hyperactivity disorder: An umbrella review with meta-analysis.</x:v>
      </x:c>
      <x:c r="E1578" s="28" t="str">
        <x:v>Evidence synthesis - meta-analysis</x:v>
      </x:c>
      <x:c r="F1578" s="28" t="str">
        <x:v>Development &amp; presentation; Recognition &amp; diagnosis; Family &amp; education; Social &amp; structural; Environmental &amp; lifestyle; Treatment &amp; support; Life outcomes &amp; lived experience</x:v>
      </x:c>
      <x:c r="G1578" s="28" t="str">
        <x:v>Childhood; Adolescence</x:v>
      </x:c>
      <x:c r="H1578" s="28" t="str">
        <x:v>Batch 1 core</x:v>
      </x:c>
      <x:c r="I1578" s="28" t="str">
        <x:v>Direct ADHD evidence synthesis/guideline with broad multi-topic relevance.</x:v>
      </x:c>
      <x:c r="J1578" s="38" t="e">
        <x:f>HYPERLINK("https://pubmed.ncbi.nlm.nih.gov/"&amp;C1578&amp;"/","Open PubMed")</x:f>
        <x:v>HYPERLINK is not implemented. linkLocation=https://pubmed.ncbi.nlm.nih.gov/42284935/, friendlyName=Open PubMed</x:v>
      </x:c>
    </x:row>
    <x:row r="1579">
      <x:c r="A1579" s="26" t="str">
        <x:v>PUBMED-42612166</x:v>
      </x:c>
      <x:c r="B1579" s="26" t="n">
        <x:v>2026</x:v>
      </x:c>
      <x:c r="C1579" s="26" t="str">
        <x:v>42612166</x:v>
      </x:c>
      <x:c r="D1579" s="28" t="str">
        <x:v>Differentiating Fetal Alcohol Spectrum Disorders From Attention-Deficit Hyperactivity Disorder and Reviewing Diagnostic Guidelines.</x:v>
      </x:c>
      <x:c r="E1579" s="28" t="str">
        <x:v>Evidence synthesis - review</x:v>
      </x:c>
      <x:c r="F1579" s="28" t="str">
        <x:v>Development &amp; presentation; Recognition &amp; diagnosis; Social &amp; structural; Environmental &amp; lifestyle; Treatment &amp; support; Life outcomes &amp; lived experience</x:v>
      </x:c>
      <x:c r="G1579" s="28" t="str">
        <x:v>Not specified</x:v>
      </x:c>
      <x:c r="H1579" s="28" t="str">
        <x:v>Batch 1 core</x:v>
      </x:c>
      <x:c r="I1579" s="28" t="str">
        <x:v>Direct ADHD evidence synthesis/guideline with broad multi-topic relevance.</x:v>
      </x:c>
      <x:c r="J1579" s="38" t="e">
        <x:f>HYPERLINK("https://pubmed.ncbi.nlm.nih.gov/"&amp;C1579&amp;"/","Open PubMed")</x:f>
        <x:v>HYPERLINK is not implemented. linkLocation=https://pubmed.ncbi.nlm.nih.gov/42612166/, friendlyName=Open PubMed</x:v>
      </x:c>
    </x:row>
    <x:row r="1580">
      <x:c r="A1580" s="26" t="str">
        <x:v>PUBMED-42472451</x:v>
      </x:c>
      <x:c r="B1580" s="26" t="n">
        <x:v>2026</x:v>
      </x:c>
      <x:c r="C1580" s="26" t="str">
        <x:v>42472451</x:v>
      </x:c>
      <x:c r="D1580" s="28" t="str">
        <x:v>A systematic review of neuroimaging studies of adults aged 35 and older with clinical, symptomatic and genetic risk for attention-deficit/hyperactivity disorder.</x:v>
      </x:c>
      <x:c r="E1580" s="28" t="str">
        <x:v>Evidence synthesis - systematic review</x:v>
      </x:c>
      <x:c r="F1580" s="28" t="str">
        <x:v>Development &amp; presentation; Recognition &amp; diagnosis; Social &amp; structural; Treatment &amp; support; Life outcomes &amp; lived experience</x:v>
      </x:c>
      <x:c r="G1580" s="28" t="str">
        <x:v>Adulthood</x:v>
      </x:c>
      <x:c r="H1580" s="28" t="str">
        <x:v>Later specialized</x:v>
      </x:c>
      <x:c r="I1580" s="28" t="str">
        <x:v>Direct or strongly ADHD-related record retained for later screening; typically narrower treatment, biomarker, mechanistic, or single-comorbidity focus.</x:v>
      </x:c>
      <x:c r="J1580" s="38" t="e">
        <x:f>HYPERLINK("https://pubmed.ncbi.nlm.nih.gov/"&amp;C1580&amp;"/","Open PubMed")</x:f>
        <x:v>HYPERLINK is not implemented. linkLocation=https://pubmed.ncbi.nlm.nih.gov/42472451/, friendlyName=Open PubMed</x:v>
      </x:c>
    </x:row>
    <x:row r="1581">
      <x:c r="A1581" s="26" t="str">
        <x:v>PUBMED-42396898</x:v>
      </x:c>
      <x:c r="B1581" s="26" t="n">
        <x:v>2026</x:v>
      </x:c>
      <x:c r="C1581" s="26" t="str">
        <x:v>42396898</x:v>
      </x:c>
      <x:c r="D1581" s="28" t="str">
        <x:v>Intervention effects of long-term exercise on executive function in children and adolescents with attention-deficit hyperactivity disorder: a three-level meta-analysis of randomised controlled trials.</x:v>
      </x:c>
      <x:c r="E1581" s="28" t="str">
        <x:v>Evidence synthesis - meta-analysis</x:v>
      </x:c>
      <x:c r="F1581" s="28" t="str">
        <x:v>Development &amp; presentation; Social &amp; structural; Environmental &amp; lifestyle; Treatment &amp; support</x:v>
      </x:c>
      <x:c r="G1581" s="28" t="str">
        <x:v>Childhood; Adolescence</x:v>
      </x:c>
      <x:c r="H1581" s="28" t="str">
        <x:v>Batch 1 core</x:v>
      </x:c>
      <x:c r="I1581" s="28" t="str">
        <x:v>Direct ADHD evidence synthesis/guideline with broad multi-topic relevance.</x:v>
      </x:c>
      <x:c r="J1581" s="38" t="e">
        <x:f>HYPERLINK("https://pubmed.ncbi.nlm.nih.gov/"&amp;C1581&amp;"/","Open PubMed")</x:f>
        <x:v>HYPERLINK is not implemented. linkLocation=https://pubmed.ncbi.nlm.nih.gov/42396898/, friendlyName=Open PubMed</x:v>
      </x:c>
    </x:row>
    <x:row r="1582">
      <x:c r="A1582" s="26" t="str">
        <x:v>PUBMED-42617193</x:v>
      </x:c>
      <x:c r="B1582" s="26" t="n">
        <x:v>2026</x:v>
      </x:c>
      <x:c r="C1582" s="26" t="str">
        <x:v>42617193</x:v>
      </x:c>
      <x:c r="D1582" s="28" t="str">
        <x:v>Age-Related Cognitive Patterns in Children With Attention-Deficit/Hyperactivity Disorder and Typically Developing Children: A Comparative Study.</x:v>
      </x:c>
      <x:c r="E1582" s="28" t="str">
        <x:v>Primary/contextual journal article</x:v>
      </x:c>
      <x:c r="F1582" s="28" t="str">
        <x:v>Development &amp; presentation; Recognition &amp; diagnosis; Family &amp; education; Social &amp; structural; Treatment &amp; support</x:v>
      </x:c>
      <x:c r="G1582" s="28" t="str">
        <x:v>Childhood</x:v>
      </x:c>
      <x:c r="H1582" s="28" t="str">
        <x:v>Later specialized</x:v>
      </x:c>
      <x:c r="I1582" s="28" t="str">
        <x:v>Direct or strongly ADHD-related record retained for later screening; typically narrower treatment, biomarker, mechanistic, or single-comorbidity focus.</x:v>
      </x:c>
      <x:c r="J1582" s="38" t="e">
        <x:f>HYPERLINK("https://pubmed.ncbi.nlm.nih.gov/"&amp;C1582&amp;"/","Open PubMed")</x:f>
        <x:v>HYPERLINK is not implemented. linkLocation=https://pubmed.ncbi.nlm.nih.gov/42617193/, friendlyName=Open PubMed</x:v>
      </x:c>
    </x:row>
    <x:row r="1583">
      <x:c r="A1583" s="26" t="str">
        <x:v>PUBMED-42329474</x:v>
      </x:c>
      <x:c r="B1583" s="26" t="n">
        <x:v>2026</x:v>
      </x:c>
      <x:c r="C1583" s="26" t="str">
        <x:v>42329474</x:v>
      </x:c>
      <x:c r="D1583" s="28" t="str">
        <x:v>Combined family-based association and linkage analyses in families affected by attention-deficit hyperactivity disorder.</x:v>
      </x:c>
      <x:c r="E1583" s="28" t="str">
        <x:v>Evidence synthesis - meta-analysis</x:v>
      </x:c>
      <x:c r="F1583" s="28" t="str">
        <x:v>Development &amp; presentation; Family &amp; education; Social &amp; structural</x:v>
      </x:c>
      <x:c r="G1583" s="28" t="str">
        <x:v>Childhood</x:v>
      </x:c>
      <x:c r="H1583" s="28" t="str">
        <x:v>Later specialized</x:v>
      </x:c>
      <x:c r="I1583" s="28" t="str">
        <x:v>Direct or strongly ADHD-related record retained for later screening; typically narrower treatment, biomarker, mechanistic, or single-comorbidity focus.</x:v>
      </x:c>
      <x:c r="J1583" s="38" t="e">
        <x:f>HYPERLINK("https://pubmed.ncbi.nlm.nih.gov/"&amp;C1583&amp;"/","Open PubMed")</x:f>
        <x:v>HYPERLINK is not implemented. linkLocation=https://pubmed.ncbi.nlm.nih.gov/42329474/, friendlyName=Open PubMed</x:v>
      </x:c>
    </x:row>
    <x:row r="1584">
      <x:c r="A1584" s="26" t="str">
        <x:v>PUBMED-41994959</x:v>
      </x:c>
      <x:c r="B1584" s="26" t="n">
        <x:v>2026</x:v>
      </x:c>
      <x:c r="C1584" s="26" t="str">
        <x:v>41994959</x:v>
      </x:c>
      <x:c r="D1584" s="28" t="str">
        <x:v>Does Attention-Deficit/Hyperactivity Disorder Predominant Presentation Matter? Examining Functional and Symptom Changes After Cognitive Behavioural Therapy.</x:v>
      </x:c>
      <x:c r="E1584" s="28" t="str">
        <x:v>Primary study - randomized controlled trial</x:v>
      </x:c>
      <x:c r="F1584" s="28" t="str">
        <x:v>Development &amp; presentation; Recognition &amp; diagnosis; Social &amp; structural; Treatment &amp; support; Life outcomes &amp; lived experience</x:v>
      </x:c>
      <x:c r="G1584" s="28" t="str">
        <x:v>Adulthood</x:v>
      </x:c>
      <x:c r="H1584" s="28" t="str">
        <x:v>Later specialized</x:v>
      </x:c>
      <x:c r="I1584" s="28" t="str">
        <x:v>Direct or strongly ADHD-related record retained for later screening; typically narrower treatment, biomarker, mechanistic, or single-comorbidity focus.</x:v>
      </x:c>
      <x:c r="J1584" s="38" t="e">
        <x:f>HYPERLINK("https://pubmed.ncbi.nlm.nih.gov/"&amp;C1584&amp;"/","Open PubMed")</x:f>
        <x:v>HYPERLINK is not implemented. linkLocation=https://pubmed.ncbi.nlm.nih.gov/41994959/, friendlyName=Open PubMed</x:v>
      </x:c>
    </x:row>
    <x:row r="1585">
      <x:c r="A1585" s="26" t="str">
        <x:v>PUBMED-42390514</x:v>
      </x:c>
      <x:c r="B1585" s="26" t="n">
        <x:v>2026</x:v>
      </x:c>
      <x:c r="C1585" s="26" t="str">
        <x:v>42390514</x:v>
      </x:c>
      <x:c r="D1585" s="28" t="str">
        <x:v>What Predicts Attention-Deficit/Hyperactivity Disorder Literacy in Primary Schoolteachers?</x:v>
      </x:c>
      <x:c r="E1585" s="28" t="str">
        <x:v>Primary study - cross-sectional</x:v>
      </x:c>
      <x:c r="F1585" s="28" t="str">
        <x:v>Development &amp; presentation; Family &amp; education; Social &amp; structural; Historical &amp; contemporary context</x:v>
      </x:c>
      <x:c r="G1585" s="28" t="str">
        <x:v>Childhood; Adulthood</x:v>
      </x:c>
      <x:c r="H1585" s="28" t="str">
        <x:v>Batch 1 core</x:v>
      </x:c>
      <x:c r="I1585" s="28" t="str">
        <x:v>Direct ADHD primary study on diagnosis, family/education, structural conditions, lived experience/outcomes, or environment/lifestyle.</x:v>
      </x:c>
      <x:c r="J1585" s="38" t="e">
        <x:f>HYPERLINK("https://pubmed.ncbi.nlm.nih.gov/"&amp;C1585&amp;"/","Open PubMed")</x:f>
        <x:v>HYPERLINK is not implemented. linkLocation=https://pubmed.ncbi.nlm.nih.gov/42390514/, friendlyName=Open PubMed</x:v>
      </x:c>
    </x:row>
    <x:row r="1586">
      <x:c r="A1586" s="26" t="str">
        <x:v>PUBMED-42250293</x:v>
      </x:c>
      <x:c r="B1586" s="26" t="n">
        <x:v>2026</x:v>
      </x:c>
      <x:c r="C1586" s="26" t="str">
        <x:v>42250293</x:v>
      </x:c>
      <x:c r="D1586" s="28" t="str">
        <x:v>Particulate matter-bound metals and chlorinated paraffins co-exposure: A population-based study on attention-deficit/hyperactivity disorder in Chinese youth.</x:v>
      </x:c>
      <x:c r="E1586" s="28" t="str">
        <x:v>Primary/contextual journal article</x:v>
      </x:c>
      <x:c r="F1586" s="28" t="str">
        <x:v>Development &amp; presentation; Recognition &amp; diagnosis; Social &amp; structural; Environmental &amp; lifestyle</x:v>
      </x:c>
      <x:c r="G1586" s="28" t="str">
        <x:v>Childhood; Adolescence</x:v>
      </x:c>
      <x:c r="H1586" s="28" t="str">
        <x:v>Later specialized</x:v>
      </x:c>
      <x:c r="I1586" s="28" t="str">
        <x:v>Direct or strongly ADHD-related record retained for later screening; typically narrower treatment, biomarker, mechanistic, or single-comorbidity focus.</x:v>
      </x:c>
      <x:c r="J1586" s="38" t="e">
        <x:f>HYPERLINK("https://pubmed.ncbi.nlm.nih.gov/"&amp;C1586&amp;"/","Open PubMed")</x:f>
        <x:v>HYPERLINK is not implemented. linkLocation=https://pubmed.ncbi.nlm.nih.gov/42250293/, friendlyName=Open PubMed</x:v>
      </x:c>
    </x:row>
    <x:row r="1587">
      <x:c r="A1587" s="26" t="str">
        <x:v>PUBMED-42507172</x:v>
      </x:c>
      <x:c r="B1587" s="26" t="n">
        <x:v>2026</x:v>
      </x:c>
      <x:c r="C1587" s="26" t="str">
        <x:v>42507172</x:v>
      </x:c>
      <x:c r="D1587" s="28" t="str">
        <x:v>Transdiagnostic monoamine-based subtyping for attention-deficit/hyperactivity disorder and autism spectrum disorder via unsupervised machine learning.</x:v>
      </x:c>
      <x:c r="E1587" s="28" t="str">
        <x:v>Primary/contextual journal article</x:v>
      </x:c>
      <x:c r="F1587" s="28" t="str">
        <x:v>Development &amp; presentation; Recognition &amp; diagnosis; Social &amp; structural; Treatment &amp; support</x:v>
      </x:c>
      <x:c r="G1587" s="28" t="str">
        <x:v>Childhood; Adolescence</x:v>
      </x:c>
      <x:c r="H1587" s="28" t="str">
        <x:v>Later specialized</x:v>
      </x:c>
      <x:c r="I1587" s="28" t="str">
        <x:v>Direct or strongly ADHD-related record retained for later screening; typically narrower treatment, biomarker, mechanistic, or single-comorbidity focus.</x:v>
      </x:c>
      <x:c r="J1587" s="38" t="e">
        <x:f>HYPERLINK("https://pubmed.ncbi.nlm.nih.gov/"&amp;C1587&amp;"/","Open PubMed")</x:f>
        <x:v>HYPERLINK is not implemented. linkLocation=https://pubmed.ncbi.nlm.nih.gov/42507172/, friendlyName=Open PubMed</x:v>
      </x:c>
    </x:row>
    <x:row r="1588">
      <x:c r="A1588" s="26" t="str">
        <x:v>PUBMED-42411856</x:v>
      </x:c>
      <x:c r="B1588" s="26" t="n">
        <x:v>2026</x:v>
      </x:c>
      <x:c r="C1588" s="26" t="str">
        <x:v>42411856</x:v>
      </x:c>
      <x:c r="D1588" s="28" t="str">
        <x:v>Management of Comorbid Autism Spectrum Disorder, Attention-Deficit/Hyperactivity Disorder, and Anxiety in Pediatric PMHNP Practice.</x:v>
      </x:c>
      <x:c r="E1588" s="28" t="str">
        <x:v>Evidence synthesis - review</x:v>
      </x:c>
      <x:c r="F1588" s="28" t="str">
        <x:v>Development &amp; presentation; Recognition &amp; diagnosis; Family &amp; education; Social &amp; structural; Environmental &amp; lifestyle; Treatment &amp; support; Life outcomes &amp; lived experience</x:v>
      </x:c>
      <x:c r="G1588" s="28" t="str">
        <x:v>Childhood</x:v>
      </x:c>
      <x:c r="H1588" s="28" t="str">
        <x:v>Later specialized</x:v>
      </x:c>
      <x:c r="I1588" s="28" t="str">
        <x:v>Direct or strongly ADHD-related record retained for later screening; typically narrower treatment, biomarker, mechanistic, or single-comorbidity focus.</x:v>
      </x:c>
      <x:c r="J1588" s="38" t="e">
        <x:f>HYPERLINK("https://pubmed.ncbi.nlm.nih.gov/"&amp;C1588&amp;"/","Open PubMed")</x:f>
        <x:v>HYPERLINK is not implemented. linkLocation=https://pubmed.ncbi.nlm.nih.gov/42411856/, friendlyName=Open PubMed</x:v>
      </x:c>
    </x:row>
    <x:row r="1589">
      <x:c r="A1589" s="26" t="str">
        <x:v>PUBMED-42244394</x:v>
      </x:c>
      <x:c r="B1589" s="26" t="n">
        <x:v>2026</x:v>
      </x:c>
      <x:c r="C1589" s="26" t="str">
        <x:v>42244394</x:v>
      </x:c>
      <x:c r="D1589" s="28" t="str">
        <x:v>Linking Brain Morphometry to Psychometric Measures and Energy-Metabolic Biomarkers in Adults With Autism Spectrum Disorder.</x:v>
      </x:c>
      <x:c r="E1589" s="28" t="str">
        <x:v>Primary/contextual journal article</x:v>
      </x:c>
      <x:c r="F1589" s="28" t="str">
        <x:v>Development &amp; presentation; Recognition &amp; diagnosis; Social &amp; structural</x:v>
      </x:c>
      <x:c r="G1589" s="28" t="str">
        <x:v>Childhood; Adolescence; Adulthood</x:v>
      </x:c>
      <x:c r="H1589" s="28" t="str">
        <x:v>Later specialized</x:v>
      </x:c>
      <x:c r="I1589" s="28" t="str">
        <x:v>Direct or strongly ADHD-related record retained for later screening; typically narrower treatment, biomarker, mechanistic, or single-comorbidity focus.</x:v>
      </x:c>
      <x:c r="J1589" s="38" t="e">
        <x:f>HYPERLINK("https://pubmed.ncbi.nlm.nih.gov/"&amp;C1589&amp;"/","Open PubMed")</x:f>
        <x:v>HYPERLINK is not implemented. linkLocation=https://pubmed.ncbi.nlm.nih.gov/42244394/, friendlyName=Open PubMed</x:v>
      </x:c>
    </x:row>
    <x:row r="1590">
      <x:c r="A1590" s="26" t="str">
        <x:v>PUBMED-42441638</x:v>
      </x:c>
      <x:c r="B1590" s="26" t="n">
        <x:v>2026</x:v>
      </x:c>
      <x:c r="C1590" s="26" t="str">
        <x:v>42441638</x:v>
      </x:c>
      <x:c r="D1590" s="28" t="str">
        <x:v>Neighborhood risks, maternal parenting entropy, and child attention-deficit/hyperactivity disorder (ADHD) symptoms.</x:v>
      </x:c>
      <x:c r="E1590" s="28" t="str">
        <x:v>Primary/contextual journal article</x:v>
      </x:c>
      <x:c r="F1590" s="28" t="str">
        <x:v>Development &amp; presentation; Family &amp; education; Social &amp; structural; Environmental &amp; lifestyle</x:v>
      </x:c>
      <x:c r="G1590" s="28" t="str">
        <x:v>Childhood; Adulthood</x:v>
      </x:c>
      <x:c r="H1590" s="28" t="str">
        <x:v>Later specialized</x:v>
      </x:c>
      <x:c r="I1590" s="28" t="str">
        <x:v>Direct or strongly ADHD-related record retained for later screening; typically narrower treatment, biomarker, mechanistic, or single-comorbidity focus.</x:v>
      </x:c>
      <x:c r="J1590" s="38" t="e">
        <x:f>HYPERLINK("https://pubmed.ncbi.nlm.nih.gov/"&amp;C1590&amp;"/","Open PubMed")</x:f>
        <x:v>HYPERLINK is not implemented. linkLocation=https://pubmed.ncbi.nlm.nih.gov/42441638/, friendlyName=Open PubMed</x:v>
      </x:c>
    </x:row>
    <x:row r="1591">
      <x:c r="A1591" s="26" t="str">
        <x:v>PUBMED-42467809</x:v>
      </x:c>
      <x:c r="B1591" s="26" t="n">
        <x:v>2026</x:v>
      </x:c>
      <x:c r="C1591" s="26" t="str">
        <x:v>42467809</x:v>
      </x:c>
      <x:c r="D1591" s="28" t="str">
        <x:v>Attention-deficit/hyperactivity disorder, autism spectrum disorder, and HIV: implications for risk, outcomes, and care for neurodivergent people.</x:v>
      </x:c>
      <x:c r="E1591" s="28" t="str">
        <x:v>Evidence synthesis - review</x:v>
      </x:c>
      <x:c r="F1591" s="28" t="str">
        <x:v>Development &amp; presentation; Recognition &amp; diagnosis; Social &amp; structural; Treatment &amp; support; Life outcomes &amp; lived experience; Historical &amp; contemporary context</x:v>
      </x:c>
      <x:c r="G1591" s="28" t="str">
        <x:v>Adulthood</x:v>
      </x:c>
      <x:c r="H1591" s="28" t="str">
        <x:v>Later specialized</x:v>
      </x:c>
      <x:c r="I1591" s="28" t="str">
        <x:v>Direct or strongly ADHD-related record retained for later screening; typically narrower treatment, biomarker, mechanistic, or single-comorbidity focus.</x:v>
      </x:c>
      <x:c r="J1591" s="38" t="e">
        <x:f>HYPERLINK("https://pubmed.ncbi.nlm.nih.gov/"&amp;C1591&amp;"/","Open PubMed")</x:f>
        <x:v>HYPERLINK is not implemented. linkLocation=https://pubmed.ncbi.nlm.nih.gov/42467809/, friendlyName=Open PubMed</x:v>
      </x:c>
    </x:row>
    <x:row r="1592">
      <x:c r="A1592" s="26" t="str">
        <x:v>PUBMED-42574745</x:v>
      </x:c>
      <x:c r="B1592" s="26" t="n">
        <x:v>2026</x:v>
      </x:c>
      <x:c r="C1592" s="26" t="str">
        <x:v>42574745</x:v>
      </x:c>
      <x:c r="D1592" s="28" t="str">
        <x:v>Relationship of glymphatic dysfunction and frontothalamic structure with cognitive impairment in attention deficit hyperactivity disorder.</x:v>
      </x:c>
      <x:c r="E1592" s="28" t="str">
        <x:v>Primary/contextual journal article</x:v>
      </x:c>
      <x:c r="F1592" s="28" t="str">
        <x:v>Development &amp; presentation; Recognition &amp; diagnosis; Social &amp; structural; Treatment &amp; support; Life outcomes &amp; lived experience</x:v>
      </x:c>
      <x:c r="G1592" s="28" t="str">
        <x:v>Childhood; Adolescence</x:v>
      </x:c>
      <x:c r="H1592" s="28" t="str">
        <x:v>Later specialized</x:v>
      </x:c>
      <x:c r="I1592" s="28" t="str">
        <x:v>Direct or strongly ADHD-related record retained for later screening; typically narrower treatment, biomarker, mechanistic, or single-comorbidity focus.</x:v>
      </x:c>
      <x:c r="J1592" s="38" t="e">
        <x:f>HYPERLINK("https://pubmed.ncbi.nlm.nih.gov/"&amp;C1592&amp;"/","Open PubMed")</x:f>
        <x:v>HYPERLINK is not implemented. linkLocation=https://pubmed.ncbi.nlm.nih.gov/42574745/, friendlyName=Open PubMed</x:v>
      </x:c>
    </x:row>
    <x:row r="1593">
      <x:c r="A1593" s="26" t="str">
        <x:v>PUBMED-42578754</x:v>
      </x:c>
      <x:c r="B1593" s="26" t="n">
        <x:v>2026</x:v>
      </x:c>
      <x:c r="C1593" s="26" t="str">
        <x:v>42578754</x:v>
      </x:c>
      <x:c r="D1593" s="28" t="str">
        <x:v>Association between trauma exposure and mental health among adolescents with attention-deficit hyperactivity disorder.</x:v>
      </x:c>
      <x:c r="E1593" s="28" t="str">
        <x:v>Primary study - cross-sectional</x:v>
      </x:c>
      <x:c r="F1593" s="28" t="str">
        <x:v>Development &amp; presentation; Family &amp; education; Social &amp; structural; Environmental &amp; lifestyle; Life outcomes &amp; lived experience</x:v>
      </x:c>
      <x:c r="G1593" s="28" t="str">
        <x:v>Childhood; Adolescence</x:v>
      </x:c>
      <x:c r="H1593" s="28" t="str">
        <x:v>Later specialized</x:v>
      </x:c>
      <x:c r="I1593" s="28" t="str">
        <x:v>Direct or strongly ADHD-related record retained for later screening; typically narrower treatment, biomarker, mechanistic, or single-comorbidity focus.</x:v>
      </x:c>
      <x:c r="J1593" s="38" t="e">
        <x:f>HYPERLINK("https://pubmed.ncbi.nlm.nih.gov/"&amp;C1593&amp;"/","Open PubMed")</x:f>
        <x:v>HYPERLINK is not implemented. linkLocation=https://pubmed.ncbi.nlm.nih.gov/42578754/, friendlyName=Open PubMed</x:v>
      </x:c>
    </x:row>
    <x:row r="1594">
      <x:c r="A1594" s="26" t="str">
        <x:v>PUBMED-42547208</x:v>
      </x:c>
      <x:c r="B1594" s="26" t="n">
        <x:v>2026</x:v>
      </x:c>
      <x:c r="C1594" s="26" t="str">
        <x:v>42547208</x:v>
      </x:c>
      <x:c r="D1594" s="28" t="str">
        <x:v>Sleep, attention, and executive function in health and disease.</x:v>
      </x:c>
      <x:c r="E1594" s="28" t="str">
        <x:v>Evidence synthesis - review</x:v>
      </x:c>
      <x:c r="F1594" s="28" t="str">
        <x:v>Development &amp; presentation; Social &amp; structural; Environmental &amp; lifestyle; Treatment &amp; support; Life outcomes &amp; lived experience</x:v>
      </x:c>
      <x:c r="G1594" s="28" t="str">
        <x:v>Not specified</x:v>
      </x:c>
      <x:c r="H1594" s="28" t="str">
        <x:v>Later specialized</x:v>
      </x:c>
      <x:c r="I1594" s="28" t="str">
        <x:v>Direct or strongly ADHD-related record retained for later screening; typically narrower treatment, biomarker, mechanistic, or single-comorbidity focus.</x:v>
      </x:c>
      <x:c r="J1594" s="38" t="e">
        <x:f>HYPERLINK("https://pubmed.ncbi.nlm.nih.gov/"&amp;C1594&amp;"/","Open PubMed")</x:f>
        <x:v>HYPERLINK is not implemented. linkLocation=https://pubmed.ncbi.nlm.nih.gov/42547208/, friendlyName=Open PubMed</x:v>
      </x:c>
    </x:row>
    <x:row r="1595">
      <x:c r="A1595" s="26" t="str">
        <x:v>PUBMED-41918078</x:v>
      </x:c>
      <x:c r="B1595" s="26" t="n">
        <x:v>2026</x:v>
      </x:c>
      <x:c r="C1595" s="26" t="str">
        <x:v>41918078</x:v>
      </x:c>
      <x:c r="D1595" s="28" t="str">
        <x:v>Beyond Critique: Reparative Approaches in Brazilian Mental Health.</x:v>
      </x:c>
      <x:c r="E1595" s="28" t="str">
        <x:v>Primary/contextual journal article</x:v>
      </x:c>
      <x:c r="F1595" s="28" t="str">
        <x:v>Development &amp; presentation; Social &amp; structural; Environmental &amp; lifestyle; Treatment &amp; support; Life outcomes &amp; lived experience</x:v>
      </x:c>
      <x:c r="G1595" s="28" t="str">
        <x:v>Not specified</x:v>
      </x:c>
      <x:c r="H1595" s="28" t="str">
        <x:v>Later specialized</x:v>
      </x:c>
      <x:c r="I1595" s="28" t="str">
        <x:v>Direct or strongly ADHD-related record retained for later screening; typically narrower treatment, biomarker, mechanistic, or single-comorbidity focus.</x:v>
      </x:c>
      <x:c r="J1595" s="38" t="e">
        <x:f>HYPERLINK("https://pubmed.ncbi.nlm.nih.gov/"&amp;C1595&amp;"/","Open PubMed")</x:f>
        <x:v>HYPERLINK is not implemented. linkLocation=https://pubmed.ncbi.nlm.nih.gov/41918078/, friendlyName=Open PubMed</x:v>
      </x:c>
    </x:row>
    <x:row r="1596">
      <x:c r="A1596" s="26" t="str">
        <x:v>PUBMED-42235182</x:v>
      </x:c>
      <x:c r="B1596" s="26" t="n">
        <x:v>2026</x:v>
      </x:c>
      <x:c r="C1596" s="26" t="str">
        <x:v>42235182</x:v>
      </x:c>
      <x:c r="D1596" s="28" t="str">
        <x:v>Feasibility and exploratory outcomes of immersive VR intervention on brain functional networks and clinical symptoms in ADHD children: A pilot study.</x:v>
      </x:c>
      <x:c r="E1596" s="28" t="str">
        <x:v>Primary/contextual journal article</x:v>
      </x:c>
      <x:c r="F1596" s="28" t="str">
        <x:v>Development &amp; presentation; Recognition &amp; diagnosis; Social &amp; structural; Environmental &amp; lifestyle; Treatment &amp; support; Life outcomes &amp; lived experience</x:v>
      </x:c>
      <x:c r="G1596" s="28" t="str">
        <x:v>Childhood</x:v>
      </x:c>
      <x:c r="H1596" s="28" t="str">
        <x:v>Later specialized</x:v>
      </x:c>
      <x:c r="I1596" s="28" t="str">
        <x:v>Direct or strongly ADHD-related record retained for later screening; typically narrower treatment, biomarker, mechanistic, or single-comorbidity focus.</x:v>
      </x:c>
      <x:c r="J1596" s="38" t="e">
        <x:f>HYPERLINK("https://pubmed.ncbi.nlm.nih.gov/"&amp;C1596&amp;"/","Open PubMed")</x:f>
        <x:v>HYPERLINK is not implemented. linkLocation=https://pubmed.ncbi.nlm.nih.gov/42235182/, friendlyName=Open PubMed</x:v>
      </x:c>
    </x:row>
    <x:row r="1597">
      <x:c r="A1597" s="26" t="str">
        <x:v>PUBMED-42135792</x:v>
      </x:c>
      <x:c r="B1597" s="26" t="n">
        <x:v>2026</x:v>
      </x:c>
      <x:c r="C1597" s="26" t="str">
        <x:v>42135792</x:v>
      </x:c>
      <x:c r="D1597" s="28" t="str">
        <x:v>Prescribing medications for attention-deficit/hyperactivity disorder in children: a retrospective analysis of a Japanese health insurance claims database.</x:v>
      </x:c>
      <x:c r="E1597" s="28" t="str">
        <x:v>Primary/contextual journal article</x:v>
      </x:c>
      <x:c r="F1597" s="28" t="str">
        <x:v>Development &amp; presentation; Family &amp; education; Social &amp; structural; Treatment &amp; support</x:v>
      </x:c>
      <x:c r="G1597" s="28" t="str">
        <x:v>Childhood; Adolescence</x:v>
      </x:c>
      <x:c r="H1597" s="28" t="str">
        <x:v>Later specialized</x:v>
      </x:c>
      <x:c r="I1597" s="28" t="str">
        <x:v>Direct or strongly ADHD-related record retained for later screening; typically narrower treatment, biomarker, mechanistic, or single-comorbidity focus.</x:v>
      </x:c>
      <x:c r="J1597" s="38" t="e">
        <x:f>HYPERLINK("https://pubmed.ncbi.nlm.nih.gov/"&amp;C1597&amp;"/","Open PubMed")</x:f>
        <x:v>HYPERLINK is not implemented. linkLocation=https://pubmed.ncbi.nlm.nih.gov/42135792/, friendlyName=Open PubMed</x:v>
      </x:c>
    </x:row>
    <x:row r="1598">
      <x:c r="A1598" s="26" t="str">
        <x:v>PUBMED-42447792</x:v>
      </x:c>
      <x:c r="B1598" s="26" t="n">
        <x:v>2026</x:v>
      </x:c>
      <x:c r="C1598" s="26" t="str">
        <x:v>42447792</x:v>
      </x:c>
      <x:c r="D1598" s="28" t="str">
        <x:v>Prenatal environmental exposures associated with ADHD diagnosis in children: a multicentre exposome analysis.</x:v>
      </x:c>
      <x:c r="E1598" s="28" t="str">
        <x:v>Evidence synthesis - meta-analysis</x:v>
      </x:c>
      <x:c r="F1598" s="28" t="str">
        <x:v>Development &amp; presentation; Recognition &amp; diagnosis; Family &amp; education; Social &amp; structural; Environmental &amp; lifestyle; Life outcomes &amp; lived experience</x:v>
      </x:c>
      <x:c r="G1598" s="28" t="str">
        <x:v>Childhood</x:v>
      </x:c>
      <x:c r="H1598" s="28" t="str">
        <x:v>Later specialized</x:v>
      </x:c>
      <x:c r="I1598" s="28" t="str">
        <x:v>Direct or strongly ADHD-related record retained for later screening; typically narrower treatment, biomarker, mechanistic, or single-comorbidity focus.</x:v>
      </x:c>
      <x:c r="J1598" s="38" t="e">
        <x:f>HYPERLINK("https://pubmed.ncbi.nlm.nih.gov/"&amp;C1598&amp;"/","Open PubMed")</x:f>
        <x:v>HYPERLINK is not implemented. linkLocation=https://pubmed.ncbi.nlm.nih.gov/42447792/, friendlyName=Open PubMed</x:v>
      </x:c>
    </x:row>
    <x:row r="1599">
      <x:c r="A1599" s="26" t="str">
        <x:v>PUBMED-42086295</x:v>
      </x:c>
      <x:c r="B1599" s="26" t="n">
        <x:v>2026</x:v>
      </x:c>
      <x:c r="C1599" s="26" t="str">
        <x:v>42086295</x:v>
      </x:c>
      <x:c r="D1599" s="28" t="str">
        <x:v>Learning-based cognitive control in ADHD: a multicentric study.</x:v>
      </x:c>
      <x:c r="E1599" s="28" t="str">
        <x:v>Primary/contextual journal article</x:v>
      </x:c>
      <x:c r="F1599" s="28" t="str">
        <x:v>Development &amp; presentation; Family &amp; education; Social &amp; structural; Treatment &amp; support</x:v>
      </x:c>
      <x:c r="G1599" s="28" t="str">
        <x:v>Childhood; Adolescence</x:v>
      </x:c>
      <x:c r="H1599" s="28" t="str">
        <x:v>Later specialized</x:v>
      </x:c>
      <x:c r="I1599" s="28" t="str">
        <x:v>Direct or strongly ADHD-related record retained for later screening; typically narrower treatment, biomarker, mechanistic, or single-comorbidity focus.</x:v>
      </x:c>
      <x:c r="J1599" s="38" t="e">
        <x:f>HYPERLINK("https://pubmed.ncbi.nlm.nih.gov/"&amp;C1599&amp;"/","Open PubMed")</x:f>
        <x:v>HYPERLINK is not implemented. linkLocation=https://pubmed.ncbi.nlm.nih.gov/42086295/, friendlyName=Open PubMed</x:v>
      </x:c>
    </x:row>
    <x:row r="1600">
      <x:c r="A1600" s="26" t="str">
        <x:v>PUBMED-42160304</x:v>
      </x:c>
      <x:c r="B1600" s="26" t="n">
        <x:v>2026</x:v>
      </x:c>
      <x:c r="C1600" s="26" t="str">
        <x:v>42160304</x:v>
      </x:c>
      <x:c r="D1600" s="28" t="str">
        <x:v>The effect of 5-hydroxytryptophan, a serotonin precursor, on adults with high levels of Attention Deficit Hyperactivity Disorder traits: A randomised, controlled trial.</x:v>
      </x:c>
      <x:c r="E1600" s="28" t="str">
        <x:v>Primary study - randomized controlled trial</x:v>
      </x:c>
      <x:c r="F1600" s="28" t="str">
        <x:v>Development &amp; presentation; Recognition &amp; diagnosis; Social &amp; structural; Treatment &amp; support</x:v>
      </x:c>
      <x:c r="G1600" s="28" t="str">
        <x:v>Adulthood</x:v>
      </x:c>
      <x:c r="H1600" s="28" t="str">
        <x:v>Later specialized</x:v>
      </x:c>
      <x:c r="I1600" s="28" t="str">
        <x:v>Direct or strongly ADHD-related record retained for later screening; typically narrower treatment, biomarker, mechanistic, or single-comorbidity focus.</x:v>
      </x:c>
      <x:c r="J1600" s="38" t="e">
        <x:f>HYPERLINK("https://pubmed.ncbi.nlm.nih.gov/"&amp;C1600&amp;"/","Open PubMed")</x:f>
        <x:v>HYPERLINK is not implemented. linkLocation=https://pubmed.ncbi.nlm.nih.gov/42160304/, friendlyName=Open PubMed</x:v>
      </x:c>
    </x:row>
    <x:row r="1601">
      <x:c r="A1601" s="26" t="str">
        <x:v>PUBMED-42280439</x:v>
      </x:c>
      <x:c r="B1601" s="26" t="n">
        <x:v>2026</x:v>
      </x:c>
      <x:c r="C1601" s="26" t="str">
        <x:v>42280439</x:v>
      </x:c>
      <x:c r="D1601" s="28" t="str">
        <x:v>Essential Trace Elements Zinc, Iron, Copper and Attention-Deficit/Hyperactivity Disorder in Children and Adolescents: A Systematic Review and Meta-Analysis of Case-Control Studies.</x:v>
      </x:c>
      <x:c r="E1601" s="28" t="str">
        <x:v>Evidence synthesis - meta-analysis</x:v>
      </x:c>
      <x:c r="F1601" s="28" t="str">
        <x:v>Development &amp; presentation; Recognition &amp; diagnosis; Social &amp; structural</x:v>
      </x:c>
      <x:c r="G1601" s="28" t="str">
        <x:v>Childhood; Adolescence</x:v>
      </x:c>
      <x:c r="H1601" s="28" t="str">
        <x:v>Later specialized</x:v>
      </x:c>
      <x:c r="I1601" s="28" t="str">
        <x:v>Direct or strongly ADHD-related record retained for later screening; typically narrower treatment, biomarker, mechanistic, or single-comorbidity focus.</x:v>
      </x:c>
      <x:c r="J1601" s="38" t="e">
        <x:f>HYPERLINK("https://pubmed.ncbi.nlm.nih.gov/"&amp;C1601&amp;"/","Open PubMed")</x:f>
        <x:v>HYPERLINK is not implemented. linkLocation=https://pubmed.ncbi.nlm.nih.gov/42280439/, friendlyName=Open PubMed</x:v>
      </x:c>
    </x:row>
    <x:row r="1602">
      <x:c r="A1602" s="26" t="str">
        <x:v>PUBMED-42113123</x:v>
      </x:c>
      <x:c r="B1602" s="26" t="n">
        <x:v>2026</x:v>
      </x:c>
      <x:c r="C1602" s="26" t="str">
        <x:v>42113123</x:v>
      </x:c>
      <x:c r="D1602" s="28" t="str">
        <x:v>Minnesota Multiphasic Personality Inventory-3 (MMPI-3) profiles among adults with attention-deficit/hyperactivity disorder and co-occurring internalizing psychopathology.</x:v>
      </x:c>
      <x:c r="E1602" s="28" t="str">
        <x:v>Primary/contextual journal article</x:v>
      </x:c>
      <x:c r="F1602" s="28" t="str">
        <x:v>Development &amp; presentation; Recognition &amp; diagnosis; Social &amp; structural; Treatment &amp; support</x:v>
      </x:c>
      <x:c r="G1602" s="28" t="str">
        <x:v>Adulthood</x:v>
      </x:c>
      <x:c r="H1602" s="28" t="str">
        <x:v>Later specialized</x:v>
      </x:c>
      <x:c r="I1602" s="28" t="str">
        <x:v>Direct or strongly ADHD-related record retained for later screening; typically narrower treatment, biomarker, mechanistic, or single-comorbidity focus.</x:v>
      </x:c>
      <x:c r="J1602" s="38" t="e">
        <x:f>HYPERLINK("https://pubmed.ncbi.nlm.nih.gov/"&amp;C1602&amp;"/","Open PubMed")</x:f>
        <x:v>HYPERLINK is not implemented. linkLocation=https://pubmed.ncbi.nlm.nih.gov/42113123/, friendlyName=Open PubMed</x:v>
      </x:c>
    </x:row>
    <x:row r="1603">
      <x:c r="A1603" s="26" t="str">
        <x:v>PUBMED-42726910</x:v>
      </x:c>
      <x:c r="B1603" s="26" t="n">
        <x:v>2026</x:v>
      </x:c>
      <x:c r="C1603" s="26" t="str">
        <x:v>42726910</x:v>
      </x:c>
      <x:c r="D1603" s="28" t="str">
        <x:v>Is there evidence for additive neurocognitive deficits in adults with attention-deficit/hyperactivity disorder and co-occurring conditions?</x:v>
      </x:c>
      <x:c r="E1603" s="28" t="str">
        <x:v>Primary/contextual journal article</x:v>
      </x:c>
      <x:c r="F1603" s="28" t="str">
        <x:v>Development &amp; presentation; Recognition &amp; diagnosis; Family &amp; education; Social &amp; structural; Life outcomes &amp; lived experience</x:v>
      </x:c>
      <x:c r="G1603" s="28" t="str">
        <x:v>Adulthood</x:v>
      </x:c>
      <x:c r="H1603" s="28" t="str">
        <x:v>Later specialized</x:v>
      </x:c>
      <x:c r="I1603" s="28" t="str">
        <x:v>Direct or strongly ADHD-related record retained for later screening; typically narrower treatment, biomarker, mechanistic, or single-comorbidity focus.</x:v>
      </x:c>
      <x:c r="J1603" s="38" t="e">
        <x:f>HYPERLINK("https://pubmed.ncbi.nlm.nih.gov/"&amp;C1603&amp;"/","Open PubMed")</x:f>
        <x:v>HYPERLINK is not implemented. linkLocation=https://pubmed.ncbi.nlm.nih.gov/42726910/, friendlyName=Open PubMed</x:v>
      </x:c>
    </x:row>
    <x:row r="1604">
      <x:c r="A1604" s="26" t="str">
        <x:v>PUBMED-42578778</x:v>
      </x:c>
      <x:c r="B1604" s="26" t="n">
        <x:v>2026</x:v>
      </x:c>
      <x:c r="C1604" s="26" t="str">
        <x:v>42578778</x:v>
      </x:c>
      <x:c r="D1604" s="28" t="str">
        <x:v>Efficacy and tolerability of Methylphenidate in children and adolescents with ADHD : A Systematic Review.</x:v>
      </x:c>
      <x:c r="E1604" s="28" t="str">
        <x:v>Evidence synthesis - systematic review</x:v>
      </x:c>
      <x:c r="F1604" s="28" t="str">
        <x:v>Development &amp; presentation; Social &amp; structural; Treatment &amp; support; Life outcomes &amp; lived experience</x:v>
      </x:c>
      <x:c r="G1604" s="28" t="str">
        <x:v>Childhood; Adolescence</x:v>
      </x:c>
      <x:c r="H1604" s="28" t="str">
        <x:v>Later specialized</x:v>
      </x:c>
      <x:c r="I1604" s="28" t="str">
        <x:v>Direct or strongly ADHD-related record retained for later screening; typically narrower treatment, biomarker, mechanistic, or single-comorbidity focus.</x:v>
      </x:c>
      <x:c r="J1604" s="38" t="e">
        <x:f>HYPERLINK("https://pubmed.ncbi.nlm.nih.gov/"&amp;C1604&amp;"/","Open PubMed")</x:f>
        <x:v>HYPERLINK is not implemented. linkLocation=https://pubmed.ncbi.nlm.nih.gov/42578778/, friendlyName=Open PubMed</x:v>
      </x:c>
    </x:row>
    <x:row r="1605">
      <x:c r="A1605" s="26" t="str">
        <x:v>PUBMED-42433047</x:v>
      </x:c>
      <x:c r="B1605" s="26" t="n">
        <x:v>2026</x:v>
      </x:c>
      <x:c r="C1605" s="26" t="str">
        <x:v>42433047</x:v>
      </x:c>
      <x:c r="D1605" s="28" t="str">
        <x:v>Association of allergic diseases and attention-deficit/hyperactivity (ADHD) disorder in children: a large-scale cohort study.</x:v>
      </x:c>
      <x:c r="E1605" s="28" t="str">
        <x:v>Primary study - cohort</x:v>
      </x:c>
      <x:c r="F1605" s="28" t="str">
        <x:v>Development &amp; presentation; Recognition &amp; diagnosis; Family &amp; education; Social &amp; structural; Environmental &amp; lifestyle; Treatment &amp; support; Life outcomes &amp; lived experience</x:v>
      </x:c>
      <x:c r="G1605" s="28" t="str">
        <x:v>Childhood; Adolescence</x:v>
      </x:c>
      <x:c r="H1605" s="28" t="str">
        <x:v>Later specialized</x:v>
      </x:c>
      <x:c r="I1605" s="28" t="str">
        <x:v>Direct or strongly ADHD-related record retained for later screening; typically narrower treatment, biomarker, mechanistic, or single-comorbidity focus.</x:v>
      </x:c>
      <x:c r="J1605" s="38" t="e">
        <x:f>HYPERLINK("https://pubmed.ncbi.nlm.nih.gov/"&amp;C1605&amp;"/","Open PubMed")</x:f>
        <x:v>HYPERLINK is not implemented. linkLocation=https://pubmed.ncbi.nlm.nih.gov/42433047/, friendlyName=Open PubMed</x:v>
      </x:c>
    </x:row>
    <x:row r="1606">
      <x:c r="A1606" s="26" t="str">
        <x:v>PUBMED-42526080</x:v>
      </x:c>
      <x:c r="B1606" s="26" t="n">
        <x:v>2026</x:v>
      </x:c>
      <x:c r="C1606" s="26" t="str">
        <x:v>42526080</x:v>
      </x:c>
      <x:c r="D1606" s="28" t="str">
        <x:v>Age-related alterations in early and late auditory processing in children with attention-deficit/hyperactivity disorder: Evidence from event-related potentials.</x:v>
      </x:c>
      <x:c r="E1606" s="28" t="str">
        <x:v>Primary/contextual journal article</x:v>
      </x:c>
      <x:c r="F1606" s="28" t="str">
        <x:v>Development &amp; presentation; Family &amp; education; Social &amp; structural; Treatment &amp; support</x:v>
      </x:c>
      <x:c r="G1606" s="28" t="str">
        <x:v>Childhood</x:v>
      </x:c>
      <x:c r="H1606" s="28" t="str">
        <x:v>Later specialized</x:v>
      </x:c>
      <x:c r="I1606" s="28" t="str">
        <x:v>Direct or strongly ADHD-related record retained for later screening; typically narrower treatment, biomarker, mechanistic, or single-comorbidity focus.</x:v>
      </x:c>
      <x:c r="J1606" s="38" t="e">
        <x:f>HYPERLINK("https://pubmed.ncbi.nlm.nih.gov/"&amp;C1606&amp;"/","Open PubMed")</x:f>
        <x:v>HYPERLINK is not implemented. linkLocation=https://pubmed.ncbi.nlm.nih.gov/42526080/, friendlyName=Open PubMed</x:v>
      </x:c>
    </x:row>
    <x:row r="1607">
      <x:c r="A1607" s="26" t="str">
        <x:v>PUBMED-41944053</x:v>
      </x:c>
      <x:c r="B1607" s="26" t="n">
        <x:v>2026</x:v>
      </x:c>
      <x:c r="C1607" s="26" t="str">
        <x:v>41944053</x:v>
      </x:c>
      <x:c r="D1607" s="28" t="str">
        <x:v>Efficacy and Safety of Extended-Release Clonidine Hydrochloride for Attention Deficit Hyperactivity Disorder in Chinese Children and Adolescents: A Multicenter, Randomized, Double-Blind, Placebo-Controlled Trial.</x:v>
      </x:c>
      <x:c r="E1607" s="28" t="str">
        <x:v>Primary study - randomized controlled trial</x:v>
      </x:c>
      <x:c r="F1607" s="28" t="str">
        <x:v>Development &amp; presentation; Recognition &amp; diagnosis; Social &amp; structural; Treatment &amp; support; Life outcomes &amp; lived experience</x:v>
      </x:c>
      <x:c r="G1607" s="28" t="str">
        <x:v>Childhood; Adolescence</x:v>
      </x:c>
      <x:c r="H1607" s="28" t="str">
        <x:v>Later specialized</x:v>
      </x:c>
      <x:c r="I1607" s="28" t="str">
        <x:v>Direct or strongly ADHD-related record retained for later screening; typically narrower treatment, biomarker, mechanistic, or single-comorbidity focus.</x:v>
      </x:c>
      <x:c r="J1607" s="38" t="e">
        <x:f>HYPERLINK("https://pubmed.ncbi.nlm.nih.gov/"&amp;C1607&amp;"/","Open PubMed")</x:f>
        <x:v>HYPERLINK is not implemented. linkLocation=https://pubmed.ncbi.nlm.nih.gov/41944053/, friendlyName=Open PubMed</x:v>
      </x:c>
    </x:row>
    <x:row r="1608">
      <x:c r="A1608" s="26" t="str">
        <x:v>PUBMED-42267530</x:v>
      </x:c>
      <x:c r="B1608" s="26" t="n">
        <x:v>2026</x:v>
      </x:c>
      <x:c r="C1608" s="26" t="str">
        <x:v>42267530</x:v>
      </x:c>
      <x:c r="D1608" s="28" t="str">
        <x:v>A comprehensive overview of the biological foundations of ADHD.</x:v>
      </x:c>
      <x:c r="E1608" s="28" t="str">
        <x:v>Evidence synthesis - review</x:v>
      </x:c>
      <x:c r="F1608" s="28" t="str">
        <x:v>Development &amp; presentation; Recognition &amp; diagnosis; Social &amp; structural; Environmental &amp; lifestyle</x:v>
      </x:c>
      <x:c r="G1608" s="28" t="str">
        <x:v>Not specified</x:v>
      </x:c>
      <x:c r="H1608" s="28" t="str">
        <x:v>Batch 1 core</x:v>
      </x:c>
      <x:c r="I1608" s="28" t="str">
        <x:v>Direct ADHD evidence synthesis/guideline with broad multi-topic relevance.</x:v>
      </x:c>
      <x:c r="J1608" s="38" t="e">
        <x:f>HYPERLINK("https://pubmed.ncbi.nlm.nih.gov/"&amp;C1608&amp;"/","Open PubMed")</x:f>
        <x:v>HYPERLINK is not implemented. linkLocation=https://pubmed.ncbi.nlm.nih.gov/42267530/, friendlyName=Open PubMed</x:v>
      </x:c>
    </x:row>
    <x:row r="1609">
      <x:c r="A1609" s="26" t="str">
        <x:v>PUBMED-42589404</x:v>
      </x:c>
      <x:c r="B1609" s="26" t="n">
        <x:v>2026</x:v>
      </x:c>
      <x:c r="C1609" s="26" t="str">
        <x:v>42589404</x:v>
      </x:c>
      <x:c r="D1609" s="28" t="str">
        <x:v>A Four-Dimensional Model of Attention-Deficit/Hyperactivity Disorder: Toward Improved Recognition of Female ADHD.</x:v>
      </x:c>
      <x:c r="E1609" s="28" t="str">
        <x:v>Evidence synthesis - review</x:v>
      </x:c>
      <x:c r="F1609" s="28" t="str">
        <x:v>Development &amp; presentation; Recognition &amp; diagnosis; Social &amp; structural; Treatment &amp; support</x:v>
      </x:c>
      <x:c r="G1609" s="28" t="str">
        <x:v>Not specified</x:v>
      </x:c>
      <x:c r="H1609" s="28" t="str">
        <x:v>Later specialized</x:v>
      </x:c>
      <x:c r="I1609" s="28" t="str">
        <x:v>Direct or strongly ADHD-related record retained for later screening; typically narrower treatment, biomarker, mechanistic, or single-comorbidity focus.</x:v>
      </x:c>
      <x:c r="J1609" s="38" t="e">
        <x:f>HYPERLINK("https://pubmed.ncbi.nlm.nih.gov/"&amp;C1609&amp;"/","Open PubMed")</x:f>
        <x:v>HYPERLINK is not implemented. linkLocation=https://pubmed.ncbi.nlm.nih.gov/42589404/, friendlyName=Open PubMed</x:v>
      </x:c>
    </x:row>
    <x:row r="1610">
      <x:c r="A1610" s="26" t="str">
        <x:v>PUBMED-42024310</x:v>
      </x:c>
      <x:c r="B1610" s="26" t="n">
        <x:v>2026</x:v>
      </x:c>
      <x:c r="C1610" s="26" t="str">
        <x:v>42024310</x:v>
      </x:c>
      <x:c r="D1610" s="28" t="str">
        <x:v>Visual distraction and experience-based suppression in attention-deficit/hyperactivity disorder: A registered report.</x:v>
      </x:c>
      <x:c r="E1610" s="28" t="str">
        <x:v>Primary/contextual journal article</x:v>
      </x:c>
      <x:c r="F1610" s="28" t="str">
        <x:v>Development &amp; presentation; Recognition &amp; diagnosis; Social &amp; structural; Environmental &amp; lifestyle</x:v>
      </x:c>
      <x:c r="G1610" s="28" t="str">
        <x:v>Adolescence</x:v>
      </x:c>
      <x:c r="H1610" s="28" t="str">
        <x:v>Later specialized</x:v>
      </x:c>
      <x:c r="I1610" s="28" t="str">
        <x:v>Direct or strongly ADHD-related record retained for later screening; typically narrower treatment, biomarker, mechanistic, or single-comorbidity focus.</x:v>
      </x:c>
      <x:c r="J1610" s="38" t="e">
        <x:f>HYPERLINK("https://pubmed.ncbi.nlm.nih.gov/"&amp;C1610&amp;"/","Open PubMed")</x:f>
        <x:v>HYPERLINK is not implemented. linkLocation=https://pubmed.ncbi.nlm.nih.gov/42024310/, friendlyName=Open PubMed</x:v>
      </x:c>
    </x:row>
    <x:row r="1611">
      <x:c r="A1611" s="26" t="str">
        <x:v>PUBMED-42165308</x:v>
      </x:c>
      <x:c r="B1611" s="26" t="n">
        <x:v>2026</x:v>
      </x:c>
      <x:c r="C1611" s="26" t="str">
        <x:v>42165308</x:v>
      </x:c>
      <x:c r="D1611" s="28" t="str">
        <x:v>A systematic review on pharmacotherapy of post-traumatic attention impairments.</x:v>
      </x:c>
      <x:c r="E1611" s="28" t="str">
        <x:v>Evidence synthesis - systematic review</x:v>
      </x:c>
      <x:c r="F1611" s="28" t="str">
        <x:v>Development &amp; presentation; Recognition &amp; diagnosis; Family &amp; education; Social &amp; structural; Treatment &amp; support; Life outcomes &amp; lived experience</x:v>
      </x:c>
      <x:c r="G1611" s="28" t="str">
        <x:v>Adulthood</x:v>
      </x:c>
      <x:c r="H1611" s="28" t="str">
        <x:v>Later specialized</x:v>
      </x:c>
      <x:c r="I1611" s="28" t="str">
        <x:v>Direct or strongly ADHD-related record retained for later screening; typically narrower treatment, biomarker, mechanistic, or single-comorbidity focus.</x:v>
      </x:c>
      <x:c r="J1611" s="38" t="e">
        <x:f>HYPERLINK("https://pubmed.ncbi.nlm.nih.gov/"&amp;C1611&amp;"/","Open PubMed")</x:f>
        <x:v>HYPERLINK is not implemented. linkLocation=https://pubmed.ncbi.nlm.nih.gov/42165308/, friendlyName=Open PubMed</x:v>
      </x:c>
    </x:row>
    <x:row r="1612">
      <x:c r="A1612" s="26" t="str">
        <x:v>PUBMED-42201728</x:v>
      </x:c>
      <x:c r="B1612" s="26" t="n">
        <x:v>2026</x:v>
      </x:c>
      <x:c r="C1612" s="26" t="str">
        <x:v>42201728</x:v>
      </x:c>
      <x:c r="D1612" s="28" t="str">
        <x:v>Recurrent Copy Number Variants and Psychiatric Outcomes in the Context of Polygenic Scores.</x:v>
      </x:c>
      <x:c r="E1612" s="28" t="str">
        <x:v>Primary study - cohort</x:v>
      </x:c>
      <x:c r="F1612" s="28" t="str">
        <x:v>Development &amp; presentation; Recognition &amp; diagnosis; Social &amp; structural; Environmental &amp; lifestyle; Life outcomes &amp; lived experience</x:v>
      </x:c>
      <x:c r="G1612" s="28" t="str">
        <x:v>Not specified</x:v>
      </x:c>
      <x:c r="H1612" s="28" t="str">
        <x:v>Later specialized</x:v>
      </x:c>
      <x:c r="I1612" s="28" t="str">
        <x:v>Direct or strongly ADHD-related record retained for later screening; typically narrower treatment, biomarker, mechanistic, or single-comorbidity focus.</x:v>
      </x:c>
      <x:c r="J1612" s="38" t="e">
        <x:f>HYPERLINK("https://pubmed.ncbi.nlm.nih.gov/"&amp;C1612&amp;"/","Open PubMed")</x:f>
        <x:v>HYPERLINK is not implemented. linkLocation=https://pubmed.ncbi.nlm.nih.gov/42201728/, friendlyName=Open PubMed</x:v>
      </x:c>
    </x:row>
    <x:row r="1613">
      <x:c r="A1613" s="26" t="str">
        <x:v>PUBMED-42096966</x:v>
      </x:c>
      <x:c r="B1613" s="26" t="n">
        <x:v>2026</x:v>
      </x:c>
      <x:c r="C1613" s="26" t="str">
        <x:v>42096966</x:v>
      </x:c>
      <x:c r="D1613" s="28" t="str">
        <x:v>The influence of existing interventions on sleep of youth with attention-deficit/hyperactivity disorder: A meta-analysis of randomized controlled trials.</x:v>
      </x:c>
      <x:c r="E1613" s="28" t="str">
        <x:v>Evidence synthesis - meta-analysis</x:v>
      </x:c>
      <x:c r="F1613" s="28" t="str">
        <x:v>Development &amp; presentation; Social &amp; structural; Environmental &amp; lifestyle; Treatment &amp; support; Life outcomes &amp; lived experience</x:v>
      </x:c>
      <x:c r="G1613" s="28" t="str">
        <x:v>Childhood; Adolescence</x:v>
      </x:c>
      <x:c r="H1613" s="28" t="str">
        <x:v>Batch 1 core</x:v>
      </x:c>
      <x:c r="I1613" s="28" t="str">
        <x:v>Direct ADHD evidence synthesis/guideline with broad multi-topic relevance.</x:v>
      </x:c>
      <x:c r="J1613" s="38" t="e">
        <x:f>HYPERLINK("https://pubmed.ncbi.nlm.nih.gov/"&amp;C1613&amp;"/","Open PubMed")</x:f>
        <x:v>HYPERLINK is not implemented. linkLocation=https://pubmed.ncbi.nlm.nih.gov/42096966/, friendlyName=Open PubMed</x:v>
      </x:c>
    </x:row>
    <x:row r="1614">
      <x:c r="A1614" s="26" t="str">
        <x:v>PUBMED-42692449</x:v>
      </x:c>
      <x:c r="B1614" s="26" t="n">
        <x:v>2026</x:v>
      </x:c>
      <x:c r="C1614" s="26" t="str">
        <x:v>42692449</x:v>
      </x:c>
      <x:c r="D1614" s="28" t="str">
        <x:v>Medication initiation and optimisation in attention deficit hyperactivity disorder: A practical approach for general practice.</x:v>
      </x:c>
      <x:c r="E1614" s="28" t="str">
        <x:v>Primary/contextual journal article</x:v>
      </x:c>
      <x:c r="F1614" s="28" t="str">
        <x:v>Development &amp; presentation; Family &amp; education; Social &amp; structural; Treatment &amp; support; Life outcomes &amp; lived experience</x:v>
      </x:c>
      <x:c r="G1614" s="28" t="str">
        <x:v>Not specified</x:v>
      </x:c>
      <x:c r="H1614" s="28" t="str">
        <x:v>Later specialized</x:v>
      </x:c>
      <x:c r="I1614" s="28" t="str">
        <x:v>Direct or strongly ADHD-related record retained for later screening; typically narrower treatment, biomarker, mechanistic, or single-comorbidity focus.</x:v>
      </x:c>
      <x:c r="J1614" s="38" t="e">
        <x:f>HYPERLINK("https://pubmed.ncbi.nlm.nih.gov/"&amp;C1614&amp;"/","Open PubMed")</x:f>
        <x:v>HYPERLINK is not implemented. linkLocation=https://pubmed.ncbi.nlm.nih.gov/42692449/, friendlyName=Open PubMed</x:v>
      </x:c>
    </x:row>
    <x:row r="1615">
      <x:c r="A1615" s="26" t="str">
        <x:v>PUBMED-42425189</x:v>
      </x:c>
      <x:c r="B1615" s="26" t="n">
        <x:v>2026</x:v>
      </x:c>
      <x:c r="C1615" s="26" t="str">
        <x:v>42425189</x:v>
      </x:c>
      <x:c r="D1615" s="28" t="str">
        <x:v>The ratio of GABA/Glu as a biomarker in children with attention deficit hyperactivity disorder.</x:v>
      </x:c>
      <x:c r="E1615" s="28" t="str">
        <x:v>Primary/contextual journal article</x:v>
      </x:c>
      <x:c r="F1615" s="28" t="str">
        <x:v>Development &amp; presentation; Recognition &amp; diagnosis; Social &amp; structural; Treatment &amp; support</x:v>
      </x:c>
      <x:c r="G1615" s="28" t="str">
        <x:v>Childhood; Adolescence</x:v>
      </x:c>
      <x:c r="H1615" s="28" t="str">
        <x:v>Later specialized</x:v>
      </x:c>
      <x:c r="I1615" s="28" t="str">
        <x:v>Direct or strongly ADHD-related record retained for later screening; typically narrower treatment, biomarker, mechanistic, or single-comorbidity focus.</x:v>
      </x:c>
      <x:c r="J1615" s="38" t="e">
        <x:f>HYPERLINK("https://pubmed.ncbi.nlm.nih.gov/"&amp;C1615&amp;"/","Open PubMed")</x:f>
        <x:v>HYPERLINK is not implemented. linkLocation=https://pubmed.ncbi.nlm.nih.gov/42425189/, friendlyName=Open PubMed</x:v>
      </x:c>
    </x:row>
    <x:row r="1616">
      <x:c r="A1616" s="26" t="str">
        <x:v>PUBMED-42320343</x:v>
      </x:c>
      <x:c r="B1616" s="26" t="n">
        <x:v>2026</x:v>
      </x:c>
      <x:c r="C1616" s="26" t="str">
        <x:v>42320343</x:v>
      </x:c>
      <x:c r="D1616" s="28" t="str">
        <x:v>Attention deficit in children with developmental coordination disorder: evidence from resting state EEG.</x:v>
      </x:c>
      <x:c r="E1616" s="28" t="str">
        <x:v>Primary/contextual journal article</x:v>
      </x:c>
      <x:c r="F1616" s="28" t="str">
        <x:v>Development &amp; presentation; Social &amp; structural</x:v>
      </x:c>
      <x:c r="G1616" s="28" t="str">
        <x:v>Childhood</x:v>
      </x:c>
      <x:c r="H1616" s="28" t="str">
        <x:v>Later specialized</x:v>
      </x:c>
      <x:c r="I1616" s="28" t="str">
        <x:v>Direct or strongly ADHD-related record retained for later screening; typically narrower treatment, biomarker, mechanistic, or single-comorbidity focus.</x:v>
      </x:c>
      <x:c r="J1616" s="38" t="e">
        <x:f>HYPERLINK("https://pubmed.ncbi.nlm.nih.gov/"&amp;C1616&amp;"/","Open PubMed")</x:f>
        <x:v>HYPERLINK is not implemented. linkLocation=https://pubmed.ncbi.nlm.nih.gov/42320343/, friendlyName=Open PubMed</x:v>
      </x:c>
    </x:row>
    <x:row r="1617">
      <x:c r="A1617" s="26" t="str">
        <x:v>PUBMED-42555602</x:v>
      </x:c>
      <x:c r="B1617" s="26" t="n">
        <x:v>2026</x:v>
      </x:c>
      <x:c r="C1617" s="26" t="str">
        <x:v>42555602</x:v>
      </x:c>
      <x:c r="D1617" s="28" t="str">
        <x:v>Medication use, social determinants of health, and latent trajectories of functional outcomes in children with attention-deficit/hyperactivity disorder.</x:v>
      </x:c>
      <x:c r="E1617" s="28" t="str">
        <x:v>Primary study - cohort</x:v>
      </x:c>
      <x:c r="F1617" s="28" t="str">
        <x:v>Development &amp; presentation; Family &amp; education; Social &amp; structural; Treatment &amp; support; Life outcomes &amp; lived experience</x:v>
      </x:c>
      <x:c r="G1617" s="28" t="str">
        <x:v>Childhood; Adolescence</x:v>
      </x:c>
      <x:c r="H1617" s="28" t="str">
        <x:v>Later specialized</x:v>
      </x:c>
      <x:c r="I1617" s="28" t="str">
        <x:v>Direct or strongly ADHD-related record retained for later screening; typically narrower treatment, biomarker, mechanistic, or single-comorbidity focus.</x:v>
      </x:c>
      <x:c r="J1617" s="38" t="e">
        <x:f>HYPERLINK("https://pubmed.ncbi.nlm.nih.gov/"&amp;C1617&amp;"/","Open PubMed")</x:f>
        <x:v>HYPERLINK is not implemented. linkLocation=https://pubmed.ncbi.nlm.nih.gov/42555602/, friendlyName=Open PubMed</x:v>
      </x:c>
    </x:row>
    <x:row r="1618">
      <x:c r="A1618" s="26" t="str">
        <x:v>PUBMED-42095637</x:v>
      </x:c>
      <x:c r="B1618" s="26" t="n">
        <x:v>2026</x:v>
      </x:c>
      <x:c r="C1618" s="26" t="str">
        <x:v>42095637</x:v>
      </x:c>
      <x:c r="D1618" s="28" t="str">
        <x:v>Inattention in Pediatric Attention-Deficit/Hyperactivity Disorder and Anxiety: Neurophysiological Evidence for Distinct and Overlapping Cognitive Mechanisms.</x:v>
      </x:c>
      <x:c r="E1618" s="28" t="str">
        <x:v>Primary/contextual journal article</x:v>
      </x:c>
      <x:c r="F1618" s="28" t="str">
        <x:v>Development &amp; presentation; Recognition &amp; diagnosis; Social &amp; structural; Treatment &amp; support</x:v>
      </x:c>
      <x:c r="G1618" s="28" t="str">
        <x:v>Childhood</x:v>
      </x:c>
      <x:c r="H1618" s="28" t="str">
        <x:v>Later specialized</x:v>
      </x:c>
      <x:c r="I1618" s="28" t="str">
        <x:v>Direct or strongly ADHD-related record retained for later screening; typically narrower treatment, biomarker, mechanistic, or single-comorbidity focus.</x:v>
      </x:c>
      <x:c r="J1618" s="38" t="e">
        <x:f>HYPERLINK("https://pubmed.ncbi.nlm.nih.gov/"&amp;C1618&amp;"/","Open PubMed")</x:f>
        <x:v>HYPERLINK is not implemented. linkLocation=https://pubmed.ncbi.nlm.nih.gov/42095637/, friendlyName=Open PubMed</x:v>
      </x:c>
    </x:row>
    <x:row r="1619">
      <x:c r="A1619" s="26" t="str">
        <x:v>PUBMED-42320910</x:v>
      </x:c>
      <x:c r="B1619" s="26" t="n">
        <x:v>2026</x:v>
      </x:c>
      <x:c r="C1619" s="26" t="str">
        <x:v>42320910</x:v>
      </x:c>
      <x:c r="D1619" s="28" t="str">
        <x:v>Mood instability and mental health service use in autism and attention-deficit/hyperactivity disorder: a natural language processing analysis of CRIS electronic healthcare records from 21 906 children and adolescents.</x:v>
      </x:c>
      <x:c r="E1619" s="28" t="str">
        <x:v>Primary/contextual journal article</x:v>
      </x:c>
      <x:c r="F1619" s="28" t="str">
        <x:v>Development &amp; presentation; Recognition &amp; diagnosis; Family &amp; education; Social &amp; structural; Treatment &amp; support</x:v>
      </x:c>
      <x:c r="G1619" s="28" t="str">
        <x:v>Childhood; Adolescence; Adulthood</x:v>
      </x:c>
      <x:c r="H1619" s="28" t="str">
        <x:v>Later specialized</x:v>
      </x:c>
      <x:c r="I1619" s="28" t="str">
        <x:v>Direct or strongly ADHD-related record retained for later screening; typically narrower treatment, biomarker, mechanistic, or single-comorbidity focus.</x:v>
      </x:c>
      <x:c r="J1619" s="38" t="e">
        <x:f>HYPERLINK("https://pubmed.ncbi.nlm.nih.gov/"&amp;C1619&amp;"/","Open PubMed")</x:f>
        <x:v>HYPERLINK is not implemented. linkLocation=https://pubmed.ncbi.nlm.nih.gov/42320910/, friendlyName=Open PubMed</x:v>
      </x:c>
    </x:row>
    <x:row r="1620">
      <x:c r="A1620" s="26" t="str">
        <x:v>PUBMED-42152730</x:v>
      </x:c>
      <x:c r="B1620" s="26" t="n">
        <x:v>2026</x:v>
      </x:c>
      <x:c r="C1620" s="26" t="str">
        <x:v>42152730</x:v>
      </x:c>
      <x:c r="D1620" s="28" t="str">
        <x:v>Methodological provocations for detecting context-dependent ADHD-risk coupling: a commentary on Goueta et al. (2025).</x:v>
      </x:c>
      <x:c r="E1620" s="28" t="str">
        <x:v>Contextual - editorial/comment</x:v>
      </x:c>
      <x:c r="F1620" s="28" t="str">
        <x:v>Development &amp; presentation; Recognition &amp; diagnosis; Family &amp; education; Social &amp; structural; Environmental &amp; lifestyle; Treatment &amp; support</x:v>
      </x:c>
      <x:c r="G1620" s="28" t="str">
        <x:v>Adolescence</x:v>
      </x:c>
      <x:c r="H1620" s="28" t="str">
        <x:v>Later specialized</x:v>
      </x:c>
      <x:c r="I1620" s="28" t="str">
        <x:v>Direct or strongly ADHD-related record retained for later screening; typically narrower treatment, biomarker, mechanistic, or single-comorbidity focus.</x:v>
      </x:c>
      <x:c r="J1620" s="38" t="e">
        <x:f>HYPERLINK("https://pubmed.ncbi.nlm.nih.gov/"&amp;C1620&amp;"/","Open PubMed")</x:f>
        <x:v>HYPERLINK is not implemented. linkLocation=https://pubmed.ncbi.nlm.nih.gov/42152730/, friendlyName=Open PubMed</x:v>
      </x:c>
    </x:row>
    <x:row r="1621">
      <x:c r="A1621" s="26" t="str">
        <x:v>PUBMED-42668354</x:v>
      </x:c>
      <x:c r="B1621" s="26" t="n">
        <x:v>2026</x:v>
      </x:c>
      <x:c r="C1621" s="26" t="str">
        <x:v>42668354</x:v>
      </x:c>
      <x:c r="D1621" s="28" t="str">
        <x:v>Oral health status and associated influencing factors in children with attention-deficit/hyperactivity disorder: a case-control study.</x:v>
      </x:c>
      <x:c r="E1621" s="28" t="str">
        <x:v>Primary study - cohort</x:v>
      </x:c>
      <x:c r="F1621" s="28" t="str">
        <x:v>Development &amp; presentation; Family &amp; education; Social &amp; structural; Environmental &amp; lifestyle; Treatment &amp; support; Life outcomes &amp; lived experience</x:v>
      </x:c>
      <x:c r="G1621" s="28" t="str">
        <x:v>Childhood</x:v>
      </x:c>
      <x:c r="H1621" s="28" t="str">
        <x:v>Later specialized</x:v>
      </x:c>
      <x:c r="I1621" s="28" t="str">
        <x:v>Direct or strongly ADHD-related record retained for later screening; typically narrower treatment, biomarker, mechanistic, or single-comorbidity focus.</x:v>
      </x:c>
      <x:c r="J1621" s="38" t="e">
        <x:f>HYPERLINK("https://pubmed.ncbi.nlm.nih.gov/"&amp;C1621&amp;"/","Open PubMed")</x:f>
        <x:v>HYPERLINK is not implemented. linkLocation=https://pubmed.ncbi.nlm.nih.gov/42668354/, friendlyName=Open PubMed</x:v>
      </x:c>
    </x:row>
    <x:row r="1622">
      <x:c r="A1622" s="26" t="str">
        <x:v>PUBMED-42061731</x:v>
      </x:c>
      <x:c r="B1622" s="26" t="n">
        <x:v>2026</x:v>
      </x:c>
      <x:c r="C1622" s="26" t="str">
        <x:v>42061731</x:v>
      </x:c>
      <x:c r="D1622" s="28" t="str">
        <x:v>Attention-Deficit/Hyperactivity Disorder in Childhood and Criminal Justice Involvement in Young Adulthood: A Prospective U.S. Cohort Study.</x:v>
      </x:c>
      <x:c r="E1622" s="28" t="str">
        <x:v>Primary study - cohort</x:v>
      </x:c>
      <x:c r="F1622" s="28" t="str">
        <x:v>Development &amp; presentation; Recognition &amp; diagnosis; Social &amp; structural; Environmental &amp; lifestyle; Treatment &amp; support; Life outcomes &amp; lived experience</x:v>
      </x:c>
      <x:c r="G1622" s="28" t="str">
        <x:v>Childhood; Adolescence; Adulthood</x:v>
      </x:c>
      <x:c r="H1622" s="28" t="str">
        <x:v>Later specialized</x:v>
      </x:c>
      <x:c r="I1622" s="28" t="str">
        <x:v>Direct or strongly ADHD-related record retained for later screening; typically narrower treatment, biomarker, mechanistic, or single-comorbidity focus.</x:v>
      </x:c>
      <x:c r="J1622" s="38" t="e">
        <x:f>HYPERLINK("https://pubmed.ncbi.nlm.nih.gov/"&amp;C1622&amp;"/","Open PubMed")</x:f>
        <x:v>HYPERLINK is not implemented. linkLocation=https://pubmed.ncbi.nlm.nih.gov/42061731/, friendlyName=Open PubMed</x:v>
      </x:c>
    </x:row>
    <x:row r="1623">
      <x:c r="A1623" s="26" t="str">
        <x:v>PUBMED-42189103</x:v>
      </x:c>
      <x:c r="B1623" s="26" t="n">
        <x:v>2026</x:v>
      </x:c>
      <x:c r="C1623" s="26" t="str">
        <x:v>42189103</x:v>
      </x:c>
      <x:c r="D1623" s="28" t="str">
        <x:v>Happiness and Attention Deficit/Hyperactivity Disorder Symptoms as Mediated by Subjective Health Conditions: A Nationwide Cross-Sectional Internet Survey.</x:v>
      </x:c>
      <x:c r="E1623" s="28" t="str">
        <x:v>Primary study - cross-sectional</x:v>
      </x:c>
      <x:c r="F1623" s="28" t="str">
        <x:v>Development &amp; presentation; Recognition &amp; diagnosis; Environmental &amp; lifestyle; Treatment &amp; support; Life outcomes &amp; lived experience</x:v>
      </x:c>
      <x:c r="G1623" s="28" t="str">
        <x:v>Adolescence; Adulthood</x:v>
      </x:c>
      <x:c r="H1623" s="28" t="str">
        <x:v>Later specialized</x:v>
      </x:c>
      <x:c r="I1623" s="28" t="str">
        <x:v>Direct or strongly ADHD-related record retained for later screening; typically narrower treatment, biomarker, mechanistic, or single-comorbidity focus.</x:v>
      </x:c>
      <x:c r="J1623" s="38" t="e">
        <x:f>HYPERLINK("https://pubmed.ncbi.nlm.nih.gov/"&amp;C1623&amp;"/","Open PubMed")</x:f>
        <x:v>HYPERLINK is not implemented. linkLocation=https://pubmed.ncbi.nlm.nih.gov/42189103/, friendlyName=Open PubMed</x:v>
      </x:c>
    </x:row>
    <x:row r="1624">
      <x:c r="A1624" s="26" t="str">
        <x:v>PUBMED-41955613</x:v>
      </x:c>
      <x:c r="B1624" s="26" t="n">
        <x:v>2026</x:v>
      </x:c>
      <x:c r="C1624" s="26" t="str">
        <x:v>41955613</x:v>
      </x:c>
      <x:c r="D1624" s="28" t="str">
        <x:v>Evaluating Public Sentiment on Attention-Deficit/Hyperactivity Disorder and Autism Spectrum Disorder Compared With Other Mental Health Disorders From Posts on X (Formerly Known as Twitter): Longitudinal Analysis.</x:v>
      </x:c>
      <x:c r="E1624" s="28" t="str">
        <x:v>Primary/contextual journal article</x:v>
      </x:c>
      <x:c r="F1624" s="28" t="str">
        <x:v>Development &amp; presentation; Family &amp; education; Social &amp; structural; Environmental &amp; lifestyle; Treatment &amp; support; Life outcomes &amp; lived experience; Historical &amp; contemporary context</x:v>
      </x:c>
      <x:c r="G1624" s="28" t="str">
        <x:v>Not specified</x:v>
      </x:c>
      <x:c r="H1624" s="28" t="str">
        <x:v>Later specialized</x:v>
      </x:c>
      <x:c r="I1624" s="28" t="str">
        <x:v>Direct or strongly ADHD-related record retained for later screening; typically narrower treatment, biomarker, mechanistic, or single-comorbidity focus.</x:v>
      </x:c>
      <x:c r="J1624" s="38" t="e">
        <x:f>HYPERLINK("https://pubmed.ncbi.nlm.nih.gov/"&amp;C1624&amp;"/","Open PubMed")</x:f>
        <x:v>HYPERLINK is not implemented. linkLocation=https://pubmed.ncbi.nlm.nih.gov/41955613/, friendlyName=Open PubMed</x:v>
      </x:c>
    </x:row>
    <x:row r="1625">
      <x:c r="A1625" s="26" t="str">
        <x:v>PUBMED-42392681</x:v>
      </x:c>
      <x:c r="B1625" s="26" t="n">
        <x:v>2026</x:v>
      </x:c>
      <x:c r="C1625" s="26" t="str">
        <x:v>42392681</x:v>
      </x:c>
      <x:c r="D1625" s="28" t="str">
        <x:v>Psychiatric and neurological predictors of early ADHD medication discontinuation across the lifespan: a multinational study.</x:v>
      </x:c>
      <x:c r="E1625" s="28" t="str">
        <x:v>Primary/contextual journal article</x:v>
      </x:c>
      <x:c r="F1625" s="28" t="str">
        <x:v>Development &amp; presentation; Social &amp; structural; Treatment &amp; support; Life outcomes &amp; lived experience</x:v>
      </x:c>
      <x:c r="G1625" s="28" t="str">
        <x:v>Childhood; Adolescence; Adulthood</x:v>
      </x:c>
      <x:c r="H1625" s="28" t="str">
        <x:v>Later specialized</x:v>
      </x:c>
      <x:c r="I1625" s="28" t="str">
        <x:v>Direct or strongly ADHD-related record retained for later screening; typically narrower treatment, biomarker, mechanistic, or single-comorbidity focus.</x:v>
      </x:c>
      <x:c r="J1625" s="38" t="e">
        <x:f>HYPERLINK("https://pubmed.ncbi.nlm.nih.gov/"&amp;C1625&amp;"/","Open PubMed")</x:f>
        <x:v>HYPERLINK is not implemented. linkLocation=https://pubmed.ncbi.nlm.nih.gov/42392681/, friendlyName=Open PubMed</x:v>
      </x:c>
    </x:row>
    <x:row r="1626">
      <x:c r="A1626" s="26" t="str">
        <x:v>PUBMED-42175348</x:v>
      </x:c>
      <x:c r="B1626" s="26" t="n">
        <x:v>2026</x:v>
      </x:c>
      <x:c r="C1626" s="26" t="str">
        <x:v>42175348</x:v>
      </x:c>
      <x:c r="D1626" s="28" t="str">
        <x:v>Emerging Digital Interventions for ADHD: An Overview of Ongoing Clinical Trials.</x:v>
      </x:c>
      <x:c r="E1626" s="28" t="str">
        <x:v>Evidence synthesis - review</x:v>
      </x:c>
      <x:c r="F1626" s="28" t="str">
        <x:v>Development &amp; presentation; Recognition &amp; diagnosis; Family &amp; education; Social &amp; structural; Environmental &amp; lifestyle; Treatment &amp; support; Life outcomes &amp; lived experience</x:v>
      </x:c>
      <x:c r="G1626" s="28" t="str">
        <x:v>Childhood; Adulthood</x:v>
      </x:c>
      <x:c r="H1626" s="28" t="str">
        <x:v>Batch 1 core</x:v>
      </x:c>
      <x:c r="I1626" s="28" t="str">
        <x:v>Direct ADHD evidence synthesis/guideline with broad multi-topic relevance.</x:v>
      </x:c>
      <x:c r="J1626" s="38" t="e">
        <x:f>HYPERLINK("https://pubmed.ncbi.nlm.nih.gov/"&amp;C1626&amp;"/","Open PubMed")</x:f>
        <x:v>HYPERLINK is not implemented. linkLocation=https://pubmed.ncbi.nlm.nih.gov/42175348/, friendlyName=Open PubMed</x:v>
      </x:c>
    </x:row>
    <x:row r="1627">
      <x:c r="A1627" s="26" t="str">
        <x:v>PUBMED-42413922</x:v>
      </x:c>
      <x:c r="B1627" s="26" t="n">
        <x:v>2026</x:v>
      </x:c>
      <x:c r="C1627" s="26" t="str">
        <x:v>42413922</x:v>
      </x:c>
      <x:c r="D1627" s="28" t="str">
        <x:v>Turkish Adaptation of the School Participation Questionnaire (T-SPQ) and Investigation of Validity, Reliability and Clinical Compatibility in Children With Attention-Deficit/Hyperactivity Disorder.</x:v>
      </x:c>
      <x:c r="E1627" s="28" t="str">
        <x:v>Primary/contextual journal article</x:v>
      </x:c>
      <x:c r="F1627" s="28" t="str">
        <x:v>Development &amp; presentation; Recognition &amp; diagnosis; Family &amp; education; Social &amp; structural; Environmental &amp; lifestyle; Treatment &amp; support; Life outcomes &amp; lived experience</x:v>
      </x:c>
      <x:c r="G1627" s="28" t="str">
        <x:v>Childhood</x:v>
      </x:c>
      <x:c r="H1627" s="28" t="str">
        <x:v>Later specialized</x:v>
      </x:c>
      <x:c r="I1627" s="28" t="str">
        <x:v>Direct or strongly ADHD-related record retained for later screening; typically narrower treatment, biomarker, mechanistic, or single-comorbidity focus.</x:v>
      </x:c>
      <x:c r="J1627" s="38" t="e">
        <x:f>HYPERLINK("https://pubmed.ncbi.nlm.nih.gov/"&amp;C1627&amp;"/","Open PubMed")</x:f>
        <x:v>HYPERLINK is not implemented. linkLocation=https://pubmed.ncbi.nlm.nih.gov/42413922/, friendlyName=Open PubMed</x:v>
      </x:c>
    </x:row>
    <x:row r="1628">
      <x:c r="A1628" s="26" t="str">
        <x:v>PUBMED-42373174</x:v>
      </x:c>
      <x:c r="B1628" s="26" t="n">
        <x:v>2026</x:v>
      </x:c>
      <x:c r="C1628" s="26" t="str">
        <x:v>42373174</x:v>
      </x:c>
      <x:c r="D1628" s="28" t="str">
        <x:v>Psychosocial experiences of adults living with attention-deficit/hyperactivity disorder: a qualitative systematic review protocol.</x:v>
      </x:c>
      <x:c r="E1628" s="28" t="str">
        <x:v>Evidence synthesis - systematic review</x:v>
      </x:c>
      <x:c r="F1628" s="28" t="str">
        <x:v>Development &amp; presentation; Recognition &amp; diagnosis; Family &amp; education; Social &amp; structural; Environmental &amp; lifestyle; Treatment &amp; support; Life outcomes &amp; lived experience</x:v>
      </x:c>
      <x:c r="G1628" s="28" t="str">
        <x:v>Adulthood</x:v>
      </x:c>
      <x:c r="H1628" s="28" t="str">
        <x:v>Batch 1 core</x:v>
      </x:c>
      <x:c r="I1628" s="28" t="str">
        <x:v>Direct ADHD evidence synthesis/guideline with broad multi-topic relevance.</x:v>
      </x:c>
      <x:c r="J1628" s="38" t="e">
        <x:f>HYPERLINK("https://pubmed.ncbi.nlm.nih.gov/"&amp;C1628&amp;"/","Open PubMed")</x:f>
        <x:v>HYPERLINK is not implemented. linkLocation=https://pubmed.ncbi.nlm.nih.gov/42373174/, friendlyName=Open PubMed</x:v>
      </x:c>
    </x:row>
    <x:row r="1629">
      <x:c r="A1629" s="26" t="str">
        <x:v>PUBMED-42659551</x:v>
      </x:c>
      <x:c r="B1629" s="26" t="n">
        <x:v>2026</x:v>
      </x:c>
      <x:c r="C1629" s="26" t="str">
        <x:v>42659551</x:v>
      </x:c>
      <x:c r="D1629" s="28" t="str">
        <x:v>[Impact of emotional dysregulation on Attention Deficit Hyperactivity Disorder].</x:v>
      </x:c>
      <x:c r="E1629" s="28" t="str">
        <x:v>Evidence synthesis - review</x:v>
      </x:c>
      <x:c r="F1629" s="28" t="str">
        <x:v>Development &amp; presentation; Recognition &amp; diagnosis; Social &amp; structural; Environmental &amp; lifestyle; Treatment &amp; support; Life outcomes &amp; lived experience</x:v>
      </x:c>
      <x:c r="G1629" s="28" t="str">
        <x:v>Childhood</x:v>
      </x:c>
      <x:c r="H1629" s="28" t="str">
        <x:v>Later specialized</x:v>
      </x:c>
      <x:c r="I1629" s="28" t="str">
        <x:v>Direct or strongly ADHD-related record retained for later screening; typically narrower treatment, biomarker, mechanistic, or single-comorbidity focus.</x:v>
      </x:c>
      <x:c r="J1629" s="38" t="e">
        <x:f>HYPERLINK("https://pubmed.ncbi.nlm.nih.gov/"&amp;C1629&amp;"/","Open PubMed")</x:f>
        <x:v>HYPERLINK is not implemented. linkLocation=https://pubmed.ncbi.nlm.nih.gov/42659551/, friendlyName=Open PubMed</x:v>
      </x:c>
    </x:row>
    <x:row r="1630">
      <x:c r="A1630" s="26" t="str">
        <x:v>PUBMED-42133425</x:v>
      </x:c>
      <x:c r="B1630" s="26" t="n">
        <x:v>2026</x:v>
      </x:c>
      <x:c r="C1630" s="26" t="str">
        <x:v>42133425</x:v>
      </x:c>
      <x:c r="D1630" s="28" t="str">
        <x:v>[Consensus of the International Interdisciplinary Expert Council on the treatment of comorbidities in pediatric ADHD].</x:v>
      </x:c>
      <x:c r="E1630" s="28" t="str">
        <x:v>Primary/contextual journal article</x:v>
      </x:c>
      <x:c r="F1630" s="28" t="str">
        <x:v>Development &amp; presentation; Family &amp; education; Social &amp; structural; Environmental &amp; lifestyle; Treatment &amp; support</x:v>
      </x:c>
      <x:c r="G1630" s="28" t="str">
        <x:v>Childhood</x:v>
      </x:c>
      <x:c r="H1630" s="28" t="str">
        <x:v>Later specialized</x:v>
      </x:c>
      <x:c r="I1630" s="28" t="str">
        <x:v>Direct or strongly ADHD-related record retained for later screening; typically narrower treatment, biomarker, mechanistic, or single-comorbidity focus.</x:v>
      </x:c>
      <x:c r="J1630" s="38" t="e">
        <x:f>HYPERLINK("https://pubmed.ncbi.nlm.nih.gov/"&amp;C1630&amp;"/","Open PubMed")</x:f>
        <x:v>HYPERLINK is not implemented. linkLocation=https://pubmed.ncbi.nlm.nih.gov/42133425/, friendlyName=Open PubMed</x:v>
      </x:c>
    </x:row>
    <x:row r="1631">
      <x:c r="A1631" s="26" t="str">
        <x:v>PUBMED-42430259</x:v>
      </x:c>
      <x:c r="B1631" s="26" t="n">
        <x:v>2026</x:v>
      </x:c>
      <x:c r="C1631" s="26" t="str">
        <x:v>42430259</x:v>
      </x:c>
      <x:c r="D1631" s="28" t="str">
        <x:v>Passive Social Media Use Is Associated with Social Withdrawal ("Hikikomori") Vulnerability in Autistic and Attention Deficit and Hyperactivity Disorder Young Adults.</x:v>
      </x:c>
      <x:c r="E1631" s="28" t="str">
        <x:v>Primary/contextual journal article</x:v>
      </x:c>
      <x:c r="F1631" s="28" t="str">
        <x:v>Development &amp; presentation; Recognition &amp; diagnosis; Social &amp; structural; Environmental &amp; lifestyle; Historical &amp; contemporary context</x:v>
      </x:c>
      <x:c r="G1631" s="28" t="str">
        <x:v>Adolescence; Adulthood</x:v>
      </x:c>
      <x:c r="H1631" s="28" t="str">
        <x:v>Later specialized</x:v>
      </x:c>
      <x:c r="I1631" s="28" t="str">
        <x:v>Direct or strongly ADHD-related record retained for later screening; typically narrower treatment, biomarker, mechanistic, or single-comorbidity focus.</x:v>
      </x:c>
      <x:c r="J1631" s="38" t="e">
        <x:f>HYPERLINK("https://pubmed.ncbi.nlm.nih.gov/"&amp;C1631&amp;"/","Open PubMed")</x:f>
        <x:v>HYPERLINK is not implemented. linkLocation=https://pubmed.ncbi.nlm.nih.gov/42430259/, friendlyName=Open PubMed</x:v>
      </x:c>
    </x:row>
    <x:row r="1632">
      <x:c r="A1632" s="26" t="str">
        <x:v>PUBMED-42543801</x:v>
      </x:c>
      <x:c r="B1632" s="26" t="n">
        <x:v>2026</x:v>
      </x:c>
      <x:c r="C1632" s="26" t="str">
        <x:v>42543801</x:v>
      </x:c>
      <x:c r="D1632" s="28" t="str">
        <x:v>Gut Microbiome and ADHD: A Narrative Review of Clinical Evidence and Practice Implications.</x:v>
      </x:c>
      <x:c r="E1632" s="28" t="str">
        <x:v>Evidence synthesis - review</x:v>
      </x:c>
      <x:c r="F1632" s="28" t="str">
        <x:v>Development &amp; presentation; Social &amp; structural; Environmental &amp; lifestyle; Treatment &amp; support</x:v>
      </x:c>
      <x:c r="G1632" s="28" t="str">
        <x:v>Childhood; Adulthood</x:v>
      </x:c>
      <x:c r="H1632" s="28" t="str">
        <x:v>Batch 1 core</x:v>
      </x:c>
      <x:c r="I1632" s="28" t="str">
        <x:v>Direct ADHD evidence synthesis/guideline with broad multi-topic relevance.</x:v>
      </x:c>
      <x:c r="J1632" s="38" t="e">
        <x:f>HYPERLINK("https://pubmed.ncbi.nlm.nih.gov/"&amp;C1632&amp;"/","Open PubMed")</x:f>
        <x:v>HYPERLINK is not implemented. linkLocation=https://pubmed.ncbi.nlm.nih.gov/42543801/, friendlyName=Open PubMed</x:v>
      </x:c>
    </x:row>
    <x:row r="1633">
      <x:c r="A1633" s="26" t="str">
        <x:v>PUBMED-42687249</x:v>
      </x:c>
      <x:c r="B1633" s="26" t="n">
        <x:v>2026</x:v>
      </x:c>
      <x:c r="C1633" s="26" t="str">
        <x:v>42687249</x:v>
      </x:c>
      <x:c r="D1633" s="28" t="str">
        <x:v>Important Health Care Components to Promote Sexual and Reproductive Health Among Young Women With Attention-Deficit/Hyperactivity Disorder: A Delphi Study.</x:v>
      </x:c>
      <x:c r="E1633" s="28" t="str">
        <x:v>Primary/contextual journal article</x:v>
      </x:c>
      <x:c r="F1633" s="28" t="str">
        <x:v>Development &amp; presentation; Family &amp; education; Social &amp; structural; Life outcomes &amp; lived experience</x:v>
      </x:c>
      <x:c r="G1633" s="28" t="str">
        <x:v>Adulthood</x:v>
      </x:c>
      <x:c r="H1633" s="28" t="str">
        <x:v>Later specialized</x:v>
      </x:c>
      <x:c r="I1633" s="28" t="str">
        <x:v>Direct or strongly ADHD-related record retained for later screening; typically narrower treatment, biomarker, mechanistic, or single-comorbidity focus.</x:v>
      </x:c>
      <x:c r="J1633" s="38" t="e">
        <x:f>HYPERLINK("https://pubmed.ncbi.nlm.nih.gov/"&amp;C1633&amp;"/","Open PubMed")</x:f>
        <x:v>HYPERLINK is not implemented. linkLocation=https://pubmed.ncbi.nlm.nih.gov/42687249/, friendlyName=Open PubMed</x:v>
      </x:c>
    </x:row>
    <x:row r="1634">
      <x:c r="A1634" s="26" t="str">
        <x:v>PUBMED-42696185</x:v>
      </x:c>
      <x:c r="B1634" s="26" t="n">
        <x:v>2026</x:v>
      </x:c>
      <x:c r="C1634" s="26" t="str">
        <x:v>42696185</x:v>
      </x:c>
      <x:c r="D1634" s="28" t="str">
        <x:v>Nutritional Problems in Neurodevelopmental Disorders: A Narrative Review.</x:v>
      </x:c>
      <x:c r="E1634" s="28" t="str">
        <x:v>Evidence synthesis - review</x:v>
      </x:c>
      <x:c r="F1634" s="28" t="str">
        <x:v>Development &amp; presentation; Recognition &amp; diagnosis; Family &amp; education; Social &amp; structural; Environmental &amp; lifestyle; Treatment &amp; support</x:v>
      </x:c>
      <x:c r="G1634" s="28" t="str">
        <x:v>Childhood</x:v>
      </x:c>
      <x:c r="H1634" s="28" t="str">
        <x:v>Later specialized</x:v>
      </x:c>
      <x:c r="I1634" s="28" t="str">
        <x:v>Direct or strongly ADHD-related record retained for later screening; typically narrower treatment, biomarker, mechanistic, or single-comorbidity focus.</x:v>
      </x:c>
      <x:c r="J1634" s="38" t="e">
        <x:f>HYPERLINK("https://pubmed.ncbi.nlm.nih.gov/"&amp;C1634&amp;"/","Open PubMed")</x:f>
        <x:v>HYPERLINK is not implemented. linkLocation=https://pubmed.ncbi.nlm.nih.gov/42696185/, friendlyName=Open PubMed</x:v>
      </x:c>
    </x:row>
    <x:row r="1635">
      <x:c r="A1635" s="26" t="str">
        <x:v>PUBMED-42113051</x:v>
      </x:c>
      <x:c r="B1635" s="26" t="n">
        <x:v>2026</x:v>
      </x:c>
      <x:c r="C1635" s="26" t="str">
        <x:v>42113051</x:v>
      </x:c>
      <x:c r="D1635" s="28" t="str">
        <x:v>Early-life factors associated with developmental trajectories of internalizing and externalizing symptoms from early childhood through adolescence: Rhea mother-child cohort in Crete, Greece.</x:v>
      </x:c>
      <x:c r="E1635" s="28" t="str">
        <x:v>Primary study - cohort</x:v>
      </x:c>
      <x:c r="F1635" s="28" t="str">
        <x:v>Development &amp; presentation; Recognition &amp; diagnosis; Family &amp; education; Social &amp; structural; Environmental &amp; lifestyle; Treatment &amp; support; Life outcomes &amp; lived experience</x:v>
      </x:c>
      <x:c r="G1635" s="28" t="str">
        <x:v>Childhood; Adolescence</x:v>
      </x:c>
      <x:c r="H1635" s="28" t="str">
        <x:v>Later specialized</x:v>
      </x:c>
      <x:c r="I1635" s="28" t="str">
        <x:v>Direct or strongly ADHD-related record retained for later screening; typically narrower treatment, biomarker, mechanistic, or single-comorbidity focus.</x:v>
      </x:c>
      <x:c r="J1635" s="38" t="e">
        <x:f>HYPERLINK("https://pubmed.ncbi.nlm.nih.gov/"&amp;C1635&amp;"/","Open PubMed")</x:f>
        <x:v>HYPERLINK is not implemented. linkLocation=https://pubmed.ncbi.nlm.nih.gov/42113051/, friendlyName=Open PubMed</x:v>
      </x:c>
    </x:row>
    <x:row r="1636">
      <x:c r="A1636" s="26" t="str">
        <x:v>PUBMED-42229701</x:v>
      </x:c>
      <x:c r="B1636" s="26" t="n">
        <x:v>2026</x:v>
      </x:c>
      <x:c r="C1636" s="26" t="str">
        <x:v>42229701</x:v>
      </x:c>
      <x:c r="D1636" s="28" t="str">
        <x:v>Systemic oxidative stress in children and adolescents with attention deficit hyperactivity disorder: a meta-analysis of oxidative and antioxidant biomarkers.</x:v>
      </x:c>
      <x:c r="E1636" s="28" t="str">
        <x:v>Evidence synthesis - meta-analysis</x:v>
      </x:c>
      <x:c r="F1636" s="28" t="str">
        <x:v>Development &amp; presentation; Environmental &amp; lifestyle</x:v>
      </x:c>
      <x:c r="G1636" s="28" t="str">
        <x:v>Childhood; Adolescence</x:v>
      </x:c>
      <x:c r="H1636" s="28" t="str">
        <x:v>Later specialized</x:v>
      </x:c>
      <x:c r="I1636" s="28" t="str">
        <x:v>Direct or strongly ADHD-related record retained for later screening; typically narrower treatment, biomarker, mechanistic, or single-comorbidity focus.</x:v>
      </x:c>
      <x:c r="J1636" s="38" t="e">
        <x:f>HYPERLINK("https://pubmed.ncbi.nlm.nih.gov/"&amp;C1636&amp;"/","Open PubMed")</x:f>
        <x:v>HYPERLINK is not implemented. linkLocation=https://pubmed.ncbi.nlm.nih.gov/42229701/, friendlyName=Open PubMed</x:v>
      </x:c>
    </x:row>
    <x:row r="1637">
      <x:c r="A1637" s="26" t="str">
        <x:v>PUBMED-42687261</x:v>
      </x:c>
      <x:c r="B1637" s="26" t="n">
        <x:v>2026</x:v>
      </x:c>
      <x:c r="C1637" s="26" t="str">
        <x:v>42687261</x:v>
      </x:c>
      <x:c r="D1637" s="28" t="str">
        <x:v>[The Relationship between Physical Activity, Growth, Diagnosis, and Treatment in Children with Attention-Deficit/Hyperactivity Disorder].</x:v>
      </x:c>
      <x:c r="E1637" s="28" t="str">
        <x:v>Evidence synthesis - review</x:v>
      </x:c>
      <x:c r="F1637" s="28" t="str">
        <x:v>Development &amp; presentation; Recognition &amp; diagnosis; Social &amp; structural; Environmental &amp; lifestyle; Treatment &amp; support; Life outcomes &amp; lived experience</x:v>
      </x:c>
      <x:c r="G1637" s="28" t="str">
        <x:v>Childhood</x:v>
      </x:c>
      <x:c r="H1637" s="28" t="str">
        <x:v>Later specialized</x:v>
      </x:c>
      <x:c r="I1637" s="28" t="str">
        <x:v>Direct or strongly ADHD-related record retained for later screening; typically narrower treatment, biomarker, mechanistic, or single-comorbidity focus.</x:v>
      </x:c>
      <x:c r="J1637" s="38" t="e">
        <x:f>HYPERLINK("https://pubmed.ncbi.nlm.nih.gov/"&amp;C1637&amp;"/","Open PubMed")</x:f>
        <x:v>HYPERLINK is not implemented. linkLocation=https://pubmed.ncbi.nlm.nih.gov/42687261/, friendlyName=Open PubMed</x:v>
      </x:c>
    </x:row>
    <x:row r="1638">
      <x:c r="A1638" s="26" t="str">
        <x:v>PUBMED-42462051</x:v>
      </x:c>
      <x:c r="B1638" s="26" t="n">
        <x:v>2026</x:v>
      </x:c>
      <x:c r="C1638" s="26" t="str">
        <x:v>42462051</x:v>
      </x:c>
      <x:c r="D1638" s="28" t="str">
        <x:v>Consensus Statement on Digital Health and Attention-Deficit/Hyperactivity Disorder by the European Network for ADHD (EUNETHYDIS): Modified Delphi Study.</x:v>
      </x:c>
      <x:c r="E1638" s="28" t="str">
        <x:v>Primary/contextual journal article</x:v>
      </x:c>
      <x:c r="F1638" s="28" t="str">
        <x:v>Development &amp; presentation; Social &amp; structural; Treatment &amp; support; Life outcomes &amp; lived experience</x:v>
      </x:c>
      <x:c r="G1638" s="28" t="str">
        <x:v>Not specified</x:v>
      </x:c>
      <x:c r="H1638" s="28" t="str">
        <x:v>Later specialized</x:v>
      </x:c>
      <x:c r="I1638" s="28" t="str">
        <x:v>Direct or strongly ADHD-related record retained for later screening; typically narrower treatment, biomarker, mechanistic, or single-comorbidity focus.</x:v>
      </x:c>
      <x:c r="J1638" s="38" t="e">
        <x:f>HYPERLINK("https://pubmed.ncbi.nlm.nih.gov/"&amp;C1638&amp;"/","Open PubMed")</x:f>
        <x:v>HYPERLINK is not implemented. linkLocation=https://pubmed.ncbi.nlm.nih.gov/42462051/, friendlyName=Open PubMed</x:v>
      </x:c>
    </x:row>
    <x:row r="1639">
      <x:c r="A1639" s="26" t="str">
        <x:v>PUBMED-42692446</x:v>
      </x:c>
      <x:c r="B1639" s="26" t="n">
        <x:v>2026</x:v>
      </x:c>
      <x:c r="C1639" s="26" t="str">
        <x:v>42692446</x:v>
      </x:c>
      <x:c r="D1639" s="28" t="str">
        <x:v>Balancing care with compliance: Medicolegal issues for general practitioners treating attention deficit hyperactivity disorder.</x:v>
      </x:c>
      <x:c r="E1639" s="28" t="str">
        <x:v>Primary/contextual journal article</x:v>
      </x:c>
      <x:c r="F1639" s="28" t="str">
        <x:v>Development &amp; presentation; Recognition &amp; diagnosis; Family &amp; education; Social &amp; structural; Environmental &amp; lifestyle; Treatment &amp; support; Historical &amp; contemporary context</x:v>
      </x:c>
      <x:c r="G1639" s="28" t="str">
        <x:v>Childhood; Adulthood</x:v>
      </x:c>
      <x:c r="H1639" s="28" t="str">
        <x:v>Later specialized</x:v>
      </x:c>
      <x:c r="I1639" s="28" t="str">
        <x:v>Direct or strongly ADHD-related record retained for later screening; typically narrower treatment, biomarker, mechanistic, or single-comorbidity focus.</x:v>
      </x:c>
      <x:c r="J1639" s="38" t="e">
        <x:f>HYPERLINK("https://pubmed.ncbi.nlm.nih.gov/"&amp;C1639&amp;"/","Open PubMed")</x:f>
        <x:v>HYPERLINK is not implemented. linkLocation=https://pubmed.ncbi.nlm.nih.gov/42692446/, friendlyName=Open PubMed</x:v>
      </x:c>
    </x:row>
    <x:row r="1640">
      <x:c r="A1640" s="26" t="str">
        <x:v>PUBMED-42331561</x:v>
      </x:c>
      <x:c r="B1640" s="26" t="n">
        <x:v>2026</x:v>
      </x:c>
      <x:c r="C1640" s="26" t="str">
        <x:v>42331561</x:v>
      </x:c>
      <x:c r="D1640" s="28" t="str">
        <x:v>ADHD medication discontinuation and non-adherence: a Norwegian population-based register study.</x:v>
      </x:c>
      <x:c r="E1640" s="28" t="str">
        <x:v>Primary study - cohort</x:v>
      </x:c>
      <x:c r="F1640" s="28" t="str">
        <x:v>Development &amp; presentation; Recognition &amp; diagnosis; Social &amp; structural; Treatment &amp; support; Life outcomes &amp; lived experience</x:v>
      </x:c>
      <x:c r="G1640" s="28" t="str">
        <x:v>Childhood; Adolescence</x:v>
      </x:c>
      <x:c r="H1640" s="28" t="str">
        <x:v>Later specialized</x:v>
      </x:c>
      <x:c r="I1640" s="28" t="str">
        <x:v>Direct or strongly ADHD-related record retained for later screening; typically narrower treatment, biomarker, mechanistic, or single-comorbidity focus.</x:v>
      </x:c>
      <x:c r="J1640" s="38" t="e">
        <x:f>HYPERLINK("https://pubmed.ncbi.nlm.nih.gov/"&amp;C1640&amp;"/","Open PubMed")</x:f>
        <x:v>HYPERLINK is not implemented. linkLocation=https://pubmed.ncbi.nlm.nih.gov/42331561/, friendlyName=Open PubMed</x:v>
      </x:c>
    </x:row>
    <x:row r="1641">
      <x:c r="A1641" s="26" t="str">
        <x:v>PUBMED-42516082</x:v>
      </x:c>
      <x:c r="B1641" s="26" t="n">
        <x:v>2026</x:v>
      </x:c>
      <x:c r="C1641" s="26" t="str">
        <x:v>42516082</x:v>
      </x:c>
      <x:c r="D1641" s="28" t="str">
        <x:v>Selective enhancement of cost sensitivity by methylphenidate in adult ADHD: a randomized placebo-controlled trial.</x:v>
      </x:c>
      <x:c r="E1641" s="28" t="str">
        <x:v>Primary study - randomized controlled trial</x:v>
      </x:c>
      <x:c r="F1641" s="28" t="str">
        <x:v>Development &amp; presentation; Social &amp; structural; Treatment &amp; support</x:v>
      </x:c>
      <x:c r="G1641" s="28" t="str">
        <x:v>Adulthood</x:v>
      </x:c>
      <x:c r="H1641" s="28" t="str">
        <x:v>Later specialized</x:v>
      </x:c>
      <x:c r="I1641" s="28" t="str">
        <x:v>Direct or strongly ADHD-related record retained for later screening; typically narrower treatment, biomarker, mechanistic, or single-comorbidity focus.</x:v>
      </x:c>
      <x:c r="J1641" s="38" t="e">
        <x:f>HYPERLINK("https://pubmed.ncbi.nlm.nih.gov/"&amp;C1641&amp;"/","Open PubMed")</x:f>
        <x:v>HYPERLINK is not implemented. linkLocation=https://pubmed.ncbi.nlm.nih.gov/42516082/, friendlyName=Open PubMed</x:v>
      </x:c>
    </x:row>
    <x:row r="1642">
      <x:c r="A1642" s="26" t="str">
        <x:v>PUBMED-42115201</x:v>
      </x:c>
      <x:c r="B1642" s="26" t="n">
        <x:v>2026</x:v>
      </x:c>
      <x:c r="C1642" s="26" t="str">
        <x:v>42115201</x:v>
      </x:c>
      <x:c r="D1642" s="28" t="str">
        <x:v>Altered flow of information in attention-deficit/hyperactivity disorder.</x:v>
      </x:c>
      <x:c r="E1642" s="28" t="str">
        <x:v>Primary/contextual journal article</x:v>
      </x:c>
      <x:c r="F1642" s="28" t="str">
        <x:v>Development &amp; presentation; Recognition &amp; diagnosis; Social &amp; structural; Treatment &amp; support</x:v>
      </x:c>
      <x:c r="G1642" s="28" t="str">
        <x:v>Childhood; Adolescence</x:v>
      </x:c>
      <x:c r="H1642" s="28" t="str">
        <x:v>Later specialized</x:v>
      </x:c>
      <x:c r="I1642" s="28" t="str">
        <x:v>Direct or strongly ADHD-related record retained for later screening; typically narrower treatment, biomarker, mechanistic, or single-comorbidity focus.</x:v>
      </x:c>
      <x:c r="J1642" s="38" t="e">
        <x:f>HYPERLINK("https://pubmed.ncbi.nlm.nih.gov/"&amp;C1642&amp;"/","Open PubMed")</x:f>
        <x:v>HYPERLINK is not implemented. linkLocation=https://pubmed.ncbi.nlm.nih.gov/42115201/, friendlyName=Open PubMed</x:v>
      </x:c>
    </x:row>
    <x:row r="1643">
      <x:c r="A1643" s="26" t="str">
        <x:v>PUBMED-42433395</x:v>
      </x:c>
      <x:c r="B1643" s="26" t="n">
        <x:v>2026</x:v>
      </x:c>
      <x:c r="C1643" s="26" t="str">
        <x:v>42433395</x:v>
      </x:c>
      <x:c r="D1643" s="28" t="str">
        <x:v>Baseline omega-3 nutritional status and supplementation response in pediatric attention-deficit/hyperactivity disorder: a systematic review and biomarker-stratified meta-analysis.</x:v>
      </x:c>
      <x:c r="E1643" s="28" t="str">
        <x:v>Evidence synthesis - meta-analysis</x:v>
      </x:c>
      <x:c r="F1643" s="28" t="str">
        <x:v>Development &amp; presentation; Recognition &amp; diagnosis; Social &amp; structural; Environmental &amp; lifestyle; Treatment &amp; support; Life outcomes &amp; lived experience</x:v>
      </x:c>
      <x:c r="G1643" s="28" t="str">
        <x:v>Childhood; Adolescence</x:v>
      </x:c>
      <x:c r="H1643" s="28" t="str">
        <x:v>Later specialized</x:v>
      </x:c>
      <x:c r="I1643" s="28" t="str">
        <x:v>Direct or strongly ADHD-related record retained for later screening; typically narrower treatment, biomarker, mechanistic, or single-comorbidity focus.</x:v>
      </x:c>
      <x:c r="J1643" s="38" t="e">
        <x:f>HYPERLINK("https://pubmed.ncbi.nlm.nih.gov/"&amp;C1643&amp;"/","Open PubMed")</x:f>
        <x:v>HYPERLINK is not implemented. linkLocation=https://pubmed.ncbi.nlm.nih.gov/42433395/, friendlyName=Open PubMed</x:v>
      </x:c>
    </x:row>
    <x:row r="1644">
      <x:c r="A1644" s="26" t="str">
        <x:v>PUBMED-42128605</x:v>
      </x:c>
      <x:c r="B1644" s="26" t="n">
        <x:v>2026</x:v>
      </x:c>
      <x:c r="C1644" s="26" t="str">
        <x:v>42128605</x:v>
      </x:c>
      <x:c r="D1644" s="28" t="str">
        <x:v>Attention Deficit/Hyperactivity Disorder (ADHD) Care for Children and Adults: Clinician Services, Barriers, Knowledge, and Training Needs.</x:v>
      </x:c>
      <x:c r="E1644" s="28" t="str">
        <x:v>Primary study - cross-sectional</x:v>
      </x:c>
      <x:c r="F1644" s="28" t="str">
        <x:v>Development &amp; presentation; Recognition &amp; diagnosis; Family &amp; education; Social &amp; structural; Treatment &amp; support; Historical &amp; contemporary context</x:v>
      </x:c>
      <x:c r="G1644" s="28" t="str">
        <x:v>Childhood; Adulthood</x:v>
      </x:c>
      <x:c r="H1644" s="28" t="str">
        <x:v>Later specialized</x:v>
      </x:c>
      <x:c r="I1644" s="28" t="str">
        <x:v>Direct or strongly ADHD-related record retained for later screening; typically narrower treatment, biomarker, mechanistic, or single-comorbidity focus.</x:v>
      </x:c>
      <x:c r="J1644" s="38" t="e">
        <x:f>HYPERLINK("https://pubmed.ncbi.nlm.nih.gov/"&amp;C1644&amp;"/","Open PubMed")</x:f>
        <x:v>HYPERLINK is not implemented. linkLocation=https://pubmed.ncbi.nlm.nih.gov/42128605/, friendlyName=Open PubMed</x:v>
      </x:c>
    </x:row>
    <x:row r="1645">
      <x:c r="A1645" s="26" t="str">
        <x:v>PUBMED-42470314</x:v>
      </x:c>
      <x:c r="B1645" s="26" t="n">
        <x:v>2026</x:v>
      </x:c>
      <x:c r="C1645" s="26" t="str">
        <x:v>42470314</x:v>
      </x:c>
      <x:c r="D1645" s="28" t="str">
        <x:v>Developmental Dysgraphia in Child and Adolescent Psychiatric-Mental Health Nursing: An Integrative Review.</x:v>
      </x:c>
      <x:c r="E1645" s="28" t="str">
        <x:v>Evidence synthesis - review</x:v>
      </x:c>
      <x:c r="F1645" s="28" t="str">
        <x:v>Development &amp; presentation; Recognition &amp; diagnosis; Family &amp; education; Social &amp; structural; Treatment &amp; support; Life outcomes &amp; lived experience</x:v>
      </x:c>
      <x:c r="G1645" s="28" t="str">
        <x:v>Childhood; Adolescence</x:v>
      </x:c>
      <x:c r="H1645" s="28" t="str">
        <x:v>Exclude/incidental</x:v>
      </x:c>
      <x:c r="I1645" s="28" t="str">
        <x:v>ADHD appears peripheral or insufficiently aligned with the requested corpus scope based on accessible metadata/abstract.</x:v>
      </x:c>
      <x:c r="J1645" s="38" t="e">
        <x:f>HYPERLINK("https://pubmed.ncbi.nlm.nih.gov/"&amp;C1645&amp;"/","Open PubMed")</x:f>
        <x:v>HYPERLINK is not implemented. linkLocation=https://pubmed.ncbi.nlm.nih.gov/42470314/, friendlyName=Open PubMed</x:v>
      </x:c>
    </x:row>
    <x:row r="1646">
      <x:c r="A1646" s="26" t="str">
        <x:v>PUBMED-42396369</x:v>
      </x:c>
      <x:c r="B1646" s="26" t="n">
        <x:v>2026</x:v>
      </x:c>
      <x:c r="C1646" s="26" t="str">
        <x:v>42396369</x:v>
      </x:c>
      <x:c r="D1646" s="28" t="str">
        <x:v>Validity and reliability evaluation of the Chinese version of the attention-deficit/hyperactivity disorder stigma questionnaire.</x:v>
      </x:c>
      <x:c r="E1646" s="28" t="str">
        <x:v>Primary/contextual journal article</x:v>
      </x:c>
      <x:c r="F1646" s="28" t="str">
        <x:v>Development &amp; presentation; Recognition &amp; diagnosis; Family &amp; education; Social &amp; structural; Treatment &amp; support</x:v>
      </x:c>
      <x:c r="G1646" s="28" t="str">
        <x:v>Childhood; Adolescence</x:v>
      </x:c>
      <x:c r="H1646" s="28" t="str">
        <x:v>Later specialized</x:v>
      </x:c>
      <x:c r="I1646" s="28" t="str">
        <x:v>Direct or strongly ADHD-related record retained for later screening; typically narrower treatment, biomarker, mechanistic, or single-comorbidity focus.</x:v>
      </x:c>
      <x:c r="J1646" s="38" t="e">
        <x:f>HYPERLINK("https://pubmed.ncbi.nlm.nih.gov/"&amp;C1646&amp;"/","Open PubMed")</x:f>
        <x:v>HYPERLINK is not implemented. linkLocation=https://pubmed.ncbi.nlm.nih.gov/42396369/, friendlyName=Open PubMed</x:v>
      </x:c>
    </x:row>
    <x:row r="1647">
      <x:c r="A1647" s="26" t="str">
        <x:v>PUBMED-42116687</x:v>
      </x:c>
      <x:c r="B1647" s="26" t="n">
        <x:v>2026</x:v>
      </x:c>
      <x:c r="C1647" s="26" t="str">
        <x:v>42116687</x:v>
      </x:c>
      <x:c r="D1647" s="28" t="str">
        <x:v>Prediction Gone Awry: A Computational Framework for Emotion Dysregulation Across Autism and Attention-Deficit/Hyperactivity Disorder.</x:v>
      </x:c>
      <x:c r="E1647" s="28" t="str">
        <x:v>Evidence synthesis - review</x:v>
      </x:c>
      <x:c r="F1647" s="28" t="str">
        <x:v>Development &amp; presentation; Social &amp; structural; Environmental &amp; lifestyle</x:v>
      </x:c>
      <x:c r="G1647" s="28" t="str">
        <x:v>Childhood; Adolescence</x:v>
      </x:c>
      <x:c r="H1647" s="28" t="str">
        <x:v>Later specialized</x:v>
      </x:c>
      <x:c r="I1647" s="28" t="str">
        <x:v>Direct or strongly ADHD-related record retained for later screening; typically narrower treatment, biomarker, mechanistic, or single-comorbidity focus.</x:v>
      </x:c>
      <x:c r="J1647" s="38" t="e">
        <x:f>HYPERLINK("https://pubmed.ncbi.nlm.nih.gov/"&amp;C1647&amp;"/","Open PubMed")</x:f>
        <x:v>HYPERLINK is not implemented. linkLocation=https://pubmed.ncbi.nlm.nih.gov/42116687/, friendlyName=Open PubMed</x:v>
      </x:c>
    </x:row>
    <x:row r="1648">
      <x:c r="A1648" s="26" t="str">
        <x:v>PUBMED-42433076</x:v>
      </x:c>
      <x:c r="B1648" s="26" t="n">
        <x:v>2026</x:v>
      </x:c>
      <x:c r="C1648" s="26" t="str">
        <x:v>42433076</x:v>
      </x:c>
      <x:c r="D1648" s="28" t="str">
        <x:v>Association of Atomoxetine Discontinuation Patterns with CYP2D6 Phenotype in Children and Adolescents with Attention Deficit Hyperactivity Disorder.</x:v>
      </x:c>
      <x:c r="E1648" s="28" t="str">
        <x:v>Primary/contextual journal article</x:v>
      </x:c>
      <x:c r="F1648" s="28" t="str">
        <x:v>Development &amp; presentation; Recognition &amp; diagnosis; Social &amp; structural; Treatment &amp; support; Life outcomes &amp; lived experience; Historical &amp; contemporary context</x:v>
      </x:c>
      <x:c r="G1648" s="28" t="str">
        <x:v>Childhood; Adolescence; Adulthood</x:v>
      </x:c>
      <x:c r="H1648" s="28" t="str">
        <x:v>Later specialized</x:v>
      </x:c>
      <x:c r="I1648" s="28" t="str">
        <x:v>Direct or strongly ADHD-related record retained for later screening; typically narrower treatment, biomarker, mechanistic, or single-comorbidity focus.</x:v>
      </x:c>
      <x:c r="J1648" s="38" t="e">
        <x:f>HYPERLINK("https://pubmed.ncbi.nlm.nih.gov/"&amp;C1648&amp;"/","Open PubMed")</x:f>
        <x:v>HYPERLINK is not implemented. linkLocation=https://pubmed.ncbi.nlm.nih.gov/42433076/, friendlyName=Open PubMed</x:v>
      </x:c>
    </x:row>
    <x:row r="1649">
      <x:c r="A1649" s="26" t="str">
        <x:v>PUBMED-42050806</x:v>
      </x:c>
      <x:c r="B1649" s="26" t="n">
        <x:v>2026</x:v>
      </x:c>
      <x:c r="C1649" s="26" t="str">
        <x:v>42050806</x:v>
      </x:c>
      <x:c r="D1649" s="28" t="str">
        <x:v>The telepsychiatry paradox: Extended access and emerging inequalities in Medicare-reimbursed outpatient psychiatric services.</x:v>
      </x:c>
      <x:c r="E1649" s="28" t="str">
        <x:v>Contextual - editorial/comment</x:v>
      </x:c>
      <x:c r="F1649" s="28" t="str">
        <x:v>Development &amp; presentation; Recognition &amp; diagnosis; Social &amp; structural; Treatment &amp; support; Historical &amp; contemporary context</x:v>
      </x:c>
      <x:c r="G1649" s="28" t="str">
        <x:v>Not specified</x:v>
      </x:c>
      <x:c r="H1649" s="28" t="str">
        <x:v>Later specialized</x:v>
      </x:c>
      <x:c r="I1649" s="28" t="str">
        <x:v>Direct or strongly ADHD-related record retained for later screening; typically narrower treatment, biomarker, mechanistic, or single-comorbidity focus.</x:v>
      </x:c>
      <x:c r="J1649" s="38" t="e">
        <x:f>HYPERLINK("https://pubmed.ncbi.nlm.nih.gov/"&amp;C1649&amp;"/","Open PubMed")</x:f>
        <x:v>HYPERLINK is not implemented. linkLocation=https://pubmed.ncbi.nlm.nih.gov/42050806/, friendlyName=Open PubMed</x:v>
      </x:c>
    </x:row>
    <x:row r="1650">
      <x:c r="A1650" s="26" t="str">
        <x:v>PUBMED-42297153</x:v>
      </x:c>
      <x:c r="B1650" s="26" t="n">
        <x:v>2026</x:v>
      </x:c>
      <x:c r="C1650" s="26" t="str">
        <x:v>42297153</x:v>
      </x:c>
      <x:c r="D1650" s="28" t="str">
        <x:v>The quest to find genuine adult ADHD: Navigating diagnostic challenges of malingering - a review.</x:v>
      </x:c>
      <x:c r="E1650" s="28" t="str">
        <x:v>Evidence synthesis - review</x:v>
      </x:c>
      <x:c r="F1650" s="28" t="str">
        <x:v>Development &amp; presentation; Recognition &amp; diagnosis; Family &amp; education; Social &amp; structural; Treatment &amp; support; Life outcomes &amp; lived experience</x:v>
      </x:c>
      <x:c r="G1650" s="28" t="str">
        <x:v>Adulthood</x:v>
      </x:c>
      <x:c r="H1650" s="28" t="str">
        <x:v>Batch 1 core</x:v>
      </x:c>
      <x:c r="I1650" s="28" t="str">
        <x:v>Direct ADHD evidence synthesis/guideline with broad multi-topic relevance.</x:v>
      </x:c>
      <x:c r="J1650" s="38" t="e">
        <x:f>HYPERLINK("https://pubmed.ncbi.nlm.nih.gov/"&amp;C1650&amp;"/","Open PubMed")</x:f>
        <x:v>HYPERLINK is not implemented. linkLocation=https://pubmed.ncbi.nlm.nih.gov/42297153/, friendlyName=Open PubMed</x:v>
      </x:c>
    </x:row>
    <x:row r="1651">
      <x:c r="A1651" s="26" t="str">
        <x:v>PUBMED-42497809</x:v>
      </x:c>
      <x:c r="B1651" s="26" t="n">
        <x:v>2026</x:v>
      </x:c>
      <x:c r="C1651" s="26" t="str">
        <x:v>42497809</x:v>
      </x:c>
      <x:c r="D1651" s="28" t="str">
        <x:v>Multi-domain assessment of childhood attention-deficit/hyperactivity disorder of the combined presentation.</x:v>
      </x:c>
      <x:c r="E1651" s="28" t="str">
        <x:v>Primary/contextual journal article</x:v>
      </x:c>
      <x:c r="F1651" s="28" t="str">
        <x:v>Development &amp; presentation; Recognition &amp; diagnosis; Family &amp; education; Social &amp; structural; Environmental &amp; lifestyle; Life outcomes &amp; lived experience</x:v>
      </x:c>
      <x:c r="G1651" s="28" t="str">
        <x:v>Childhood</x:v>
      </x:c>
      <x:c r="H1651" s="28" t="str">
        <x:v>Later specialized</x:v>
      </x:c>
      <x:c r="I1651" s="28" t="str">
        <x:v>Direct or strongly ADHD-related record retained for later screening; typically narrower treatment, biomarker, mechanistic, or single-comorbidity focus.</x:v>
      </x:c>
      <x:c r="J1651" s="38" t="e">
        <x:f>HYPERLINK("https://pubmed.ncbi.nlm.nih.gov/"&amp;C1651&amp;"/","Open PubMed")</x:f>
        <x:v>HYPERLINK is not implemented. linkLocation=https://pubmed.ncbi.nlm.nih.gov/42497809/, friendlyName=Open PubMed</x:v>
      </x:c>
    </x:row>
    <x:row r="1652">
      <x:c r="A1652" s="26" t="str">
        <x:v>PUBMED-42216788</x:v>
      </x:c>
      <x:c r="B1652" s="26" t="n">
        <x:v>2026</x:v>
      </x:c>
      <x:c r="C1652" s="26" t="str">
        <x:v>42216788</x:v>
      </x:c>
      <x:c r="D1652" s="28" t="str">
        <x:v>A Systematic Review of Lived Experiences of Receiving a Diagnosis of ADHD in Adulthood.</x:v>
      </x:c>
      <x:c r="E1652" s="28" t="str">
        <x:v>Evidence synthesis - systematic review</x:v>
      </x:c>
      <x:c r="F1652" s="28" t="str">
        <x:v>Development &amp; presentation; Recognition &amp; diagnosis; Social &amp; structural; Treatment &amp; support; Life outcomes &amp; lived experience</x:v>
      </x:c>
      <x:c r="G1652" s="28" t="str">
        <x:v>Adulthood</x:v>
      </x:c>
      <x:c r="H1652" s="28" t="str">
        <x:v>Batch 1 core</x:v>
      </x:c>
      <x:c r="I1652" s="28" t="str">
        <x:v>Direct ADHD evidence synthesis/guideline with broad multi-topic relevance.</x:v>
      </x:c>
      <x:c r="J1652" s="38" t="e">
        <x:f>HYPERLINK("https://pubmed.ncbi.nlm.nih.gov/"&amp;C1652&amp;"/","Open PubMed")</x:f>
        <x:v>HYPERLINK is not implemented. linkLocation=https://pubmed.ncbi.nlm.nih.gov/42216788/, friendlyName=Open PubMed</x:v>
      </x:c>
    </x:row>
    <x:row r="1653">
      <x:c r="A1653" s="26" t="str">
        <x:v>PUBMED-42429286</x:v>
      </x:c>
      <x:c r="B1653" s="26" t="n">
        <x:v>2026</x:v>
      </x:c>
      <x:c r="C1653" s="26" t="str">
        <x:v>42429286</x:v>
      </x:c>
      <x:c r="D1653" s="28" t="str">
        <x:v>Systematic Review and Meta-Analysis of Attention Deficit Hyperactivity Disorder: First Estimates of the Prevalence by Sex Amongst People Who Use Psychoactive Substances and Alcohol.</x:v>
      </x:c>
      <x:c r="E1653" s="28" t="str">
        <x:v>Evidence synthesis - meta-analysis</x:v>
      </x:c>
      <x:c r="F1653" s="28" t="str">
        <x:v>Development &amp; presentation; Recognition &amp; diagnosis; Social &amp; structural; Environmental &amp; lifestyle; Treatment &amp; support; Life outcomes &amp; lived experience</x:v>
      </x:c>
      <x:c r="G1653" s="28" t="str">
        <x:v>Childhood; Adulthood</x:v>
      </x:c>
      <x:c r="H1653" s="28" t="str">
        <x:v>Batch 1 core</x:v>
      </x:c>
      <x:c r="I1653" s="28" t="str">
        <x:v>Direct ADHD evidence synthesis/guideline with broad multi-topic relevance.</x:v>
      </x:c>
      <x:c r="J1653" s="38" t="e">
        <x:f>HYPERLINK("https://pubmed.ncbi.nlm.nih.gov/"&amp;C1653&amp;"/","Open PubMed")</x:f>
        <x:v>HYPERLINK is not implemented. linkLocation=https://pubmed.ncbi.nlm.nih.gov/42429286/, friendlyName=Open PubMed</x:v>
      </x:c>
    </x:row>
    <x:row r="1654">
      <x:c r="A1654" s="26" t="str">
        <x:v>PUBMED-42215067</x:v>
      </x:c>
      <x:c r="B1654" s="26" t="n">
        <x:v>2026</x:v>
      </x:c>
      <x:c r="C1654" s="26" t="str">
        <x:v>42215067</x:v>
      </x:c>
      <x:c r="D1654" s="28" t="str">
        <x:v>Alice in Wonderland syndrome following adenovirus infection, manifesting with biphasic perceptual disturbances.</x:v>
      </x:c>
      <x:c r="E1654" s="28" t="str">
        <x:v>Primary/contextual journal article</x:v>
      </x:c>
      <x:c r="F1654" s="28" t="str">
        <x:v>Development &amp; presentation; Recognition &amp; diagnosis; Family &amp; education; Social &amp; structural; Environmental &amp; lifestyle</x:v>
      </x:c>
      <x:c r="G1654" s="28" t="str">
        <x:v>Childhood</x:v>
      </x:c>
      <x:c r="H1654" s="28" t="str">
        <x:v>Later specialized</x:v>
      </x:c>
      <x:c r="I1654" s="28" t="str">
        <x:v>Direct or strongly ADHD-related record retained for later screening; typically narrower treatment, biomarker, mechanistic, or single-comorbidity focus.</x:v>
      </x:c>
      <x:c r="J1654" s="38" t="e">
        <x:f>HYPERLINK("https://pubmed.ncbi.nlm.nih.gov/"&amp;C1654&amp;"/","Open PubMed")</x:f>
        <x:v>HYPERLINK is not implemented. linkLocation=https://pubmed.ncbi.nlm.nih.gov/42215067/, friendlyName=Open PubMed</x:v>
      </x:c>
    </x:row>
    <x:row r="1655">
      <x:c r="A1655" s="26" t="str">
        <x:v>PUBMED-41990995</x:v>
      </x:c>
      <x:c r="B1655" s="26" t="n">
        <x:v>2026</x:v>
      </x:c>
      <x:c r="C1655" s="26" t="str">
        <x:v>41990995</x:v>
      </x:c>
      <x:c r="D1655" s="28" t="str">
        <x:v>Maternal attention deficit hyperactivity disorder and adverse obstetrical and perinatal outcomes: A population-based cohort study in Ontario, Canada.</x:v>
      </x:c>
      <x:c r="E1655" s="28" t="str">
        <x:v>Primary study - cohort</x:v>
      </x:c>
      <x:c r="F1655" s="28" t="str">
        <x:v>Development &amp; presentation; Recognition &amp; diagnosis; Social &amp; structural; Environmental &amp; lifestyle; Treatment &amp; support; Life outcomes &amp; lived experience</x:v>
      </x:c>
      <x:c r="G1655" s="28" t="str">
        <x:v>Adulthood</x:v>
      </x:c>
      <x:c r="H1655" s="28" t="str">
        <x:v>Later specialized</x:v>
      </x:c>
      <x:c r="I1655" s="28" t="str">
        <x:v>Direct or strongly ADHD-related record retained for later screening; typically narrower treatment, biomarker, mechanistic, or single-comorbidity focus.</x:v>
      </x:c>
      <x:c r="J1655" s="38" t="e">
        <x:f>HYPERLINK("https://pubmed.ncbi.nlm.nih.gov/"&amp;C1655&amp;"/","Open PubMed")</x:f>
        <x:v>HYPERLINK is not implemented. linkLocation=https://pubmed.ncbi.nlm.nih.gov/41990995/, friendlyName=Open PubMed</x:v>
      </x:c>
    </x:row>
    <x:row r="1656">
      <x:c r="A1656" s="26" t="str">
        <x:v>PUBMED-42106332</x:v>
      </x:c>
      <x:c r="B1656" s="26" t="n">
        <x:v>2026</x:v>
      </x:c>
      <x:c r="C1656" s="26" t="str">
        <x:v>42106332</x:v>
      </x:c>
      <x:c r="D1656" s="28" t="str">
        <x:v>Comprehensive behavioral profiling in male spontaneously hypertensive rats: latent trait mapping supports a valid multidomain ADHD model.</x:v>
      </x:c>
      <x:c r="E1656" s="28" t="str">
        <x:v>Primary/contextual journal article</x:v>
      </x:c>
      <x:c r="F1656" s="28" t="str">
        <x:v>Development &amp; presentation; Recognition &amp; diagnosis; Social &amp; structural; Treatment &amp; support</x:v>
      </x:c>
      <x:c r="G1656" s="28" t="str">
        <x:v>Adolescence</x:v>
      </x:c>
      <x:c r="H1656" s="28" t="str">
        <x:v>Exclude/incidental</x:v>
      </x:c>
      <x:c r="I1656" s="28" t="str">
        <x:v>Animal-only record; retained outside the human-focused core corpus.</x:v>
      </x:c>
      <x:c r="J1656" s="38" t="e">
        <x:f>HYPERLINK("https://pubmed.ncbi.nlm.nih.gov/"&amp;C1656&amp;"/","Open PubMed")</x:f>
        <x:v>HYPERLINK is not implemented. linkLocation=https://pubmed.ncbi.nlm.nih.gov/42106332/, friendlyName=Open PubMed</x:v>
      </x:c>
    </x:row>
    <x:row r="1657">
      <x:c r="A1657" s="26" t="str">
        <x:v>PUBMED-42423458</x:v>
      </x:c>
      <x:c r="B1657" s="26" t="n">
        <x:v>2026</x:v>
      </x:c>
      <x:c r="C1657" s="26" t="str">
        <x:v>42423458</x:v>
      </x:c>
      <x:c r="D1657" s="28" t="str">
        <x:v>Theta beta ratio in attention deficit hyperactivity disorder using a multiverse analysis.</x:v>
      </x:c>
      <x:c r="E1657" s="28" t="str">
        <x:v>Primary/contextual journal article</x:v>
      </x:c>
      <x:c r="F1657" s="28" t="str">
        <x:v>Development &amp; presentation; Recognition &amp; diagnosis; Social &amp; structural; Treatment &amp; support</x:v>
      </x:c>
      <x:c r="G1657" s="28" t="str">
        <x:v>Childhood</x:v>
      </x:c>
      <x:c r="H1657" s="28" t="str">
        <x:v>Later specialized</x:v>
      </x:c>
      <x:c r="I1657" s="28" t="str">
        <x:v>Direct or strongly ADHD-related record retained for later screening; typically narrower treatment, biomarker, mechanistic, or single-comorbidity focus.</x:v>
      </x:c>
      <x:c r="J1657" s="38" t="e">
        <x:f>HYPERLINK("https://pubmed.ncbi.nlm.nih.gov/"&amp;C1657&amp;"/","Open PubMed")</x:f>
        <x:v>HYPERLINK is not implemented. linkLocation=https://pubmed.ncbi.nlm.nih.gov/42423458/, friendlyName=Open PubMed</x:v>
      </x:c>
    </x:row>
    <x:row r="1658">
      <x:c r="A1658" s="26" t="str">
        <x:v>PUBMED-42248832</x:v>
      </x:c>
      <x:c r="B1658" s="26" t="n">
        <x:v>2026</x:v>
      </x:c>
      <x:c r="C1658" s="26" t="str">
        <x:v>42248832</x:v>
      </x:c>
      <x:c r="D1658" s="28" t="str">
        <x:v>Prenatal stress, excitatory-inhibitory imbalance, and ADHD risk: a hypothesis-driven perspective on psilocybin-induced neuroplasticity.</x:v>
      </x:c>
      <x:c r="E1658" s="28" t="str">
        <x:v>Evidence synthesis - review</x:v>
      </x:c>
      <x:c r="F1658" s="28" t="str">
        <x:v>Development &amp; presentation; Social &amp; structural; Environmental &amp; lifestyle; Treatment &amp; support; Life outcomes &amp; lived experience</x:v>
      </x:c>
      <x:c r="G1658" s="28" t="str">
        <x:v>Adulthood</x:v>
      </x:c>
      <x:c r="H1658" s="28" t="str">
        <x:v>Batch 1 core</x:v>
      </x:c>
      <x:c r="I1658" s="28" t="str">
        <x:v>Direct ADHD evidence synthesis/guideline with broad multi-topic relevance.</x:v>
      </x:c>
      <x:c r="J1658" s="38" t="e">
        <x:f>HYPERLINK("https://pubmed.ncbi.nlm.nih.gov/"&amp;C1658&amp;"/","Open PubMed")</x:f>
        <x:v>HYPERLINK is not implemented. linkLocation=https://pubmed.ncbi.nlm.nih.gov/42248832/, friendlyName=Open PubMed</x:v>
      </x:c>
    </x:row>
    <x:row r="1659">
      <x:c r="A1659" s="26" t="str">
        <x:v>PUBMED-42037371</x:v>
      </x:c>
      <x:c r="B1659" s="26" t="n">
        <x:v>2026</x:v>
      </x:c>
      <x:c r="C1659" s="26" t="str">
        <x:v>42037371</x:v>
      </x:c>
      <x:c r="D1659" s="28" t="str">
        <x:v>Testing DAT1 and DRD4 Genes in Attention Deficit Hyperactivity Disorder Using a Wide Spectrum of Neurocognitive Batteries.</x:v>
      </x:c>
      <x:c r="E1659" s="28" t="str">
        <x:v>Primary/contextual journal article</x:v>
      </x:c>
      <x:c r="F1659" s="28" t="str">
        <x:v>Development &amp; presentation; Social &amp; structural; Life outcomes &amp; lived experience</x:v>
      </x:c>
      <x:c r="G1659" s="28" t="str">
        <x:v>Childhood; Adolescence</x:v>
      </x:c>
      <x:c r="H1659" s="28" t="str">
        <x:v>Later specialized</x:v>
      </x:c>
      <x:c r="I1659" s="28" t="str">
        <x:v>Direct or strongly ADHD-related record retained for later screening; typically narrower treatment, biomarker, mechanistic, or single-comorbidity focus.</x:v>
      </x:c>
      <x:c r="J1659" s="38" t="e">
        <x:f>HYPERLINK("https://pubmed.ncbi.nlm.nih.gov/"&amp;C1659&amp;"/","Open PubMed")</x:f>
        <x:v>HYPERLINK is not implemented. linkLocation=https://pubmed.ncbi.nlm.nih.gov/42037371/, friendlyName=Open PubMed</x:v>
      </x:c>
    </x:row>
    <x:row r="1660">
      <x:c r="A1660" s="26" t="str">
        <x:v>PUBMED-42398137</x:v>
      </x:c>
      <x:c r="B1660" s="26" t="n">
        <x:v>2026</x:v>
      </x:c>
      <x:c r="C1660" s="26" t="str">
        <x:v>42398137</x:v>
      </x:c>
      <x:c r="D1660" s="28" t="str">
        <x:v>PM(2.5)-bound organophosphate esters and childhood attention-deficit hyperactivity disorder symptoms: A population-based study from China.</x:v>
      </x:c>
      <x:c r="E1660" s="28" t="str">
        <x:v>Primary/contextual journal article</x:v>
      </x:c>
      <x:c r="F1660" s="28" t="str">
        <x:v>Development &amp; presentation; Recognition &amp; diagnosis; Family &amp; education; Social &amp; structural; Environmental &amp; lifestyle; Treatment &amp; support; Life outcomes &amp; lived experience</x:v>
      </x:c>
      <x:c r="G1660" s="28" t="str">
        <x:v>Childhood; Adolescence</x:v>
      </x:c>
      <x:c r="H1660" s="28" t="str">
        <x:v>Later specialized</x:v>
      </x:c>
      <x:c r="I1660" s="28" t="str">
        <x:v>Direct or strongly ADHD-related record retained for later screening; typically narrower treatment, biomarker, mechanistic, or single-comorbidity focus.</x:v>
      </x:c>
      <x:c r="J1660" s="38" t="e">
        <x:f>HYPERLINK("https://pubmed.ncbi.nlm.nih.gov/"&amp;C1660&amp;"/","Open PubMed")</x:f>
        <x:v>HYPERLINK is not implemented. linkLocation=https://pubmed.ncbi.nlm.nih.gov/42398137/, friendlyName=Open PubMed</x:v>
      </x:c>
    </x:row>
    <x:row r="1661">
      <x:c r="A1661" s="26" t="str">
        <x:v>PUBMED-42328816</x:v>
      </x:c>
      <x:c r="B1661" s="26" t="n">
        <x:v>2026</x:v>
      </x:c>
      <x:c r="C1661" s="26" t="str">
        <x:v>42328816</x:v>
      </x:c>
      <x:c r="D1661" s="28" t="str">
        <x:v>Positive Parenting is Associated With Higher Self-reported Resilience in Children With Attention-Deficit Hyperactivity Disorder.</x:v>
      </x:c>
      <x:c r="E1661" s="28" t="str">
        <x:v>Primary/contextual journal article</x:v>
      </x:c>
      <x:c r="F1661" s="28" t="str">
        <x:v>Development &amp; presentation; Recognition &amp; diagnosis; Family &amp; education; Social &amp; structural</x:v>
      </x:c>
      <x:c r="G1661" s="28" t="str">
        <x:v>Childhood; Adolescence</x:v>
      </x:c>
      <x:c r="H1661" s="28" t="str">
        <x:v>Later specialized</x:v>
      </x:c>
      <x:c r="I1661" s="28" t="str">
        <x:v>Direct or strongly ADHD-related record retained for later screening; typically narrower treatment, biomarker, mechanistic, or single-comorbidity focus.</x:v>
      </x:c>
      <x:c r="J1661" s="38" t="e">
        <x:f>HYPERLINK("https://pubmed.ncbi.nlm.nih.gov/"&amp;C1661&amp;"/","Open PubMed")</x:f>
        <x:v>HYPERLINK is not implemented. linkLocation=https://pubmed.ncbi.nlm.nih.gov/42328816/, friendlyName=Open PubMed</x:v>
      </x:c>
    </x:row>
    <x:row r="1662">
      <x:c r="A1662" s="26" t="str">
        <x:v>PUBMED-42336326</x:v>
      </x:c>
      <x:c r="B1662" s="26" t="n">
        <x:v>2026</x:v>
      </x:c>
      <x:c r="C1662" s="26" t="str">
        <x:v>42336326</x:v>
      </x:c>
      <x:c r="D1662" s="28" t="str">
        <x:v>Clinical and genetic association of comorbid provisional PMDD and ADHD in female patients with bipolar disorder.</x:v>
      </x:c>
      <x:c r="E1662" s="28" t="str">
        <x:v>Primary/contextual journal article</x:v>
      </x:c>
      <x:c r="F1662" s="28" t="str">
        <x:v>Development &amp; presentation; Recognition &amp; diagnosis; Social &amp; structural</x:v>
      </x:c>
      <x:c r="G1662" s="28" t="str">
        <x:v>Adulthood</x:v>
      </x:c>
      <x:c r="H1662" s="28" t="str">
        <x:v>Later specialized</x:v>
      </x:c>
      <x:c r="I1662" s="28" t="str">
        <x:v>Direct or strongly ADHD-related record retained for later screening; typically narrower treatment, biomarker, mechanistic, or single-comorbidity focus.</x:v>
      </x:c>
      <x:c r="J1662" s="38" t="e">
        <x:f>HYPERLINK("https://pubmed.ncbi.nlm.nih.gov/"&amp;C1662&amp;"/","Open PubMed")</x:f>
        <x:v>HYPERLINK is not implemented. linkLocation=https://pubmed.ncbi.nlm.nih.gov/42336326/, friendlyName=Open PubMed</x:v>
      </x:c>
    </x:row>
    <x:row r="1663">
      <x:c r="A1663" s="26" t="str">
        <x:v>PUBMED-42464462</x:v>
      </x:c>
      <x:c r="B1663" s="26" t="n">
        <x:v>2026</x:v>
      </x:c>
      <x:c r="C1663" s="26" t="str">
        <x:v>42464462</x:v>
      </x:c>
      <x:c r="D1663" s="28" t="str">
        <x:v>Acute Effects of Stimulant Medication on Gray Matter and White Matter Indices in Healthy Controls and Adults With ADHD.</x:v>
      </x:c>
      <x:c r="E1663" s="28" t="str">
        <x:v>Primary/contextual journal article</x:v>
      </x:c>
      <x:c r="F1663" s="28" t="str">
        <x:v>Development &amp; presentation; Family &amp; education; Social &amp; structural; Environmental &amp; lifestyle; Treatment &amp; support</x:v>
      </x:c>
      <x:c r="G1663" s="28" t="str">
        <x:v>Adulthood</x:v>
      </x:c>
      <x:c r="H1663" s="28" t="str">
        <x:v>Later specialized</x:v>
      </x:c>
      <x:c r="I1663" s="28" t="str">
        <x:v>Direct or strongly ADHD-related record retained for later screening; typically narrower treatment, biomarker, mechanistic, or single-comorbidity focus.</x:v>
      </x:c>
      <x:c r="J1663" s="38" t="e">
        <x:f>HYPERLINK("https://pubmed.ncbi.nlm.nih.gov/"&amp;C1663&amp;"/","Open PubMed")</x:f>
        <x:v>HYPERLINK is not implemented. linkLocation=https://pubmed.ncbi.nlm.nih.gov/42464462/, friendlyName=Open PubMed</x:v>
      </x:c>
    </x:row>
    <x:row r="1664">
      <x:c r="A1664" s="26" t="str">
        <x:v>PUBMED-42168718</x:v>
      </x:c>
      <x:c r="B1664" s="26" t="n">
        <x:v>2026</x:v>
      </x:c>
      <x:c r="C1664" s="26" t="str">
        <x:v>42168718</x:v>
      </x:c>
      <x:c r="D1664" s="28" t="str">
        <x:v>The Evolving Pharmacological Landscape for Paediatric and Adult ADHD.</x:v>
      </x:c>
      <x:c r="E1664" s="28" t="str">
        <x:v>Evidence synthesis - review</x:v>
      </x:c>
      <x:c r="F1664" s="28" t="str">
        <x:v>Development &amp; presentation; Social &amp; structural; Treatment &amp; support</x:v>
      </x:c>
      <x:c r="G1664" s="28" t="str">
        <x:v>Childhood; Adolescence; Adulthood</x:v>
      </x:c>
      <x:c r="H1664" s="28" t="str">
        <x:v>Later specialized</x:v>
      </x:c>
      <x:c r="I1664" s="28" t="str">
        <x:v>Direct or strongly ADHD-related record retained for later screening; typically narrower treatment, biomarker, mechanistic, or single-comorbidity focus.</x:v>
      </x:c>
      <x:c r="J1664" s="38" t="e">
        <x:f>HYPERLINK("https://pubmed.ncbi.nlm.nih.gov/"&amp;C1664&amp;"/","Open PubMed")</x:f>
        <x:v>HYPERLINK is not implemented. linkLocation=https://pubmed.ncbi.nlm.nih.gov/42168718/, friendlyName=Open PubMed</x:v>
      </x:c>
    </x:row>
    <x:row r="1665">
      <x:c r="A1665" s="26" t="str">
        <x:v>PUBMED-42276684</x:v>
      </x:c>
      <x:c r="B1665" s="26" t="n">
        <x:v>2026</x:v>
      </x:c>
      <x:c r="C1665" s="26" t="str">
        <x:v>42276684</x:v>
      </x:c>
      <x:c r="D1665" s="28" t="str">
        <x:v>Mindfulness Intervention Reduced Executive Dysfunction, Delay Aversion, and ADHD Symptoms: A Randomized Controlled Trial Based on the Dual Pathway Model.</x:v>
      </x:c>
      <x:c r="E1665" s="28" t="str">
        <x:v>Primary study - randomized controlled trial</x:v>
      </x:c>
      <x:c r="F1665" s="28" t="str">
        <x:v>Development &amp; presentation; Social &amp; structural; Treatment &amp; support</x:v>
      </x:c>
      <x:c r="G1665" s="28" t="str">
        <x:v>Adulthood</x:v>
      </x:c>
      <x:c r="H1665" s="28" t="str">
        <x:v>Later specialized</x:v>
      </x:c>
      <x:c r="I1665" s="28" t="str">
        <x:v>Direct or strongly ADHD-related record retained for later screening; typically narrower treatment, biomarker, mechanistic, or single-comorbidity focus.</x:v>
      </x:c>
      <x:c r="J1665" s="38" t="e">
        <x:f>HYPERLINK("https://pubmed.ncbi.nlm.nih.gov/"&amp;C1665&amp;"/","Open PubMed")</x:f>
        <x:v>HYPERLINK is not implemented. linkLocation=https://pubmed.ncbi.nlm.nih.gov/42276684/, friendlyName=Open PubMed</x:v>
      </x:c>
    </x:row>
    <x:row r="1666">
      <x:c r="A1666" s="26" t="str">
        <x:v>PUBMED-42234108</x:v>
      </x:c>
      <x:c r="B1666" s="26" t="n">
        <x:v>2026</x:v>
      </x:c>
      <x:c r="C1666" s="26" t="str">
        <x:v>42234108</x:v>
      </x:c>
      <x:c r="D1666" s="28" t="str">
        <x:v>The impact of maternal vitamin D levels during pregnancy and risk of autism spectrum disorder and attention deficit hyperactivity disorder diagnosis and symptoms in offspring: a systematic review and dose-response meta-analysis.</x:v>
      </x:c>
      <x:c r="E1666" s="28" t="str">
        <x:v>Evidence synthesis - meta-analysis</x:v>
      </x:c>
      <x:c r="F1666" s="28" t="str">
        <x:v>Development &amp; presentation; Recognition &amp; diagnosis; Social &amp; structural; Environmental &amp; lifestyle; Historical &amp; contemporary context</x:v>
      </x:c>
      <x:c r="G1666" s="28" t="str">
        <x:v>Childhood</x:v>
      </x:c>
      <x:c r="H1666" s="28" t="str">
        <x:v>Batch 1 core</x:v>
      </x:c>
      <x:c r="I1666" s="28" t="str">
        <x:v>Direct ADHD evidence synthesis/guideline with broad multi-topic relevance.</x:v>
      </x:c>
      <x:c r="J1666" s="38" t="e">
        <x:f>HYPERLINK("https://pubmed.ncbi.nlm.nih.gov/"&amp;C1666&amp;"/","Open PubMed")</x:f>
        <x:v>HYPERLINK is not implemented. linkLocation=https://pubmed.ncbi.nlm.nih.gov/42234108/, friendlyName=Open PubMed</x:v>
      </x:c>
    </x:row>
    <x:row r="1667">
      <x:c r="A1667" s="26" t="str">
        <x:v>PUBMED-42218422</x:v>
      </x:c>
      <x:c r="B1667" s="26" t="n">
        <x:v>2026</x:v>
      </x:c>
      <x:c r="C1667" s="26" t="str">
        <x:v>42218422</x:v>
      </x:c>
      <x:c r="D1667" s="28" t="str">
        <x:v>The effect of the web-based Barkley behavioral training model on the caregiving burden and resilience of mothers of children with attention-deficit/hyperactivity disorder: a randomized controlled trial.</x:v>
      </x:c>
      <x:c r="E1667" s="28" t="str">
        <x:v>Primary study - randomized controlled trial</x:v>
      </x:c>
      <x:c r="F1667" s="28" t="str">
        <x:v>Development &amp; presentation; Family &amp; education; Social &amp; structural; Environmental &amp; lifestyle; Treatment &amp; support; Life outcomes &amp; lived experience</x:v>
      </x:c>
      <x:c r="G1667" s="28" t="str">
        <x:v>Childhood; Adulthood</x:v>
      </x:c>
      <x:c r="H1667" s="28" t="str">
        <x:v>Later specialized</x:v>
      </x:c>
      <x:c r="I1667" s="28" t="str">
        <x:v>Direct or strongly ADHD-related record retained for later screening; typically narrower treatment, biomarker, mechanistic, or single-comorbidity focus.</x:v>
      </x:c>
      <x:c r="J1667" s="38" t="e">
        <x:f>HYPERLINK("https://pubmed.ncbi.nlm.nih.gov/"&amp;C1667&amp;"/","Open PubMed")</x:f>
        <x:v>HYPERLINK is not implemented. linkLocation=https://pubmed.ncbi.nlm.nih.gov/42218422/, friendlyName=Open PubMed</x:v>
      </x:c>
    </x:row>
    <x:row r="1668">
      <x:c r="A1668" s="26" t="str">
        <x:v>PUBMED-42127725</x:v>
      </x:c>
      <x:c r="B1668" s="26" t="n">
        <x:v>2026</x:v>
      </x:c>
      <x:c r="C1668" s="26" t="str">
        <x:v>42127725</x:v>
      </x:c>
      <x:c r="D1668" s="28" t="str">
        <x:v>Long-term health outcomes of pediatric obstructive sleep apnea: A 10-year multicenter cohort study.</x:v>
      </x:c>
      <x:c r="E1668" s="28" t="str">
        <x:v>Primary study - cohort</x:v>
      </x:c>
      <x:c r="F1668" s="28" t="str">
        <x:v>Development &amp; presentation; Recognition &amp; diagnosis; Family &amp; education; Social &amp; structural; Environmental &amp; lifestyle; Treatment &amp; support; Life outcomes &amp; lived experience</x:v>
      </x:c>
      <x:c r="G1668" s="28" t="str">
        <x:v>Childhood; Adolescence</x:v>
      </x:c>
      <x:c r="H1668" s="28" t="str">
        <x:v>Later specialized</x:v>
      </x:c>
      <x:c r="I1668" s="28" t="str">
        <x:v>Direct or strongly ADHD-related record retained for later screening; typically narrower treatment, biomarker, mechanistic, or single-comorbidity focus.</x:v>
      </x:c>
      <x:c r="J1668" s="38" t="e">
        <x:f>HYPERLINK("https://pubmed.ncbi.nlm.nih.gov/"&amp;C1668&amp;"/","Open PubMed")</x:f>
        <x:v>HYPERLINK is not implemented. linkLocation=https://pubmed.ncbi.nlm.nih.gov/42127725/, friendlyName=Open PubMed</x:v>
      </x:c>
    </x:row>
    <x:row r="1669">
      <x:c r="A1669" s="26" t="str">
        <x:v>PUBMED-41910753</x:v>
      </x:c>
      <x:c r="B1669" s="26" t="n">
        <x:v>2026</x:v>
      </x:c>
      <x:c r="C1669" s="26" t="str">
        <x:v>41910753</x:v>
      </x:c>
      <x:c r="D1669" s="28" t="str">
        <x:v>When Self and Others Disagree: Informant Discrepancies in ADHD and ASD and Psychosocial Outcomes.</x:v>
      </x:c>
      <x:c r="E1669" s="28" t="str">
        <x:v>Primary/contextual journal article</x:v>
      </x:c>
      <x:c r="F1669" s="28" t="str">
        <x:v>Development &amp; presentation; Recognition &amp; diagnosis; Family &amp; education; Social &amp; structural; Treatment &amp; support; Life outcomes &amp; lived experience</x:v>
      </x:c>
      <x:c r="G1669" s="28" t="str">
        <x:v>Childhood; Adolescence</x:v>
      </x:c>
      <x:c r="H1669" s="28" t="str">
        <x:v>Later specialized</x:v>
      </x:c>
      <x:c r="I1669" s="28" t="str">
        <x:v>Direct or strongly ADHD-related record retained for later screening; typically narrower treatment, biomarker, mechanistic, or single-comorbidity focus.</x:v>
      </x:c>
      <x:c r="J1669" s="38" t="e">
        <x:f>HYPERLINK("https://pubmed.ncbi.nlm.nih.gov/"&amp;C1669&amp;"/","Open PubMed")</x:f>
        <x:v>HYPERLINK is not implemented. linkLocation=https://pubmed.ncbi.nlm.nih.gov/41910753/, friendlyName=Open PubMed</x:v>
      </x:c>
    </x:row>
    <x:row r="1670">
      <x:c r="A1670" s="26" t="str">
        <x:v>PUBMED-42618281</x:v>
      </x:c>
      <x:c r="B1670" s="26" t="n">
        <x:v>2026</x:v>
      </x:c>
      <x:c r="C1670" s="26" t="str">
        <x:v>42618281</x:v>
      </x:c>
      <x:c r="D1670" s="28" t="str">
        <x:v>Real-World Medication Regimen Change in Adults with ADHD: A Large Claims Database Study.</x:v>
      </x:c>
      <x:c r="E1670" s="28" t="str">
        <x:v>Primary study - cohort</x:v>
      </x:c>
      <x:c r="F1670" s="28" t="str">
        <x:v>Development &amp; presentation; Social &amp; structural; Treatment &amp; support</x:v>
      </x:c>
      <x:c r="G1670" s="28" t="str">
        <x:v>Adulthood</x:v>
      </x:c>
      <x:c r="H1670" s="28" t="str">
        <x:v>Later specialized</x:v>
      </x:c>
      <x:c r="I1670" s="28" t="str">
        <x:v>Direct or strongly ADHD-related record retained for later screening; typically narrower treatment, biomarker, mechanistic, or single-comorbidity focus.</x:v>
      </x:c>
      <x:c r="J1670" s="38" t="e">
        <x:f>HYPERLINK("https://pubmed.ncbi.nlm.nih.gov/"&amp;C1670&amp;"/","Open PubMed")</x:f>
        <x:v>HYPERLINK is not implemented. linkLocation=https://pubmed.ncbi.nlm.nih.gov/42618281/, friendlyName=Open PubMed</x:v>
      </x:c>
    </x:row>
    <x:row r="1671">
      <x:c r="A1671" s="26" t="str">
        <x:v>PUBMED-42272362</x:v>
      </x:c>
      <x:c r="B1671" s="26" t="n">
        <x:v>2026</x:v>
      </x:c>
      <x:c r="C1671" s="26" t="str">
        <x:v>42272362</x:v>
      </x:c>
      <x:c r="D1671" s="28" t="str">
        <x:v>Unravelling sex differences in the genetic architecture of anxiety.</x:v>
      </x:c>
      <x:c r="E1671" s="28" t="str">
        <x:v>Evidence synthesis - meta-analysis</x:v>
      </x:c>
      <x:c r="F1671" s="28" t="str">
        <x:v>Development &amp; presentation; Social &amp; structural; Environmental &amp; lifestyle</x:v>
      </x:c>
      <x:c r="G1671" s="28" t="str">
        <x:v>Not specified</x:v>
      </x:c>
      <x:c r="H1671" s="28" t="str">
        <x:v>Later specialized</x:v>
      </x:c>
      <x:c r="I1671" s="28" t="str">
        <x:v>Direct or strongly ADHD-related record retained for later screening; typically narrower treatment, biomarker, mechanistic, or single-comorbidity focus.</x:v>
      </x:c>
      <x:c r="J1671" s="38" t="e">
        <x:f>HYPERLINK("https://pubmed.ncbi.nlm.nih.gov/"&amp;C1671&amp;"/","Open PubMed")</x:f>
        <x:v>HYPERLINK is not implemented. linkLocation=https://pubmed.ncbi.nlm.nih.gov/42272362/, friendlyName=Open PubMed</x:v>
      </x:c>
    </x:row>
    <x:row r="1672">
      <x:c r="A1672" s="26" t="str">
        <x:v>PUBMED-42468441</x:v>
      </x:c>
      <x:c r="B1672" s="26" t="n">
        <x:v>2026</x:v>
      </x:c>
      <x:c r="C1672" s="26" t="str">
        <x:v>42468441</x:v>
      </x:c>
      <x:c r="D1672" s="28" t="str">
        <x:v>Novel explainable transformer model for automated attention-deficit hyperactivity disorder detection with EEG signals.</x:v>
      </x:c>
      <x:c r="E1672" s="28" t="str">
        <x:v>Primary/contextual journal article</x:v>
      </x:c>
      <x:c r="F1672" s="28" t="str">
        <x:v>Development &amp; presentation; Recognition &amp; diagnosis; Social &amp; structural; Historical &amp; contemporary context</x:v>
      </x:c>
      <x:c r="G1672" s="28" t="str">
        <x:v>Childhood; Adulthood</x:v>
      </x:c>
      <x:c r="H1672" s="28" t="str">
        <x:v>Later specialized</x:v>
      </x:c>
      <x:c r="I1672" s="28" t="str">
        <x:v>Direct or strongly ADHD-related record retained for later screening; typically narrower treatment, biomarker, mechanistic, or single-comorbidity focus.</x:v>
      </x:c>
      <x:c r="J1672" s="38" t="e">
        <x:f>HYPERLINK("https://pubmed.ncbi.nlm.nih.gov/"&amp;C1672&amp;"/","Open PubMed")</x:f>
        <x:v>HYPERLINK is not implemented. linkLocation=https://pubmed.ncbi.nlm.nih.gov/42468441/, friendlyName=Open PubMed</x:v>
      </x:c>
    </x:row>
    <x:row r="1673">
      <x:c r="A1673" s="26" t="str">
        <x:v>PUBMED-42517949</x:v>
      </x:c>
      <x:c r="B1673" s="26" t="n">
        <x:v>2026</x:v>
      </x:c>
      <x:c r="C1673" s="26" t="str">
        <x:v>42517949</x:v>
      </x:c>
      <x:c r="D1673" s="28" t="str">
        <x:v>Targeted and Untargeted Urinary Metabolomic Analyses of Organophosphate Pesticides Exposure and Attention-Deficit/Hyperactivity Disorder in Children.</x:v>
      </x:c>
      <x:c r="E1673" s="28" t="str">
        <x:v>Primary/contextual journal article</x:v>
      </x:c>
      <x:c r="F1673" s="28" t="str">
        <x:v>Development &amp; presentation; Recognition &amp; diagnosis; Social &amp; structural; Environmental &amp; lifestyle</x:v>
      </x:c>
      <x:c r="G1673" s="28" t="str">
        <x:v>Childhood</x:v>
      </x:c>
      <x:c r="H1673" s="28" t="str">
        <x:v>Later specialized</x:v>
      </x:c>
      <x:c r="I1673" s="28" t="str">
        <x:v>Direct or strongly ADHD-related record retained for later screening; typically narrower treatment, biomarker, mechanistic, or single-comorbidity focus.</x:v>
      </x:c>
      <x:c r="J1673" s="38" t="e">
        <x:f>HYPERLINK("https://pubmed.ncbi.nlm.nih.gov/"&amp;C1673&amp;"/","Open PubMed")</x:f>
        <x:v>HYPERLINK is not implemented. linkLocation=https://pubmed.ncbi.nlm.nih.gov/42517949/, friendlyName=Open PubMed</x:v>
      </x:c>
    </x:row>
    <x:row r="1674">
      <x:c r="A1674" s="26" t="str">
        <x:v>PUBMED-42271555</x:v>
      </x:c>
      <x:c r="B1674" s="26" t="n">
        <x:v>2026</x:v>
      </x:c>
      <x:c r="C1674" s="26" t="str">
        <x:v>42271555</x:v>
      </x:c>
      <x:c r="D1674" s="28" t="str">
        <x:v>Enhancing Executive Function in Adolescents With ADHD: Preliminary Findings From a Multicomponent Intervention.</x:v>
      </x:c>
      <x:c r="E1674" s="28" t="str">
        <x:v>Primary/contextual journal article</x:v>
      </x:c>
      <x:c r="F1674" s="28" t="str">
        <x:v>Development &amp; presentation; Recognition &amp; diagnosis; Family &amp; education; Social &amp; structural; Treatment &amp; support; Life outcomes &amp; lived experience</x:v>
      </x:c>
      <x:c r="G1674" s="28" t="str">
        <x:v>Adolescence</x:v>
      </x:c>
      <x:c r="H1674" s="28" t="str">
        <x:v>Later specialized</x:v>
      </x:c>
      <x:c r="I1674" s="28" t="str">
        <x:v>Direct or strongly ADHD-related record retained for later screening; typically narrower treatment, biomarker, mechanistic, or single-comorbidity focus.</x:v>
      </x:c>
      <x:c r="J1674" s="38" t="e">
        <x:f>HYPERLINK("https://pubmed.ncbi.nlm.nih.gov/"&amp;C1674&amp;"/","Open PubMed")</x:f>
        <x:v>HYPERLINK is not implemented. linkLocation=https://pubmed.ncbi.nlm.nih.gov/42271555/, friendlyName=Open PubMed</x:v>
      </x:c>
    </x:row>
    <x:row r="1675">
      <x:c r="A1675" s="26" t="str">
        <x:v>PUBMED-42133692</x:v>
      </x:c>
      <x:c r="B1675" s="26" t="n">
        <x:v>2026</x:v>
      </x:c>
      <x:c r="C1675" s="26" t="str">
        <x:v>42133692</x:v>
      </x:c>
      <x:c r="D1675" s="28" t="str">
        <x:v>Factors associated with the occurrence and persistence of subthreshold and full attention-deficit hyperactivity disorder in women: A population-based epidemiological study.</x:v>
      </x:c>
      <x:c r="E1675" s="28" t="str">
        <x:v>Primary/contextual journal article</x:v>
      </x:c>
      <x:c r="F1675" s="28" t="str">
        <x:v>Development &amp; presentation; Family &amp; education; Social &amp; structural; Treatment &amp; support</x:v>
      </x:c>
      <x:c r="G1675" s="28" t="str">
        <x:v>Childhood; Adulthood</x:v>
      </x:c>
      <x:c r="H1675" s="28" t="str">
        <x:v>Later specialized</x:v>
      </x:c>
      <x:c r="I1675" s="28" t="str">
        <x:v>Direct or strongly ADHD-related record retained for later screening; typically narrower treatment, biomarker, mechanistic, or single-comorbidity focus.</x:v>
      </x:c>
      <x:c r="J1675" s="38" t="e">
        <x:f>HYPERLINK("https://pubmed.ncbi.nlm.nih.gov/"&amp;C1675&amp;"/","Open PubMed")</x:f>
        <x:v>HYPERLINK is not implemented. linkLocation=https://pubmed.ncbi.nlm.nih.gov/42133692/, friendlyName=Open PubMed</x:v>
      </x:c>
    </x:row>
    <x:row r="1676">
      <x:c r="A1676" s="26" t="str">
        <x:v>PUBMED-42336137</x:v>
      </x:c>
      <x:c r="B1676" s="26" t="n">
        <x:v>2026</x:v>
      </x:c>
      <x:c r="C1676" s="26" t="str">
        <x:v>42336137</x:v>
      </x:c>
      <x:c r="D1676" s="28" t="str">
        <x:v>Association of Food Insecurity and Attention-Deficit/Hyperactivity Disorder in Children: Insights from the National Survey of Children's Health.</x:v>
      </x:c>
      <x:c r="E1676" s="28" t="str">
        <x:v>Primary study - cross-sectional</x:v>
      </x:c>
      <x:c r="F1676" s="28" t="str">
        <x:v>Development &amp; presentation; Recognition &amp; diagnosis; Family &amp; education; Social &amp; structural; Environmental &amp; lifestyle; Treatment &amp; support; Life outcomes &amp; lived experience</x:v>
      </x:c>
      <x:c r="G1676" s="28" t="str">
        <x:v>Childhood; Adolescence</x:v>
      </x:c>
      <x:c r="H1676" s="28" t="str">
        <x:v>Later specialized</x:v>
      </x:c>
      <x:c r="I1676" s="28" t="str">
        <x:v>Direct or strongly ADHD-related record retained for later screening; typically narrower treatment, biomarker, mechanistic, or single-comorbidity focus.</x:v>
      </x:c>
      <x:c r="J1676" s="38" t="e">
        <x:f>HYPERLINK("https://pubmed.ncbi.nlm.nih.gov/"&amp;C1676&amp;"/","Open PubMed")</x:f>
        <x:v>HYPERLINK is not implemented. linkLocation=https://pubmed.ncbi.nlm.nih.gov/42336137/, friendlyName=Open PubMed</x:v>
      </x:c>
    </x:row>
    <x:row r="1677">
      <x:c r="A1677" s="26" t="str">
        <x:v>PUBMED-42621765</x:v>
      </x:c>
      <x:c r="B1677" s="26" t="n">
        <x:v>2026</x:v>
      </x:c>
      <x:c r="C1677" s="26" t="str">
        <x:v>42621765</x:v>
      </x:c>
      <x:c r="D1677" s="28" t="str">
        <x:v>Caregiver Mental Health and Its Relation to Child and Adolescent Mental and Behavioral Health in the Era of Highly Effective Modulator Therapy for Cystic Fibrosis.</x:v>
      </x:c>
      <x:c r="E1677" s="28" t="str">
        <x:v>Primary study - cross-sectional</x:v>
      </x:c>
      <x:c r="F1677" s="28" t="str">
        <x:v>Development &amp; presentation; Recognition &amp; diagnosis; Family &amp; education; Social &amp; structural; Environmental &amp; lifestyle; Treatment &amp; support; Life outcomes &amp; lived experience</x:v>
      </x:c>
      <x:c r="G1677" s="28" t="str">
        <x:v>Childhood; Adolescence</x:v>
      </x:c>
      <x:c r="H1677" s="28" t="str">
        <x:v>Exclude/incidental</x:v>
      </x:c>
      <x:c r="I1677" s="28" t="str">
        <x:v>ADHD appears peripheral or insufficiently aligned with the requested corpus scope based on accessible metadata/abstract.</x:v>
      </x:c>
      <x:c r="J1677" s="38" t="e">
        <x:f>HYPERLINK("https://pubmed.ncbi.nlm.nih.gov/"&amp;C1677&amp;"/","Open PubMed")</x:f>
        <x:v>HYPERLINK is not implemented. linkLocation=https://pubmed.ncbi.nlm.nih.gov/42621765/, friendlyName=Open PubMed</x:v>
      </x:c>
    </x:row>
    <x:row r="1678">
      <x:c r="A1678" s="26" t="str">
        <x:v>PUBMED-42692445</x:v>
      </x:c>
      <x:c r="B1678" s="26" t="n">
        <x:v>2026</x:v>
      </x:c>
      <x:c r="C1678" s="26" t="str">
        <x:v>42692445</x:v>
      </x:c>
      <x:c r="D1678" s="28" t="str">
        <x:v>Non-pharmacological strategies in the management of attention deficit hyperactivity disorder.</x:v>
      </x:c>
      <x:c r="E1678" s="28" t="str">
        <x:v>Primary/contextual journal article</x:v>
      </x:c>
      <x:c r="F1678" s="28" t="str">
        <x:v>Development &amp; presentation; Recognition &amp; diagnosis; Family &amp; education; Social &amp; structural; Environmental &amp; lifestyle; Treatment &amp; support; Life outcomes &amp; lived experience</x:v>
      </x:c>
      <x:c r="G1678" s="28" t="str">
        <x:v>Not specified</x:v>
      </x:c>
      <x:c r="H1678" s="28" t="str">
        <x:v>Later specialized</x:v>
      </x:c>
      <x:c r="I1678" s="28" t="str">
        <x:v>Direct or strongly ADHD-related record retained for later screening; typically narrower treatment, biomarker, mechanistic, or single-comorbidity focus.</x:v>
      </x:c>
      <x:c r="J1678" s="38" t="e">
        <x:f>HYPERLINK("https://pubmed.ncbi.nlm.nih.gov/"&amp;C1678&amp;"/","Open PubMed")</x:f>
        <x:v>HYPERLINK is not implemented. linkLocation=https://pubmed.ncbi.nlm.nih.gov/42692445/, friendlyName=Open PubMed</x:v>
      </x:c>
    </x:row>
    <x:row r="1679">
      <x:c r="A1679" s="26" t="str">
        <x:v>PUBMED-41906356</x:v>
      </x:c>
      <x:c r="B1679" s="26" t="n">
        <x:v>2026</x:v>
      </x:c>
      <x:c r="C1679" s="26" t="str">
        <x:v>41906356</x:v>
      </x:c>
      <x:c r="D1679" s="28" t="str">
        <x:v>Personality Pathology and Functional Outcomes During Pharmacological Treatment of Adult ADHD.</x:v>
      </x:c>
      <x:c r="E1679" s="28" t="str">
        <x:v>Primary/contextual journal article</x:v>
      </x:c>
      <x:c r="F1679" s="28" t="str">
        <x:v>Development &amp; presentation; Recognition &amp; diagnosis; Social &amp; structural; Treatment &amp; support; Life outcomes &amp; lived experience</x:v>
      </x:c>
      <x:c r="G1679" s="28" t="str">
        <x:v>Adulthood</x:v>
      </x:c>
      <x:c r="H1679" s="28" t="str">
        <x:v>Later specialized</x:v>
      </x:c>
      <x:c r="I1679" s="28" t="str">
        <x:v>Direct or strongly ADHD-related record retained for later screening; typically narrower treatment, biomarker, mechanistic, or single-comorbidity focus.</x:v>
      </x:c>
      <x:c r="J1679" s="38" t="e">
        <x:f>HYPERLINK("https://pubmed.ncbi.nlm.nih.gov/"&amp;C1679&amp;"/","Open PubMed")</x:f>
        <x:v>HYPERLINK is not implemented. linkLocation=https://pubmed.ncbi.nlm.nih.gov/41906356/, friendlyName=Open PubMed</x:v>
      </x:c>
    </x:row>
    <x:row r="1680">
      <x:c r="A1680" s="26" t="str">
        <x:v>PUBMED-42350403</x:v>
      </x:c>
      <x:c r="B1680" s="26" t="n">
        <x:v>2026</x:v>
      </x:c>
      <x:c r="C1680" s="26" t="str">
        <x:v>42350403</x:v>
      </x:c>
      <x:c r="D1680" s="28" t="str">
        <x:v>Metabolomic alterations in cord blood improve the prediction of childhood-onset neurodevelopmental disorders.</x:v>
      </x:c>
      <x:c r="E1680" s="28" t="str">
        <x:v>Primary/contextual journal article</x:v>
      </x:c>
      <x:c r="F1680" s="28" t="str">
        <x:v>Development &amp; presentation; Recognition &amp; diagnosis; Social &amp; structural; Environmental &amp; lifestyle</x:v>
      </x:c>
      <x:c r="G1680" s="28" t="str">
        <x:v>Childhood; Adolescence</x:v>
      </x:c>
      <x:c r="H1680" s="28" t="str">
        <x:v>Exclude/incidental</x:v>
      </x:c>
      <x:c r="I1680" s="28" t="str">
        <x:v>ADHD appears peripheral or insufficiently aligned with the requested corpus scope based on accessible metadata/abstract.</x:v>
      </x:c>
      <x:c r="J1680" s="38" t="e">
        <x:f>HYPERLINK("https://pubmed.ncbi.nlm.nih.gov/"&amp;C1680&amp;"/","Open PubMed")</x:f>
        <x:v>HYPERLINK is not implemented. linkLocation=https://pubmed.ncbi.nlm.nih.gov/42350403/, friendlyName=Open PubMed</x:v>
      </x:c>
    </x:row>
    <x:row r="1681">
      <x:c r="A1681" s="26" t="str">
        <x:v>PUBMED-42552869</x:v>
      </x:c>
      <x:c r="B1681" s="26" t="n">
        <x:v>2026</x:v>
      </x:c>
      <x:c r="C1681" s="26" t="str">
        <x:v>42552869</x:v>
      </x:c>
      <x:c r="D1681" s="28" t="str">
        <x:v>Acute and Chronic Effects of Aerobic Exercise on Motor Inhibition and Cortical Excitability in Adolescents With Attention Deficit Hyperactivity Disorder.</x:v>
      </x:c>
      <x:c r="E1681" s="28" t="str">
        <x:v>Primary/contextual journal article</x:v>
      </x:c>
      <x:c r="F1681" s="28" t="str">
        <x:v>Development &amp; presentation; Recognition &amp; diagnosis; Social &amp; structural; Environmental &amp; lifestyle; Treatment &amp; support; Life outcomes &amp; lived experience</x:v>
      </x:c>
      <x:c r="G1681" s="28" t="str">
        <x:v>Adolescence</x:v>
      </x:c>
      <x:c r="H1681" s="28" t="str">
        <x:v>Later specialized</x:v>
      </x:c>
      <x:c r="I1681" s="28" t="str">
        <x:v>Direct or strongly ADHD-related record retained for later screening; typically narrower treatment, biomarker, mechanistic, or single-comorbidity focus.</x:v>
      </x:c>
      <x:c r="J1681" s="38" t="e">
        <x:f>HYPERLINK("https://pubmed.ncbi.nlm.nih.gov/"&amp;C1681&amp;"/","Open PubMed")</x:f>
        <x:v>HYPERLINK is not implemented. linkLocation=https://pubmed.ncbi.nlm.nih.gov/42552869/, friendlyName=Open PubMed</x:v>
      </x:c>
    </x:row>
    <x:row r="1682">
      <x:c r="A1682" s="26" t="str">
        <x:v>PUBMED-42721450</x:v>
      </x:c>
      <x:c r="B1682" s="26" t="n">
        <x:v>2026</x:v>
      </x:c>
      <x:c r="C1682" s="26" t="str">
        <x:v>42721450</x:v>
      </x:c>
      <x:c r="D1682" s="28" t="str">
        <x:v>An Evidence-Based AI Virtual Assistant for Young People With Attention Deficit Hyperactivity Disorder: Co-Design and Prototype Development.</x:v>
      </x:c>
      <x:c r="E1682" s="28" t="str">
        <x:v>Primary/contextual journal article</x:v>
      </x:c>
      <x:c r="F1682" s="28" t="str">
        <x:v>Development &amp; presentation; Family &amp; education; Social &amp; structural; Treatment &amp; support; Life outcomes &amp; lived experience</x:v>
      </x:c>
      <x:c r="G1682" s="28" t="str">
        <x:v>Adolescence; Adulthood</x:v>
      </x:c>
      <x:c r="H1682" s="28" t="str">
        <x:v>Later specialized</x:v>
      </x:c>
      <x:c r="I1682" s="28" t="str">
        <x:v>Direct or strongly ADHD-related record retained for later screening; typically narrower treatment, biomarker, mechanistic, or single-comorbidity focus.</x:v>
      </x:c>
      <x:c r="J1682" s="38" t="e">
        <x:f>HYPERLINK("https://pubmed.ncbi.nlm.nih.gov/"&amp;C1682&amp;"/","Open PubMed")</x:f>
        <x:v>HYPERLINK is not implemented. linkLocation=https://pubmed.ncbi.nlm.nih.gov/42721450/, friendlyName=Open PubMed</x:v>
      </x:c>
    </x:row>
    <x:row r="1683">
      <x:c r="A1683" s="26" t="str">
        <x:v>PUBMED-42226168</x:v>
      </x:c>
      <x:c r="B1683" s="26" t="n">
        <x:v>2026</x:v>
      </x:c>
      <x:c r="C1683" s="26" t="str">
        <x:v>42226168</x:v>
      </x:c>
      <x:c r="D1683" s="28" t="str">
        <x:v>Physical activity profiles of attention-deficit/hyperactivity disorder symptoms among preschool children.</x:v>
      </x:c>
      <x:c r="E1683" s="28" t="str">
        <x:v>Primary study - case-control</x:v>
      </x:c>
      <x:c r="F1683" s="28" t="str">
        <x:v>Development &amp; presentation; Recognition &amp; diagnosis; Family &amp; education; Environmental &amp; lifestyle; Treatment &amp; support</x:v>
      </x:c>
      <x:c r="G1683" s="28" t="str">
        <x:v>Childhood</x:v>
      </x:c>
      <x:c r="H1683" s="28" t="str">
        <x:v>Batch 1 core</x:v>
      </x:c>
      <x:c r="I1683" s="28" t="str">
        <x:v>Direct ADHD primary study on diagnosis, family/education, structural conditions, lived experience/outcomes, or environment/lifestyle.</x:v>
      </x:c>
      <x:c r="J1683" s="38" t="e">
        <x:f>HYPERLINK("https://pubmed.ncbi.nlm.nih.gov/"&amp;C1683&amp;"/","Open PubMed")</x:f>
        <x:v>HYPERLINK is not implemented. linkLocation=https://pubmed.ncbi.nlm.nih.gov/42226168/, friendlyName=Open PubMed</x:v>
      </x:c>
    </x:row>
    <x:row r="1684">
      <x:c r="A1684" s="26" t="str">
        <x:v>PUBMED-42084346</x:v>
      </x:c>
      <x:c r="B1684" s="26" t="n">
        <x:v>2026</x:v>
      </x:c>
      <x:c r="C1684" s="26" t="str">
        <x:v>42084346</x:v>
      </x:c>
      <x:c r="D1684" s="28" t="str">
        <x:v>Inattention and impulsivity in attention-deficit/hyperactivity disorder (ADHD) and pediatric extremity fractures: an association between neurobehavioral traits and trauma presentation.</x:v>
      </x:c>
      <x:c r="E1684" s="28" t="str">
        <x:v>Primary study - case-control</x:v>
      </x:c>
      <x:c r="F1684" s="28" t="str">
        <x:v>Development &amp; presentation; Recognition &amp; diagnosis; Family &amp; education; Social &amp; structural; Treatment &amp; support; Life outcomes &amp; lived experience; Historical &amp; contemporary context</x:v>
      </x:c>
      <x:c r="G1684" s="28" t="str">
        <x:v>Childhood; Adolescence</x:v>
      </x:c>
      <x:c r="H1684" s="28" t="str">
        <x:v>Later specialized</x:v>
      </x:c>
      <x:c r="I1684" s="28" t="str">
        <x:v>Direct or strongly ADHD-related record retained for later screening; typically narrower treatment, biomarker, mechanistic, or single-comorbidity focus.</x:v>
      </x:c>
      <x:c r="J1684" s="38" t="e">
        <x:f>HYPERLINK("https://pubmed.ncbi.nlm.nih.gov/"&amp;C1684&amp;"/","Open PubMed")</x:f>
        <x:v>HYPERLINK is not implemented. linkLocation=https://pubmed.ncbi.nlm.nih.gov/42084346/, friendlyName=Open PubMed</x:v>
      </x:c>
    </x:row>
    <x:row r="1685">
      <x:c r="A1685" s="26" t="str">
        <x:v>PUBMED-41989410</x:v>
      </x:c>
      <x:c r="B1685" s="26" t="n">
        <x:v>2026</x:v>
      </x:c>
      <x:c r="C1685" s="26" t="str">
        <x:v>41989410</x:v>
      </x:c>
      <x:c r="D1685" s="28" t="str">
        <x:v>Hyperactivity-impulsivity, inattention, and cognitive disengagement syndrome: A meta-analytic investigation of overlapping and differential cognitive associations.</x:v>
      </x:c>
      <x:c r="E1685" s="28" t="str">
        <x:v>Evidence synthesis - meta-analysis</x:v>
      </x:c>
      <x:c r="F1685" s="28" t="str">
        <x:v>Development &amp; presentation; Recognition &amp; diagnosis; Social &amp; structural; Life outcomes &amp; lived experience</x:v>
      </x:c>
      <x:c r="G1685" s="28" t="str">
        <x:v>Childhood; Adulthood</x:v>
      </x:c>
      <x:c r="H1685" s="28" t="str">
        <x:v>Later specialized</x:v>
      </x:c>
      <x:c r="I1685" s="28" t="str">
        <x:v>Direct or strongly ADHD-related record retained for later screening; typically narrower treatment, biomarker, mechanistic, or single-comorbidity focus.</x:v>
      </x:c>
      <x:c r="J1685" s="38" t="e">
        <x:f>HYPERLINK("https://pubmed.ncbi.nlm.nih.gov/"&amp;C1685&amp;"/","Open PubMed")</x:f>
        <x:v>HYPERLINK is not implemented. linkLocation=https://pubmed.ncbi.nlm.nih.gov/41989410/, friendlyName=Open PubMed</x:v>
      </x:c>
    </x:row>
    <x:row r="1686">
      <x:c r="A1686" s="26" t="str">
        <x:v>PUBMED-42133388</x:v>
      </x:c>
      <x:c r="B1686" s="26" t="n">
        <x:v>2026</x:v>
      </x:c>
      <x:c r="C1686" s="26" t="str">
        <x:v>42133388</x:v>
      </x:c>
      <x:c r="D1686" s="28" t="str">
        <x:v>An intensive time-series investigation of day-to-day relations between attention-deficit/hyperactivity disorder and internalizing symptoms in college students.</x:v>
      </x:c>
      <x:c r="E1686" s="28" t="str">
        <x:v>Primary/contextual journal article</x:v>
      </x:c>
      <x:c r="F1686" s="28" t="str">
        <x:v>Development &amp; presentation; Recognition &amp; diagnosis; Social &amp; structural</x:v>
      </x:c>
      <x:c r="G1686" s="28" t="str">
        <x:v>Adolescence; Adulthood</x:v>
      </x:c>
      <x:c r="H1686" s="28" t="str">
        <x:v>Later specialized</x:v>
      </x:c>
      <x:c r="I1686" s="28" t="str">
        <x:v>Direct or strongly ADHD-related record retained for later screening; typically narrower treatment, biomarker, mechanistic, or single-comorbidity focus.</x:v>
      </x:c>
      <x:c r="J1686" s="38" t="e">
        <x:f>HYPERLINK("https://pubmed.ncbi.nlm.nih.gov/"&amp;C1686&amp;"/","Open PubMed")</x:f>
        <x:v>HYPERLINK is not implemented. linkLocation=https://pubmed.ncbi.nlm.nih.gov/42133388/, friendlyName=Open PubMed</x:v>
      </x:c>
    </x:row>
    <x:row r="1687">
      <x:c r="A1687" s="26" t="str">
        <x:v>PUBMED-42364836</x:v>
      </x:c>
      <x:c r="B1687" s="26" t="n">
        <x:v>2026</x:v>
      </x:c>
      <x:c r="C1687" s="26" t="str">
        <x:v>42364836</x:v>
      </x:c>
      <x:c r="D1687" s="28" t="str">
        <x:v>Beyond diagnosis: Why and how virtual reality should be used in research on neurodevelopmental conditions?</x:v>
      </x:c>
      <x:c r="E1687" s="28" t="str">
        <x:v>Evidence synthesis - review</x:v>
      </x:c>
      <x:c r="F1687" s="28" t="str">
        <x:v>Development &amp; presentation; Recognition &amp; diagnosis; Social &amp; structural; Environmental &amp; lifestyle; Historical &amp; contemporary context</x:v>
      </x:c>
      <x:c r="G1687" s="28" t="str">
        <x:v>Not specified</x:v>
      </x:c>
      <x:c r="H1687" s="28" t="str">
        <x:v>Later specialized</x:v>
      </x:c>
      <x:c r="I1687" s="28" t="str">
        <x:v>Direct or strongly ADHD-related record retained for later screening; typically narrower treatment, biomarker, mechanistic, or single-comorbidity focus.</x:v>
      </x:c>
      <x:c r="J1687" s="38" t="e">
        <x:f>HYPERLINK("https://pubmed.ncbi.nlm.nih.gov/"&amp;C1687&amp;"/","Open PubMed")</x:f>
        <x:v>HYPERLINK is not implemented. linkLocation=https://pubmed.ncbi.nlm.nih.gov/42364836/, friendlyName=Open PubMed</x:v>
      </x:c>
    </x:row>
    <x:row r="1688">
      <x:c r="A1688" s="26" t="str">
        <x:v>PUBMED-42466994</x:v>
      </x:c>
      <x:c r="B1688" s="26" t="n">
        <x:v>2026</x:v>
      </x:c>
      <x:c r="C1688" s="26" t="str">
        <x:v>42466994</x:v>
      </x:c>
      <x:c r="D1688" s="28" t="str">
        <x:v>"Hormones rule me": A qualitative exploration of the impact of perimenopause on women with ADHD.</x:v>
      </x:c>
      <x:c r="E1688" s="28" t="str">
        <x:v>Primary study - qualitative</x:v>
      </x:c>
      <x:c r="F1688" s="28" t="str">
        <x:v>Development &amp; presentation; Social &amp; structural; Life outcomes &amp; lived experience; Historical &amp; contemporary context</x:v>
      </x:c>
      <x:c r="G1688" s="28" t="str">
        <x:v>Adulthood</x:v>
      </x:c>
      <x:c r="H1688" s="28" t="str">
        <x:v>Batch 1 core</x:v>
      </x:c>
      <x:c r="I1688" s="28" t="str">
        <x:v>Direct ADHD primary study on diagnosis, family/education, structural conditions, lived experience/outcomes, or environment/lifestyle.</x:v>
      </x:c>
      <x:c r="J1688" s="38" t="e">
        <x:f>HYPERLINK("https://pubmed.ncbi.nlm.nih.gov/"&amp;C1688&amp;"/","Open PubMed")</x:f>
        <x:v>HYPERLINK is not implemented. linkLocation=https://pubmed.ncbi.nlm.nih.gov/42466994/, friendlyName=Open PubMed</x:v>
      </x:c>
    </x:row>
    <x:row r="1689">
      <x:c r="A1689" s="26" t="str">
        <x:v>PUBMED-42551561</x:v>
      </x:c>
      <x:c r="B1689" s="26" t="n">
        <x:v>2026</x:v>
      </x:c>
      <x:c r="C1689" s="26" t="str">
        <x:v>42551561</x:v>
      </x:c>
      <x:c r="D1689" s="28" t="str">
        <x:v>Shared and disorder-related abnormalities in cortical steady-state responses in ADHD and hypomania at adolescence age.</x:v>
      </x:c>
      <x:c r="E1689" s="28" t="str">
        <x:v>Primary/contextual journal article</x:v>
      </x:c>
      <x:c r="F1689" s="28" t="str">
        <x:v>Development &amp; presentation; Recognition &amp; diagnosis; Social &amp; structural; Environmental &amp; lifestyle</x:v>
      </x:c>
      <x:c r="G1689" s="28" t="str">
        <x:v>Adolescence</x:v>
      </x:c>
      <x:c r="H1689" s="28" t="str">
        <x:v>Later specialized</x:v>
      </x:c>
      <x:c r="I1689" s="28" t="str">
        <x:v>Direct or strongly ADHD-related record retained for later screening; typically narrower treatment, biomarker, mechanistic, or single-comorbidity focus.</x:v>
      </x:c>
      <x:c r="J1689" s="38" t="e">
        <x:f>HYPERLINK("https://pubmed.ncbi.nlm.nih.gov/"&amp;C1689&amp;"/","Open PubMed")</x:f>
        <x:v>HYPERLINK is not implemented. linkLocation=https://pubmed.ncbi.nlm.nih.gov/42551561/, friendlyName=Open PubMed</x:v>
      </x:c>
    </x:row>
    <x:row r="1690">
      <x:c r="A1690" s="26" t="str">
        <x:v>PUBMED-41988851</x:v>
      </x:c>
      <x:c r="B1690" s="26" t="n">
        <x:v>2026</x:v>
      </x:c>
      <x:c r="C1690" s="26" t="str">
        <x:v>41988851</x:v>
      </x:c>
      <x:c r="D1690" s="28" t="str">
        <x:v>Neurodivergence Among Nurses in the Workforce: A Scoping Review.</x:v>
      </x:c>
      <x:c r="E1690" s="28" t="str">
        <x:v>Evidence synthesis - review</x:v>
      </x:c>
      <x:c r="F1690" s="28" t="str">
        <x:v>Development &amp; presentation; Recognition &amp; diagnosis; Social &amp; structural; Environmental &amp; lifestyle; Life outcomes &amp; lived experience; Historical &amp; contemporary context</x:v>
      </x:c>
      <x:c r="G1690" s="28" t="str">
        <x:v>Not specified</x:v>
      </x:c>
      <x:c r="H1690" s="28" t="str">
        <x:v>Later specialized</x:v>
      </x:c>
      <x:c r="I1690" s="28" t="str">
        <x:v>Direct or strongly ADHD-related record retained for later screening; typically narrower treatment, biomarker, mechanistic, or single-comorbidity focus.</x:v>
      </x:c>
      <x:c r="J1690" s="38" t="e">
        <x:f>HYPERLINK("https://pubmed.ncbi.nlm.nih.gov/"&amp;C1690&amp;"/","Open PubMed")</x:f>
        <x:v>HYPERLINK is not implemented. linkLocation=https://pubmed.ncbi.nlm.nih.gov/41988851/, friendlyName=Open PubMed</x:v>
      </x:c>
    </x:row>
    <x:row r="1691">
      <x:c r="A1691" s="26" t="str">
        <x:v>PUBMED-42314257</x:v>
      </x:c>
      <x:c r="B1691" s="26" t="n">
        <x:v>2026</x:v>
      </x:c>
      <x:c r="C1691" s="26" t="str">
        <x:v>42314257</x:v>
      </x:c>
      <x:c r="D1691" s="28" t="str">
        <x:v>A systematic review of the prevalence of ADHD and autism among those experiencing gambling harm.</x:v>
      </x:c>
      <x:c r="E1691" s="28" t="str">
        <x:v>Evidence synthesis - meta-analysis</x:v>
      </x:c>
      <x:c r="F1691" s="28" t="str">
        <x:v>Development &amp; presentation; Recognition &amp; diagnosis</x:v>
      </x:c>
      <x:c r="G1691" s="28" t="str">
        <x:v>Not specified</x:v>
      </x:c>
      <x:c r="H1691" s="28" t="str">
        <x:v>Later specialized</x:v>
      </x:c>
      <x:c r="I1691" s="28" t="str">
        <x:v>Direct or strongly ADHD-related record retained for later screening; typically narrower treatment, biomarker, mechanistic, or single-comorbidity focus.</x:v>
      </x:c>
      <x:c r="J1691" s="38" t="e">
        <x:f>HYPERLINK("https://pubmed.ncbi.nlm.nih.gov/"&amp;C1691&amp;"/","Open PubMed")</x:f>
        <x:v>HYPERLINK is not implemented. linkLocation=https://pubmed.ncbi.nlm.nih.gov/42314257/, friendlyName=Open PubMed</x:v>
      </x:c>
    </x:row>
    <x:row r="1692">
      <x:c r="A1692" s="26" t="str">
        <x:v>PUBMED-42120160</x:v>
      </x:c>
      <x:c r="B1692" s="26" t="n">
        <x:v>2026</x:v>
      </x:c>
      <x:c r="C1692" s="26" t="str">
        <x:v>42120160</x:v>
      </x:c>
      <x:c r="D1692" s="28" t="str">
        <x:v>Diagnosis and Management of Adult Attention-Deficit/Hyperactivity Disorder.</x:v>
      </x:c>
      <x:c r="E1692" s="28" t="str">
        <x:v>Evidence synthesis - review</x:v>
      </x:c>
      <x:c r="F1692" s="28" t="str">
        <x:v>Development &amp; presentation; Recognition &amp; diagnosis; Social &amp; structural; Environmental &amp; lifestyle; Treatment &amp; support; Life outcomes &amp; lived experience</x:v>
      </x:c>
      <x:c r="G1692" s="28" t="str">
        <x:v>Adulthood</x:v>
      </x:c>
      <x:c r="H1692" s="28" t="str">
        <x:v>Later specialized</x:v>
      </x:c>
      <x:c r="I1692" s="28" t="str">
        <x:v>Direct or strongly ADHD-related record retained for later screening; typically narrower treatment, biomarker, mechanistic, or single-comorbidity focus.</x:v>
      </x:c>
      <x:c r="J1692" s="38" t="e">
        <x:f>HYPERLINK("https://pubmed.ncbi.nlm.nih.gov/"&amp;C1692&amp;"/","Open PubMed")</x:f>
        <x:v>HYPERLINK is not implemented. linkLocation=https://pubmed.ncbi.nlm.nih.gov/42120160/, friendlyName=Open PubMed</x:v>
      </x:c>
    </x:row>
    <x:row r="1693">
      <x:c r="A1693" s="26" t="str">
        <x:v>PUBMED-42614105</x:v>
      </x:c>
      <x:c r="B1693" s="26" t="n">
        <x:v>2026</x:v>
      </x:c>
      <x:c r="C1693" s="26" t="str">
        <x:v>42614105</x:v>
      </x:c>
      <x:c r="D1693" s="28" t="str">
        <x:v>Multimodal Digital Therapeutics Enhanced by Task Design and AI for Attention-Deficit/Hyperactivity Disorder Core Symptoms and Executive Functions in Children and Adolescents: Systematic Review and Network Meta-Analysis of Randomized Controlled Trials.</x:v>
      </x:c>
      <x:c r="E1693" s="28" t="str">
        <x:v>Evidence synthesis - meta-analysis</x:v>
      </x:c>
      <x:c r="F1693" s="28" t="str">
        <x:v>Development &amp; presentation; Recognition &amp; diagnosis; Family &amp; education; Social &amp; structural; Treatment &amp; support; Life outcomes &amp; lived experience</x:v>
      </x:c>
      <x:c r="G1693" s="28" t="str">
        <x:v>Childhood; Adolescence</x:v>
      </x:c>
      <x:c r="H1693" s="28" t="str">
        <x:v>Batch 1 core</x:v>
      </x:c>
      <x:c r="I1693" s="28" t="str">
        <x:v>Direct ADHD evidence synthesis/guideline with broad multi-topic relevance.</x:v>
      </x:c>
      <x:c r="J1693" s="38" t="e">
        <x:f>HYPERLINK("https://pubmed.ncbi.nlm.nih.gov/"&amp;C1693&amp;"/","Open PubMed")</x:f>
        <x:v>HYPERLINK is not implemented. linkLocation=https://pubmed.ncbi.nlm.nih.gov/42614105/, friendlyName=Open PubMed</x:v>
      </x:c>
    </x:row>
    <x:row r="1694">
      <x:c r="A1694" s="26" t="str">
        <x:v>PUBMED-42148515</x:v>
      </x:c>
      <x:c r="B1694" s="26" t="n">
        <x:v>2026</x:v>
      </x:c>
      <x:c r="C1694" s="26" t="str">
        <x:v>42148515</x:v>
      </x:c>
      <x:c r="D1694" s="28" t="str">
        <x:v>Comorbid Autism Spectrum Disorder and Attention-Deficit/Hyperactivity Disorder in a Patient with 6q25.1-Q25.3 Microdeletion: A Case Report.</x:v>
      </x:c>
      <x:c r="E1694" s="28" t="str">
        <x:v>Primary/contextual journal article</x:v>
      </x:c>
      <x:c r="F1694" s="28" t="str">
        <x:v>Development &amp; presentation; Social &amp; structural; Treatment &amp; support</x:v>
      </x:c>
      <x:c r="G1694" s="28" t="str">
        <x:v>Adolescence</x:v>
      </x:c>
      <x:c r="H1694" s="28" t="str">
        <x:v>Later specialized</x:v>
      </x:c>
      <x:c r="I1694" s="28" t="str">
        <x:v>Direct or strongly ADHD-related record retained for later screening; typically narrower treatment, biomarker, mechanistic, or single-comorbidity focus.</x:v>
      </x:c>
      <x:c r="J1694" s="38" t="e">
        <x:f>HYPERLINK("https://pubmed.ncbi.nlm.nih.gov/"&amp;C1694&amp;"/","Open PubMed")</x:f>
        <x:v>HYPERLINK is not implemented. linkLocation=https://pubmed.ncbi.nlm.nih.gov/42148515/, friendlyName=Open PubMed</x:v>
      </x:c>
    </x:row>
    <x:row r="1695">
      <x:c r="A1695" s="26" t="str">
        <x:v>PUBMED-42432410</x:v>
      </x:c>
      <x:c r="B1695" s="26" t="n">
        <x:v>2026</x:v>
      </x:c>
      <x:c r="C1695" s="26" t="str">
        <x:v>42432410</x:v>
      </x:c>
      <x:c r="D1695" s="28" t="str">
        <x:v>The Wistar-Kyoto rat as a model relevant to inattentive ADHD: substrain variability and affective comorbidity.</x:v>
      </x:c>
      <x:c r="E1695" s="28" t="str">
        <x:v>Evidence synthesis - review</x:v>
      </x:c>
      <x:c r="F1695" s="28" t="str">
        <x:v>Development &amp; presentation; Social &amp; structural; Environmental &amp; lifestyle; Treatment &amp; support</x:v>
      </x:c>
      <x:c r="G1695" s="28" t="str">
        <x:v>Not specified</x:v>
      </x:c>
      <x:c r="H1695" s="28" t="str">
        <x:v>Later specialized</x:v>
      </x:c>
      <x:c r="I1695" s="28" t="str">
        <x:v>Direct or strongly ADHD-related record retained for later screening; typically narrower treatment, biomarker, mechanistic, or single-comorbidity focus.</x:v>
      </x:c>
      <x:c r="J1695" s="38" t="e">
        <x:f>HYPERLINK("https://pubmed.ncbi.nlm.nih.gov/"&amp;C1695&amp;"/","Open PubMed")</x:f>
        <x:v>HYPERLINK is not implemented. linkLocation=https://pubmed.ncbi.nlm.nih.gov/42432410/, friendlyName=Open PubMed</x:v>
      </x:c>
    </x:row>
    <x:row r="1696">
      <x:c r="A1696" s="26" t="str">
        <x:v>PUBMED-42012356</x:v>
      </x:c>
      <x:c r="B1696" s="26" t="n">
        <x:v>2026</x:v>
      </x:c>
      <x:c r="C1696" s="26" t="str">
        <x:v>42012356</x:v>
      </x:c>
      <x:c r="D1696" s="28" t="str">
        <x:v>Examining the Relationship Between Family-centered Care and Family Resilience in Families of Children and Adolescents With Attention-Deficit Hyperactivity Disorder.</x:v>
      </x:c>
      <x:c r="E1696" s="28" t="str">
        <x:v>Primary/contextual journal article</x:v>
      </x:c>
      <x:c r="F1696" s="28" t="str">
        <x:v>Development &amp; presentation; Family &amp; education; Social &amp; structural; Treatment &amp; support; Life outcomes &amp; lived experience</x:v>
      </x:c>
      <x:c r="G1696" s="28" t="str">
        <x:v>Childhood; Adolescence</x:v>
      </x:c>
      <x:c r="H1696" s="28" t="str">
        <x:v>Later specialized</x:v>
      </x:c>
      <x:c r="I1696" s="28" t="str">
        <x:v>Direct or strongly ADHD-related record retained for later screening; typically narrower treatment, biomarker, mechanistic, or single-comorbidity focus.</x:v>
      </x:c>
      <x:c r="J1696" s="38" t="e">
        <x:f>HYPERLINK("https://pubmed.ncbi.nlm.nih.gov/"&amp;C1696&amp;"/","Open PubMed")</x:f>
        <x:v>HYPERLINK is not implemented. linkLocation=https://pubmed.ncbi.nlm.nih.gov/42012356/, friendlyName=Open PubMed</x:v>
      </x:c>
    </x:row>
    <x:row r="1697">
      <x:c r="A1697" s="26" t="str">
        <x:v>PUBMED-42115258</x:v>
      </x:c>
      <x:c r="B1697" s="26" t="n">
        <x:v>2026</x:v>
      </x:c>
      <x:c r="C1697" s="26" t="str">
        <x:v>42115258</x:v>
      </x:c>
      <x:c r="D1697" s="28" t="str">
        <x:v>ADHD identification from real-life recorded video.</x:v>
      </x:c>
      <x:c r="E1697" s="28" t="str">
        <x:v>Primary/contextual journal article</x:v>
      </x:c>
      <x:c r="F1697" s="28" t="str">
        <x:v>Development &amp; presentation; Recognition &amp; diagnosis; Social &amp; structural; Environmental &amp; lifestyle; Treatment &amp; support</x:v>
      </x:c>
      <x:c r="G1697" s="28" t="str">
        <x:v>Not specified</x:v>
      </x:c>
      <x:c r="H1697" s="28" t="str">
        <x:v>Later specialized</x:v>
      </x:c>
      <x:c r="I1697" s="28" t="str">
        <x:v>Direct or strongly ADHD-related record retained for later screening; typically narrower treatment, biomarker, mechanistic, or single-comorbidity focus.</x:v>
      </x:c>
      <x:c r="J1697" s="38" t="e">
        <x:f>HYPERLINK("https://pubmed.ncbi.nlm.nih.gov/"&amp;C1697&amp;"/","Open PubMed")</x:f>
        <x:v>HYPERLINK is not implemented. linkLocation=https://pubmed.ncbi.nlm.nih.gov/42115258/, friendlyName=Open PubMed</x:v>
      </x:c>
    </x:row>
    <x:row r="1698">
      <x:c r="A1698" s="26" t="str">
        <x:v>PUBMED-42341946</x:v>
      </x:c>
      <x:c r="B1698" s="26" t="n">
        <x:v>2026</x:v>
      </x:c>
      <x:c r="C1698" s="26" t="str">
        <x:v>42341946</x:v>
      </x:c>
      <x:c r="D1698" s="28" t="str">
        <x:v>Mapping the association between cognitive disengagement syndrome and internalizing disorders: A systematic scoping review with meta-analysis and meta-regression.</x:v>
      </x:c>
      <x:c r="E1698" s="28" t="str">
        <x:v>Evidence synthesis - meta-analysis</x:v>
      </x:c>
      <x:c r="F1698" s="28" t="str">
        <x:v>Development &amp; presentation; Recognition &amp; diagnosis; Social &amp; structural; Life outcomes &amp; lived experience</x:v>
      </x:c>
      <x:c r="G1698" s="28" t="str">
        <x:v>Childhood; Adolescence; Adulthood</x:v>
      </x:c>
      <x:c r="H1698" s="28" t="str">
        <x:v>Later specialized</x:v>
      </x:c>
      <x:c r="I1698" s="28" t="str">
        <x:v>Direct or strongly ADHD-related record retained for later screening; typically narrower treatment, biomarker, mechanistic, or single-comorbidity focus.</x:v>
      </x:c>
      <x:c r="J1698" s="38" t="e">
        <x:f>HYPERLINK("https://pubmed.ncbi.nlm.nih.gov/"&amp;C1698&amp;"/","Open PubMed")</x:f>
        <x:v>HYPERLINK is not implemented. linkLocation=https://pubmed.ncbi.nlm.nih.gov/42341946/, friendlyName=Open PubMed</x:v>
      </x:c>
    </x:row>
    <x:row r="1699">
      <x:c r="A1699" s="26" t="str">
        <x:v>PUBMED-42214913</x:v>
      </x:c>
      <x:c r="B1699" s="26" t="n">
        <x:v>2026</x:v>
      </x:c>
      <x:c r="C1699" s="26" t="str">
        <x:v>42214913</x:v>
      </x:c>
      <x:c r="D1699" s="28" t="str">
        <x:v>Gender-related differences in characteristics and treatment response between attention-deficit/hyperactivity disorder Japanese children with and without autism spectrum disorder: a single-center retrospective study.</x:v>
      </x:c>
      <x:c r="E1699" s="28" t="str">
        <x:v>Primary/contextual journal article</x:v>
      </x:c>
      <x:c r="F1699" s="28" t="str">
        <x:v>Development &amp; presentation; Recognition &amp; diagnosis; Social &amp; structural; Treatment &amp; support; Life outcomes &amp; lived experience</x:v>
      </x:c>
      <x:c r="G1699" s="28" t="str">
        <x:v>Childhood; Adolescence</x:v>
      </x:c>
      <x:c r="H1699" s="28" t="str">
        <x:v>Later specialized</x:v>
      </x:c>
      <x:c r="I1699" s="28" t="str">
        <x:v>Direct or strongly ADHD-related record retained for later screening; typically narrower treatment, biomarker, mechanistic, or single-comorbidity focus.</x:v>
      </x:c>
      <x:c r="J1699" s="38" t="e">
        <x:f>HYPERLINK("https://pubmed.ncbi.nlm.nih.gov/"&amp;C1699&amp;"/","Open PubMed")</x:f>
        <x:v>HYPERLINK is not implemented. linkLocation=https://pubmed.ncbi.nlm.nih.gov/42214913/, friendlyName=Open PubMed</x:v>
      </x:c>
    </x:row>
    <x:row r="1700">
      <x:c r="A1700" s="26" t="str">
        <x:v>PUBMED-42391981</x:v>
      </x:c>
      <x:c r="B1700" s="26" t="n">
        <x:v>2026</x:v>
      </x:c>
      <x:c r="C1700" s="26" t="str">
        <x:v>42391981</x:v>
      </x:c>
      <x:c r="D1700" s="28" t="str">
        <x:v>Effect of Australian telepsychiatry services on attention-deficit hyperactivity disorder prescriptions.</x:v>
      </x:c>
      <x:c r="E1700" s="28" t="str">
        <x:v>Primary/contextual journal article</x:v>
      </x:c>
      <x:c r="F1700" s="28" t="str">
        <x:v>Development &amp; presentation; Recognition &amp; diagnosis; Social &amp; structural; Treatment &amp; support; Historical &amp; contemporary context</x:v>
      </x:c>
      <x:c r="G1700" s="28" t="str">
        <x:v>Childhood; Adolescence; Adulthood</x:v>
      </x:c>
      <x:c r="H1700" s="28" t="str">
        <x:v>Later specialized</x:v>
      </x:c>
      <x:c r="I1700" s="28" t="str">
        <x:v>Direct or strongly ADHD-related record retained for later screening; typically narrower treatment, biomarker, mechanistic, or single-comorbidity focus.</x:v>
      </x:c>
      <x:c r="J1700" s="38" t="e">
        <x:f>HYPERLINK("https://pubmed.ncbi.nlm.nih.gov/"&amp;C1700&amp;"/","Open PubMed")</x:f>
        <x:v>HYPERLINK is not implemented. linkLocation=https://pubmed.ncbi.nlm.nih.gov/42391981/, friendlyName=Open PubMed</x:v>
      </x:c>
    </x:row>
    <x:row r="1701">
      <x:c r="A1701" s="26" t="str">
        <x:v>PUBMED-42160259</x:v>
      </x:c>
      <x:c r="B1701" s="26" t="n">
        <x:v>2026</x:v>
      </x:c>
      <x:c r="C1701" s="26" t="str">
        <x:v>42160259</x:v>
      </x:c>
      <x:c r="D1701" s="28" t="str">
        <x:v>Associations between sleep habits, performance in reading and mathematics, and inattention and hyperactivity.</x:v>
      </x:c>
      <x:c r="E1701" s="28" t="str">
        <x:v>Primary/contextual journal article</x:v>
      </x:c>
      <x:c r="F1701" s="28" t="str">
        <x:v>Development &amp; presentation; Family &amp; education; Environmental &amp; lifestyle; Treatment &amp; support; Life outcomes &amp; lived experience</x:v>
      </x:c>
      <x:c r="G1701" s="28" t="str">
        <x:v>Childhood; Adolescence</x:v>
      </x:c>
      <x:c r="H1701" s="28" t="str">
        <x:v>Later specialized</x:v>
      </x:c>
      <x:c r="I1701" s="28" t="str">
        <x:v>Direct or strongly ADHD-related record retained for later screening; typically narrower treatment, biomarker, mechanistic, or single-comorbidity focus.</x:v>
      </x:c>
      <x:c r="J1701" s="38" t="e">
        <x:f>HYPERLINK("https://pubmed.ncbi.nlm.nih.gov/"&amp;C1701&amp;"/","Open PubMed")</x:f>
        <x:v>HYPERLINK is not implemented. linkLocation=https://pubmed.ncbi.nlm.nih.gov/42160259/, friendlyName=Open PubMed</x:v>
      </x:c>
    </x:row>
    <x:row r="1702">
      <x:c r="A1702" s="26" t="str">
        <x:v>PUBMED-42152484</x:v>
      </x:c>
      <x:c r="B1702" s="26" t="n">
        <x:v>2026</x:v>
      </x:c>
      <x:c r="C1702" s="26" t="str">
        <x:v>42152484</x:v>
      </x:c>
      <x:c r="D1702" s="28" t="str">
        <x:v>Perception of ADHD and Compliance in Relation to ADHD Medication.</x:v>
      </x:c>
      <x:c r="E1702" s="28" t="str">
        <x:v>Primary/contextual journal article</x:v>
      </x:c>
      <x:c r="F1702" s="28" t="str">
        <x:v>Development &amp; presentation; Family &amp; education; Social &amp; structural; Treatment &amp; support</x:v>
      </x:c>
      <x:c r="G1702" s="28" t="str">
        <x:v>Adolescence; Adulthood</x:v>
      </x:c>
      <x:c r="H1702" s="28" t="str">
        <x:v>Later specialized</x:v>
      </x:c>
      <x:c r="I1702" s="28" t="str">
        <x:v>Direct or strongly ADHD-related record retained for later screening; typically narrower treatment, biomarker, mechanistic, or single-comorbidity focus.</x:v>
      </x:c>
      <x:c r="J1702" s="38" t="e">
        <x:f>HYPERLINK("https://pubmed.ncbi.nlm.nih.gov/"&amp;C1702&amp;"/","Open PubMed")</x:f>
        <x:v>HYPERLINK is not implemented. linkLocation=https://pubmed.ncbi.nlm.nih.gov/42152484/, friendlyName=Open PubMed</x:v>
      </x:c>
    </x:row>
    <x:row r="1703">
      <x:c r="A1703" s="26" t="str">
        <x:v>PUBMED-42617113</x:v>
      </x:c>
      <x:c r="B1703" s="26" t="n">
        <x:v>2026</x:v>
      </x:c>
      <x:c r="C1703" s="26" t="str">
        <x:v>42617113</x:v>
      </x:c>
      <x:c r="D1703" s="28" t="str">
        <x:v>The monthly spectrum: Premenstrual symptoms across ADHD and autism.</x:v>
      </x:c>
      <x:c r="E1703" s="28" t="str">
        <x:v>Primary study - cross-sectional</x:v>
      </x:c>
      <x:c r="F1703" s="28" t="str">
        <x:v>Development &amp; presentation; Recognition &amp; diagnosis; Social &amp; structural; Historical &amp; contemporary context</x:v>
      </x:c>
      <x:c r="G1703" s="28" t="str">
        <x:v>Adulthood</x:v>
      </x:c>
      <x:c r="H1703" s="28" t="str">
        <x:v>Later specialized</x:v>
      </x:c>
      <x:c r="I1703" s="28" t="str">
        <x:v>Direct or strongly ADHD-related record retained for later screening; typically narrower treatment, biomarker, mechanistic, or single-comorbidity focus.</x:v>
      </x:c>
      <x:c r="J1703" s="38" t="e">
        <x:f>HYPERLINK("https://pubmed.ncbi.nlm.nih.gov/"&amp;C1703&amp;"/","Open PubMed")</x:f>
        <x:v>HYPERLINK is not implemented. linkLocation=https://pubmed.ncbi.nlm.nih.gov/42617113/, friendlyName=Open PubMed</x:v>
      </x:c>
    </x:row>
    <x:row r="1704">
      <x:c r="A1704" s="26" t="str">
        <x:v>PUBMED-42580811</x:v>
      </x:c>
      <x:c r="B1704" s="26" t="n">
        <x:v>2026</x:v>
      </x:c>
      <x:c r="C1704" s="26" t="str">
        <x:v>42580811</x:v>
      </x:c>
      <x:c r="D1704" s="28" t="str">
        <x:v>Real-world ADHD pharmacological treatment patterns and their association with negative clinical outcomes in youth with comorbid autism: a Swedish population-based study.</x:v>
      </x:c>
      <x:c r="E1704" s="28" t="str">
        <x:v>Primary study - cohort</x:v>
      </x:c>
      <x:c r="F1704" s="28" t="str">
        <x:v>Development &amp; presentation; Recognition &amp; diagnosis; Social &amp; structural; Treatment &amp; support; Life outcomes &amp; lived experience</x:v>
      </x:c>
      <x:c r="G1704" s="28" t="str">
        <x:v>Childhood; Adolescence</x:v>
      </x:c>
      <x:c r="H1704" s="28" t="str">
        <x:v>Later specialized</x:v>
      </x:c>
      <x:c r="I1704" s="28" t="str">
        <x:v>Direct or strongly ADHD-related record retained for later screening; typically narrower treatment, biomarker, mechanistic, or single-comorbidity focus.</x:v>
      </x:c>
      <x:c r="J1704" s="38" t="e">
        <x:f>HYPERLINK("https://pubmed.ncbi.nlm.nih.gov/"&amp;C1704&amp;"/","Open PubMed")</x:f>
        <x:v>HYPERLINK is not implemented. linkLocation=https://pubmed.ncbi.nlm.nih.gov/42580811/, friendlyName=Open PubMed</x:v>
      </x:c>
    </x:row>
    <x:row r="1705">
      <x:c r="A1705" s="26" t="str">
        <x:v>PUBMED-42175507</x:v>
      </x:c>
      <x:c r="B1705" s="26" t="n">
        <x:v>2026</x:v>
      </x:c>
      <x:c r="C1705" s="26" t="str">
        <x:v>42175507</x:v>
      </x:c>
      <x:c r="D1705" s="28" t="str">
        <x:v>The association between asthma and ADHD in children and adolescents: An observational study and a meta-analysis of Mendelian randomization studies.</x:v>
      </x:c>
      <x:c r="E1705" s="28" t="str">
        <x:v>Evidence synthesis - meta-analysis</x:v>
      </x:c>
      <x:c r="F1705" s="28" t="str">
        <x:v>Development &amp; presentation; Recognition &amp; diagnosis; Family &amp; education; Social &amp; structural; Environmental &amp; lifestyle; Life outcomes &amp; lived experience</x:v>
      </x:c>
      <x:c r="G1705" s="28" t="str">
        <x:v>Childhood; Adolescence; Adulthood</x:v>
      </x:c>
      <x:c r="H1705" s="28" t="str">
        <x:v>Batch 1 core</x:v>
      </x:c>
      <x:c r="I1705" s="28" t="str">
        <x:v>Direct ADHD evidence synthesis/guideline with broad multi-topic relevance.</x:v>
      </x:c>
      <x:c r="J1705" s="38" t="e">
        <x:f>HYPERLINK("https://pubmed.ncbi.nlm.nih.gov/"&amp;C1705&amp;"/","Open PubMed")</x:f>
        <x:v>HYPERLINK is not implemented. linkLocation=https://pubmed.ncbi.nlm.nih.gov/42175507/, friendlyName=Open PubMed</x:v>
      </x:c>
    </x:row>
    <x:row r="1706">
      <x:c r="A1706" s="26" t="str">
        <x:v>PUBMED-42240502</x:v>
      </x:c>
      <x:c r="B1706" s="26" t="n">
        <x:v>2026</x:v>
      </x:c>
      <x:c r="C1706" s="26" t="str">
        <x:v>42240502</x:v>
      </x:c>
      <x:c r="D1706" s="28" t="str">
        <x:v>Quality and reliability of YouTube videos on attention deficit hyperactivity disorder: A cross-sectional study.</x:v>
      </x:c>
      <x:c r="E1706" s="28" t="str">
        <x:v>Primary study - cross-sectional</x:v>
      </x:c>
      <x:c r="F1706" s="28" t="str">
        <x:v>Development &amp; presentation; Recognition &amp; diagnosis; Social &amp; structural; Environmental &amp; lifestyle; Treatment &amp; support; Historical &amp; contemporary context</x:v>
      </x:c>
      <x:c r="G1706" s="28" t="str">
        <x:v>Childhood; Adolescence</x:v>
      </x:c>
      <x:c r="H1706" s="28" t="str">
        <x:v>Later specialized</x:v>
      </x:c>
      <x:c r="I1706" s="28" t="str">
        <x:v>Direct or strongly ADHD-related record retained for later screening; typically narrower treatment, biomarker, mechanistic, or single-comorbidity focus.</x:v>
      </x:c>
      <x:c r="J1706" s="38" t="e">
        <x:f>HYPERLINK("https://pubmed.ncbi.nlm.nih.gov/"&amp;C1706&amp;"/","Open PubMed")</x:f>
        <x:v>HYPERLINK is not implemented. linkLocation=https://pubmed.ncbi.nlm.nih.gov/42240502/, friendlyName=Open PubMed</x:v>
      </x:c>
    </x:row>
    <x:row r="1707">
      <x:c r="A1707" s="26" t="str">
        <x:v>PUBMED-42481891</x:v>
      </x:c>
      <x:c r="B1707" s="26" t="n">
        <x:v>2026</x:v>
      </x:c>
      <x:c r="C1707" s="26" t="str">
        <x:v>42481891</x:v>
      </x:c>
      <x:c r="D1707" s="28" t="str">
        <x:v>ADHD, Impulsivity, and Affective Symptoms in Metabolic and Bariatric Surgery Candidates.</x:v>
      </x:c>
      <x:c r="E1707" s="28" t="str">
        <x:v>Primary/contextual journal article</x:v>
      </x:c>
      <x:c r="F1707" s="28" t="str">
        <x:v>Development &amp; presentation; Recognition &amp; diagnosis; Social &amp; structural; Treatment &amp; support</x:v>
      </x:c>
      <x:c r="G1707" s="28" t="str">
        <x:v>Adulthood</x:v>
      </x:c>
      <x:c r="H1707" s="28" t="str">
        <x:v>Later specialized</x:v>
      </x:c>
      <x:c r="I1707" s="28" t="str">
        <x:v>Direct or strongly ADHD-related record retained for later screening; typically narrower treatment, biomarker, mechanistic, or single-comorbidity focus.</x:v>
      </x:c>
      <x:c r="J1707" s="38" t="e">
        <x:f>HYPERLINK("https://pubmed.ncbi.nlm.nih.gov/"&amp;C1707&amp;"/","Open PubMed")</x:f>
        <x:v>HYPERLINK is not implemented. linkLocation=https://pubmed.ncbi.nlm.nih.gov/42481891/, friendlyName=Open PubMed</x:v>
      </x:c>
    </x:row>
    <x:row r="1708">
      <x:c r="A1708" s="26" t="str">
        <x:v>PUBMED-42193940</x:v>
      </x:c>
      <x:c r="B1708" s="26" t="n">
        <x:v>2026</x:v>
      </x:c>
      <x:c r="C1708" s="26" t="str">
        <x:v>42193940</x:v>
      </x:c>
      <x:c r="D1708" s="28" t="str">
        <x:v>Modelling the Neurobiology of ADHD Using Human iPSC Systems: A Multimodal Platform for Mechanistic Discovery.</x:v>
      </x:c>
      <x:c r="E1708" s="28" t="str">
        <x:v>Evidence synthesis - review</x:v>
      </x:c>
      <x:c r="F1708" s="28" t="str">
        <x:v>Development &amp; presentation; Social &amp; structural; Treatment &amp; support</x:v>
      </x:c>
      <x:c r="G1708" s="28" t="str">
        <x:v>Not specified</x:v>
      </x:c>
      <x:c r="H1708" s="28" t="str">
        <x:v>Later specialized</x:v>
      </x:c>
      <x:c r="I1708" s="28" t="str">
        <x:v>Direct or strongly ADHD-related record retained for later screening; typically narrower treatment, biomarker, mechanistic, or single-comorbidity focus.</x:v>
      </x:c>
      <x:c r="J1708" s="38" t="e">
        <x:f>HYPERLINK("https://pubmed.ncbi.nlm.nih.gov/"&amp;C1708&amp;"/","Open PubMed")</x:f>
        <x:v>HYPERLINK is not implemented. linkLocation=https://pubmed.ncbi.nlm.nih.gov/42193940/, friendlyName=Open PubMed</x:v>
      </x:c>
    </x:row>
    <x:row r="1709">
      <x:c r="A1709" s="26" t="str">
        <x:v>PUBMED-42660578</x:v>
      </x:c>
      <x:c r="B1709" s="26" t="n">
        <x:v>2026</x:v>
      </x:c>
      <x:c r="C1709" s="26" t="str">
        <x:v>42660578</x:v>
      </x:c>
      <x:c r="D1709" s="28" t="str">
        <x:v>I-PCIT Engagement and Outcomes in Children With Neurodevelopmental Disorders.</x:v>
      </x:c>
      <x:c r="E1709" s="28" t="str">
        <x:v>Primary/contextual journal article</x:v>
      </x:c>
      <x:c r="F1709" s="28" t="str">
        <x:v>Development &amp; presentation; Recognition &amp; diagnosis; Family &amp; education; Social &amp; structural; Environmental &amp; lifestyle; Treatment &amp; support; Life outcomes &amp; lived experience</x:v>
      </x:c>
      <x:c r="G1709" s="28" t="str">
        <x:v>Childhood</x:v>
      </x:c>
      <x:c r="H1709" s="28" t="str">
        <x:v>Later specialized</x:v>
      </x:c>
      <x:c r="I1709" s="28" t="str">
        <x:v>Direct or strongly ADHD-related record retained for later screening; typically narrower treatment, biomarker, mechanistic, or single-comorbidity focus.</x:v>
      </x:c>
      <x:c r="J1709" s="38" t="e">
        <x:f>HYPERLINK("https://pubmed.ncbi.nlm.nih.gov/"&amp;C1709&amp;"/","Open PubMed")</x:f>
        <x:v>HYPERLINK is not implemented. linkLocation=https://pubmed.ncbi.nlm.nih.gov/42660578/, friendlyName=Open PubMed</x:v>
      </x:c>
    </x:row>
    <x:row r="1710">
      <x:c r="A1710" s="26" t="str">
        <x:v>PUBMED-42045030</x:v>
      </x:c>
      <x:c r="B1710" s="26" t="n">
        <x:v>2026</x:v>
      </x:c>
      <x:c r="C1710" s="26" t="str">
        <x:v>42045030</x:v>
      </x:c>
      <x:c r="D1710" s="28" t="str">
        <x:v>[Patient and family predictors of group intervention outcomes in children with attention-deficit/hyperactivity disorder: a multidimensional model analysis].</x:v>
      </x:c>
      <x:c r="E1710" s="28" t="str">
        <x:v>Primary/contextual journal article</x:v>
      </x:c>
      <x:c r="F1710" s="28" t="str">
        <x:v>Development &amp; presentation; Recognition &amp; diagnosis; Family &amp; education; Social &amp; structural; Treatment &amp; support; Life outcomes &amp; lived experience</x:v>
      </x:c>
      <x:c r="G1710" s="28" t="str">
        <x:v>Childhood</x:v>
      </x:c>
      <x:c r="H1710" s="28" t="str">
        <x:v>Later specialized</x:v>
      </x:c>
      <x:c r="I1710" s="28" t="str">
        <x:v>Direct or strongly ADHD-related record retained for later screening; typically narrower treatment, biomarker, mechanistic, or single-comorbidity focus.</x:v>
      </x:c>
      <x:c r="J1710" s="38" t="e">
        <x:f>HYPERLINK("https://pubmed.ncbi.nlm.nih.gov/"&amp;C1710&amp;"/","Open PubMed")</x:f>
        <x:v>HYPERLINK is not implemented. linkLocation=https://pubmed.ncbi.nlm.nih.gov/42045030/, friendlyName=Open PubMed</x:v>
      </x:c>
    </x:row>
    <x:row r="1711">
      <x:c r="A1711" s="26" t="str">
        <x:v>PUBMED-42507150</x:v>
      </x:c>
      <x:c r="B1711" s="26" t="n">
        <x:v>2026</x:v>
      </x:c>
      <x:c r="C1711" s="26" t="str">
        <x:v>42507150</x:v>
      </x:c>
      <x:c r="D1711" s="28" t="str">
        <x:v>Neurobehavioral, sleep and bladder dysfunction in children with primary nocturnal enuresis.</x:v>
      </x:c>
      <x:c r="E1711" s="28" t="str">
        <x:v>Primary/contextual journal article</x:v>
      </x:c>
      <x:c r="F1711" s="28" t="str">
        <x:v>Development &amp; presentation; Recognition &amp; diagnosis; Family &amp; education; Social &amp; structural; Environmental &amp; lifestyle; Treatment &amp; support; Historical &amp; contemporary context</x:v>
      </x:c>
      <x:c r="G1711" s="28" t="str">
        <x:v>Childhood</x:v>
      </x:c>
      <x:c r="H1711" s="28" t="str">
        <x:v>Later specialized</x:v>
      </x:c>
      <x:c r="I1711" s="28" t="str">
        <x:v>Direct or strongly ADHD-related record retained for later screening; typically narrower treatment, biomarker, mechanistic, or single-comorbidity focus.</x:v>
      </x:c>
      <x:c r="J1711" s="38" t="e">
        <x:f>HYPERLINK("https://pubmed.ncbi.nlm.nih.gov/"&amp;C1711&amp;"/","Open PubMed")</x:f>
        <x:v>HYPERLINK is not implemented. linkLocation=https://pubmed.ncbi.nlm.nih.gov/42507150/, friendlyName=Open PubMed</x:v>
      </x:c>
    </x:row>
    <x:row r="1712">
      <x:c r="A1712" s="26" t="str">
        <x:v>PUBMED-42316867</x:v>
      </x:c>
      <x:c r="B1712" s="26" t="n">
        <x:v>2026</x:v>
      </x:c>
      <x:c r="C1712" s="26" t="str">
        <x:v>42316867</x:v>
      </x:c>
      <x:c r="D1712" s="28" t="str">
        <x:v>Tool for Converting ADHD Rating Scales Scores Based on Individual Participant Data from 53 Randomized Controlled Trials of ADHD Medications.</x:v>
      </x:c>
      <x:c r="E1712" s="28" t="str">
        <x:v>Primary/contextual journal article</x:v>
      </x:c>
      <x:c r="F1712" s="28" t="str">
        <x:v>Development &amp; presentation; Recognition &amp; diagnosis; Family &amp; education; Social &amp; structural; Treatment &amp; support; Historical &amp; contemporary context</x:v>
      </x:c>
      <x:c r="G1712" s="28" t="str">
        <x:v>Childhood; Adolescence; Adulthood</x:v>
      </x:c>
      <x:c r="H1712" s="28" t="str">
        <x:v>Later specialized</x:v>
      </x:c>
      <x:c r="I1712" s="28" t="str">
        <x:v>Direct or strongly ADHD-related record retained for later screening; typically narrower treatment, biomarker, mechanistic, or single-comorbidity focus.</x:v>
      </x:c>
      <x:c r="J1712" s="38" t="e">
        <x:f>HYPERLINK("https://pubmed.ncbi.nlm.nih.gov/"&amp;C1712&amp;"/","Open PubMed")</x:f>
        <x:v>HYPERLINK is not implemented. linkLocation=https://pubmed.ncbi.nlm.nih.gov/42316867/, friendlyName=Open PubMed</x:v>
      </x:c>
    </x:row>
    <x:row r="1713">
      <x:c r="A1713" s="26" t="str">
        <x:v>PUBMED-42645026</x:v>
      </x:c>
      <x:c r="B1713" s="26" t="n">
        <x:v>2026</x:v>
      </x:c>
      <x:c r="C1713" s="26" t="str">
        <x:v>42645026</x:v>
      </x:c>
      <x:c r="D1713" s="28" t="str">
        <x:v>Cortical Region Reporting Patterns in Neurodevelopmental Disorders: A Systematic Review of fNIRS Studies.</x:v>
      </x:c>
      <x:c r="E1713" s="28" t="str">
        <x:v>Evidence synthesis - systematic review</x:v>
      </x:c>
      <x:c r="F1713" s="28" t="str">
        <x:v>Development &amp; presentation; Recognition &amp; diagnosis; Social &amp; structural</x:v>
      </x:c>
      <x:c r="G1713" s="28" t="str">
        <x:v>Childhood</x:v>
      </x:c>
      <x:c r="H1713" s="28" t="str">
        <x:v>Exclude/incidental</x:v>
      </x:c>
      <x:c r="I1713" s="28" t="str">
        <x:v>ADHD appears peripheral or insufficiently aligned with the requested corpus scope based on accessible metadata/abstract.</x:v>
      </x:c>
      <x:c r="J1713" s="38" t="e">
        <x:f>HYPERLINK("https://pubmed.ncbi.nlm.nih.gov/"&amp;C1713&amp;"/","Open PubMed")</x:f>
        <x:v>HYPERLINK is not implemented. linkLocation=https://pubmed.ncbi.nlm.nih.gov/42645026/, friendlyName=Open PubMed</x:v>
      </x:c>
    </x:row>
    <x:row r="1714">
      <x:c r="A1714" s="26" t="str">
        <x:v>PUBMED-42573982</x:v>
      </x:c>
      <x:c r="B1714" s="26" t="n">
        <x:v>2026</x:v>
      </x:c>
      <x:c r="C1714" s="26" t="str">
        <x:v>42573982</x:v>
      </x:c>
      <x:c r="D1714" s="28" t="str">
        <x:v>Cognitive Index Differences on the WISC-IV Among Children with Specific Learning Disorder, Attention-Deficit/Hyperactivity Disorder, and a Clinically Evaluated Comparison Group: A Cross-Sectional Evaluation.</x:v>
      </x:c>
      <x:c r="E1714" s="28" t="str">
        <x:v>Primary study - cross-sectional</x:v>
      </x:c>
      <x:c r="F1714" s="28" t="str">
        <x:v>Development &amp; presentation; Recognition &amp; diagnosis; Family &amp; education; Social &amp; structural; Life outcomes &amp; lived experience</x:v>
      </x:c>
      <x:c r="G1714" s="28" t="str">
        <x:v>Childhood; Adolescence</x:v>
      </x:c>
      <x:c r="H1714" s="28" t="str">
        <x:v>Later specialized</x:v>
      </x:c>
      <x:c r="I1714" s="28" t="str">
        <x:v>Direct or strongly ADHD-related record retained for later screening; typically narrower treatment, biomarker, mechanistic, or single-comorbidity focus.</x:v>
      </x:c>
      <x:c r="J1714" s="38" t="e">
        <x:f>HYPERLINK("https://pubmed.ncbi.nlm.nih.gov/"&amp;C1714&amp;"/","Open PubMed")</x:f>
        <x:v>HYPERLINK is not implemented. linkLocation=https://pubmed.ncbi.nlm.nih.gov/42573982/, friendlyName=Open PubMed</x:v>
      </x:c>
    </x:row>
    <x:row r="1715">
      <x:c r="A1715" s="26" t="str">
        <x:v>PUBMED-42310595</x:v>
      </x:c>
      <x:c r="B1715" s="26" t="n">
        <x:v>2026</x:v>
      </x:c>
      <x:c r="C1715" s="26" t="str">
        <x:v>42310595</x:v>
      </x:c>
      <x:c r="D1715" s="28" t="str">
        <x:v>Nomophobia in mothers of children with ADHD: associations with depressive and anxiety symptoms.</x:v>
      </x:c>
      <x:c r="E1715" s="28" t="str">
        <x:v>Primary/contextual journal article</x:v>
      </x:c>
      <x:c r="F1715" s="28" t="str">
        <x:v>Development &amp; presentation; Recognition &amp; diagnosis; Family &amp; education; Social &amp; structural; Environmental &amp; lifestyle; Life outcomes &amp; lived experience</x:v>
      </x:c>
      <x:c r="G1715" s="28" t="str">
        <x:v>Childhood; Adulthood</x:v>
      </x:c>
      <x:c r="H1715" s="28" t="str">
        <x:v>Later specialized</x:v>
      </x:c>
      <x:c r="I1715" s="28" t="str">
        <x:v>Direct or strongly ADHD-related record retained for later screening; typically narrower treatment, biomarker, mechanistic, or single-comorbidity focus.</x:v>
      </x:c>
      <x:c r="J1715" s="38" t="e">
        <x:f>HYPERLINK("https://pubmed.ncbi.nlm.nih.gov/"&amp;C1715&amp;"/","Open PubMed")</x:f>
        <x:v>HYPERLINK is not implemented. linkLocation=https://pubmed.ncbi.nlm.nih.gov/42310595/, friendlyName=Open PubMed</x:v>
      </x:c>
    </x:row>
    <x:row r="1716">
      <x:c r="A1716" s="26" t="str">
        <x:v>PUBMED-42366435</x:v>
      </x:c>
      <x:c r="B1716" s="26" t="n">
        <x:v>2026</x:v>
      </x:c>
      <x:c r="C1716" s="26" t="str">
        <x:v>42366435</x:v>
      </x:c>
      <x:c r="D1716" s="28" t="str">
        <x:v>[Graph convolution-based brain network analysis of visual mismatch negativity in adults with attention-deficit/hyperactivity disorder].</x:v>
      </x:c>
      <x:c r="E1716" s="28" t="str">
        <x:v>Primary/contextual journal article</x:v>
      </x:c>
      <x:c r="F1716" s="28" t="str">
        <x:v>Development &amp; presentation; Social &amp; structural</x:v>
      </x:c>
      <x:c r="G1716" s="28" t="str">
        <x:v>Adulthood</x:v>
      </x:c>
      <x:c r="H1716" s="28" t="str">
        <x:v>Later specialized</x:v>
      </x:c>
      <x:c r="I1716" s="28" t="str">
        <x:v>Direct or strongly ADHD-related record retained for later screening; typically narrower treatment, biomarker, mechanistic, or single-comorbidity focus.</x:v>
      </x:c>
      <x:c r="J1716" s="38" t="e">
        <x:f>HYPERLINK("https://pubmed.ncbi.nlm.nih.gov/"&amp;C1716&amp;"/","Open PubMed")</x:f>
        <x:v>HYPERLINK is not implemented. linkLocation=https://pubmed.ncbi.nlm.nih.gov/42366435/, friendlyName=Open PubMed</x:v>
      </x:c>
    </x:row>
    <x:row r="1717">
      <x:c r="A1717" s="26" t="str">
        <x:v>PUBMED-42579111</x:v>
      </x:c>
      <x:c r="B1717" s="26" t="n">
        <x:v>2026</x:v>
      </x:c>
      <x:c r="C1717" s="26" t="str">
        <x:v>42579111</x:v>
      </x:c>
      <x:c r="D1717" s="28" t="str">
        <x:v>Sex- and Trimester-Specific Associations of Prenatal Co-Exposure to Organophosphate Esters and Phthalates with Preschoolers' Trajectories of Co-Occurring ADHD and ASD Symptoms: Cord Blood Metabolomic Study in the Ma'anshan Birth Cohort.</x:v>
      </x:c>
      <x:c r="E1717" s="28" t="str">
        <x:v>Primary study - cohort</x:v>
      </x:c>
      <x:c r="F1717" s="28" t="str">
        <x:v>Development &amp; presentation; Family &amp; education; Social &amp; structural; Environmental &amp; lifestyle</x:v>
      </x:c>
      <x:c r="G1717" s="28" t="str">
        <x:v>Childhood</x:v>
      </x:c>
      <x:c r="H1717" s="28" t="str">
        <x:v>Batch 1 core</x:v>
      </x:c>
      <x:c r="I1717" s="28" t="str">
        <x:v>Direct ADHD primary study on diagnosis, family/education, structural conditions, lived experience/outcomes, or environment/lifestyle.</x:v>
      </x:c>
      <x:c r="J1717" s="38" t="e">
        <x:f>HYPERLINK("https://pubmed.ncbi.nlm.nih.gov/"&amp;C1717&amp;"/","Open PubMed")</x:f>
        <x:v>HYPERLINK is not implemented. linkLocation=https://pubmed.ncbi.nlm.nih.gov/42579111/, friendlyName=Open PubMed</x:v>
      </x:c>
    </x:row>
    <x:row r="1718">
      <x:c r="A1718" s="26" t="str">
        <x:v>PUBMED-42213026</x:v>
      </x:c>
      <x:c r="B1718" s="26" t="n">
        <x:v>2026</x:v>
      </x:c>
      <x:c r="C1718" s="26" t="str">
        <x:v>42213026</x:v>
      </x:c>
      <x:c r="D1718" s="28" t="str">
        <x:v>Resident Registered Nurse Anesthetists' Use of Cognitive Enhancers in the U.S.</x:v>
      </x:c>
      <x:c r="E1718" s="28" t="str">
        <x:v>Primary study - cross-sectional</x:v>
      </x:c>
      <x:c r="F1718" s="28" t="str">
        <x:v>Development &amp; presentation; Recognition &amp; diagnosis; Family &amp; education; Social &amp; structural; Treatment &amp; support</x:v>
      </x:c>
      <x:c r="G1718" s="28" t="str">
        <x:v>Adulthood</x:v>
      </x:c>
      <x:c r="H1718" s="28" t="str">
        <x:v>Later specialized</x:v>
      </x:c>
      <x:c r="I1718" s="28" t="str">
        <x:v>Direct or strongly ADHD-related record retained for later screening; typically narrower treatment, biomarker, mechanistic, or single-comorbidity focus.</x:v>
      </x:c>
      <x:c r="J1718" s="38" t="e">
        <x:f>HYPERLINK("https://pubmed.ncbi.nlm.nih.gov/"&amp;C1718&amp;"/","Open PubMed")</x:f>
        <x:v>HYPERLINK is not implemented. linkLocation=https://pubmed.ncbi.nlm.nih.gov/42213026/, friendlyName=Open PubMed</x:v>
      </x:c>
    </x:row>
    <x:row r="1719">
      <x:c r="A1719" s="26" t="str">
        <x:v>PUBMED-42218194</x:v>
      </x:c>
      <x:c r="B1719" s="26" t="n">
        <x:v>2026</x:v>
      </x:c>
      <x:c r="C1719" s="26" t="str">
        <x:v>42218194</x:v>
      </x:c>
      <x:c r="D1719" s="28" t="str">
        <x:v>Machine learning-based screening model for Tic disorders comorbid with attention-deficit/hyperactivity disorder in children and SHAP value interpretation: a retrospective observational study.</x:v>
      </x:c>
      <x:c r="E1719" s="28" t="str">
        <x:v>Primary study - cohort</x:v>
      </x:c>
      <x:c r="F1719" s="28" t="str">
        <x:v>Development &amp; presentation; Recognition &amp; diagnosis; Family &amp; education; Social &amp; structural; Environmental &amp; lifestyle; Treatment &amp; support; Historical &amp; contemporary context</x:v>
      </x:c>
      <x:c r="G1719" s="28" t="str">
        <x:v>Childhood; Adolescence</x:v>
      </x:c>
      <x:c r="H1719" s="28" t="str">
        <x:v>Batch 1 core</x:v>
      </x:c>
      <x:c r="I1719" s="28" t="str">
        <x:v>Direct ADHD primary study on diagnosis, family/education, structural conditions, lived experience/outcomes, or environment/lifestyle.</x:v>
      </x:c>
      <x:c r="J1719" s="38" t="e">
        <x:f>HYPERLINK("https://pubmed.ncbi.nlm.nih.gov/"&amp;C1719&amp;"/","Open PubMed")</x:f>
        <x:v>HYPERLINK is not implemented. linkLocation=https://pubmed.ncbi.nlm.nih.gov/42218194/, friendlyName=Open PubMed</x:v>
      </x:c>
    </x:row>
    <x:row r="1720">
      <x:c r="A1720" s="26" t="str">
        <x:v>PUBMED-42145502</x:v>
      </x:c>
      <x:c r="B1720" s="26" t="n">
        <x:v>2026</x:v>
      </x:c>
      <x:c r="C1720" s="26" t="str">
        <x:v>42145502</x:v>
      </x:c>
      <x:c r="D1720" s="28" t="str">
        <x:v>Influence of rhythmic music game intervention on executive function and sensorimotor ability of children with attention deficit hyperactivity disorder.</x:v>
      </x:c>
      <x:c r="E1720" s="28" t="str">
        <x:v>Primary study - randomized controlled trial</x:v>
      </x:c>
      <x:c r="F1720" s="28" t="str">
        <x:v>Development &amp; presentation; Recognition &amp; diagnosis; Family &amp; education; Social &amp; structural; Treatment &amp; support</x:v>
      </x:c>
      <x:c r="G1720" s="28" t="str">
        <x:v>Childhood</x:v>
      </x:c>
      <x:c r="H1720" s="28" t="str">
        <x:v>Later specialized</x:v>
      </x:c>
      <x:c r="I1720" s="28" t="str">
        <x:v>Direct or strongly ADHD-related record retained for later screening; typically narrower treatment, biomarker, mechanistic, or single-comorbidity focus.</x:v>
      </x:c>
      <x:c r="J1720" s="38" t="e">
        <x:f>HYPERLINK("https://pubmed.ncbi.nlm.nih.gov/"&amp;C1720&amp;"/","Open PubMed")</x:f>
        <x:v>HYPERLINK is not implemented. linkLocation=https://pubmed.ncbi.nlm.nih.gov/42145502/, friendlyName=Open PubMed</x:v>
      </x:c>
    </x:row>
    <x:row r="1721">
      <x:c r="A1721" s="26" t="str">
        <x:v>PUBMED-42417680</x:v>
      </x:c>
      <x:c r="B1721" s="26" t="n">
        <x:v>2026</x:v>
      </x:c>
      <x:c r="C1721" s="26" t="str">
        <x:v>42417680</x:v>
      </x:c>
      <x:c r="D1721" s="28" t="str">
        <x:v>Specific frontostriatal structural alterations underlie emotional instability but not inattention in ADHD and healthy individuals.</x:v>
      </x:c>
      <x:c r="E1721" s="28" t="str">
        <x:v>Primary study - cross-sectional</x:v>
      </x:c>
      <x:c r="F1721" s="28" t="str">
        <x:v>Development &amp; presentation; Recognition &amp; diagnosis; Social &amp; structural; Treatment &amp; support</x:v>
      </x:c>
      <x:c r="G1721" s="28" t="str">
        <x:v>Adulthood</x:v>
      </x:c>
      <x:c r="H1721" s="28" t="str">
        <x:v>Later specialized</x:v>
      </x:c>
      <x:c r="I1721" s="28" t="str">
        <x:v>Direct or strongly ADHD-related record retained for later screening; typically narrower treatment, biomarker, mechanistic, or single-comorbidity focus.</x:v>
      </x:c>
      <x:c r="J1721" s="38" t="e">
        <x:f>HYPERLINK("https://pubmed.ncbi.nlm.nih.gov/"&amp;C1721&amp;"/","Open PubMed")</x:f>
        <x:v>HYPERLINK is not implemented. linkLocation=https://pubmed.ncbi.nlm.nih.gov/42417680/, friendlyName=Open PubMed</x:v>
      </x:c>
    </x:row>
    <x:row r="1722">
      <x:c r="A1722" s="26" t="str">
        <x:v>PUBMED-42310588</x:v>
      </x:c>
      <x:c r="B1722" s="26" t="n">
        <x:v>2026</x:v>
      </x:c>
      <x:c r="C1722" s="26" t="str">
        <x:v>42310588</x:v>
      </x:c>
      <x:c r="D1722" s="28" t="str">
        <x:v>Autistic traits in children with ADHD: preliminary evidence for a subgroup with elevated rule-breaking and aggressive behaviors.</x:v>
      </x:c>
      <x:c r="E1722" s="28" t="str">
        <x:v>Primary study - case-control</x:v>
      </x:c>
      <x:c r="F1722" s="28" t="str">
        <x:v>Development &amp; presentation; Recognition &amp; diagnosis; Social &amp; structural; Environmental &amp; lifestyle; Treatment &amp; support; Life outcomes &amp; lived experience</x:v>
      </x:c>
      <x:c r="G1722" s="28" t="str">
        <x:v>Childhood</x:v>
      </x:c>
      <x:c r="H1722" s="28" t="str">
        <x:v>Later specialized</x:v>
      </x:c>
      <x:c r="I1722" s="28" t="str">
        <x:v>Direct or strongly ADHD-related record retained for later screening; typically narrower treatment, biomarker, mechanistic, or single-comorbidity focus.</x:v>
      </x:c>
      <x:c r="J1722" s="38" t="e">
        <x:f>HYPERLINK("https://pubmed.ncbi.nlm.nih.gov/"&amp;C1722&amp;"/","Open PubMed")</x:f>
        <x:v>HYPERLINK is not implemented. linkLocation=https://pubmed.ncbi.nlm.nih.gov/42310588/, friendlyName=Open PubMed</x:v>
      </x:c>
    </x:row>
    <x:row r="1723">
      <x:c r="A1723" s="26" t="str">
        <x:v>PUBMED-42446902</x:v>
      </x:c>
      <x:c r="B1723" s="26" t="n">
        <x:v>2026</x:v>
      </x:c>
      <x:c r="C1723" s="26" t="str">
        <x:v>42446902</x:v>
      </x:c>
      <x:c r="D1723" s="28" t="str">
        <x:v>High-Intensity Virtual Reality Exergaming for Adolescents With Attention-Deficit/Hyperactivity Disorder: Protocol for a Randomized Clinical Trial.</x:v>
      </x:c>
      <x:c r="E1723" s="28" t="str">
        <x:v>Primary study - clinical trial</x:v>
      </x:c>
      <x:c r="F1723" s="28" t="str">
        <x:v>Development &amp; presentation; Recognition &amp; diagnosis; Social &amp; structural; Environmental &amp; lifestyle; Treatment &amp; support; Life outcomes &amp; lived experience</x:v>
      </x:c>
      <x:c r="G1723" s="28" t="str">
        <x:v>Childhood; Adolescence</x:v>
      </x:c>
      <x:c r="H1723" s="28" t="str">
        <x:v>Later specialized</x:v>
      </x:c>
      <x:c r="I1723" s="28" t="str">
        <x:v>Direct or strongly ADHD-related record retained for later screening; typically narrower treatment, biomarker, mechanistic, or single-comorbidity focus.</x:v>
      </x:c>
      <x:c r="J1723" s="38" t="e">
        <x:f>HYPERLINK("https://pubmed.ncbi.nlm.nih.gov/"&amp;C1723&amp;"/","Open PubMed")</x:f>
        <x:v>HYPERLINK is not implemented. linkLocation=https://pubmed.ncbi.nlm.nih.gov/42446902/, friendlyName=Open PubMed</x:v>
      </x:c>
    </x:row>
    <x:row r="1724">
      <x:c r="A1724" s="26" t="str">
        <x:v>PUBMED-42332946</x:v>
      </x:c>
      <x:c r="B1724" s="26" t="n">
        <x:v>2026</x:v>
      </x:c>
      <x:c r="C1724" s="26" t="str">
        <x:v>42332946</x:v>
      </x:c>
      <x:c r="D1724" s="28" t="str">
        <x:v>Students' Experiences of Living with ADHD at University: A Meta-Ethnography.</x:v>
      </x:c>
      <x:c r="E1724" s="28" t="str">
        <x:v>Evidence synthesis - review</x:v>
      </x:c>
      <x:c r="F1724" s="28" t="str">
        <x:v>Development &amp; presentation; Recognition &amp; diagnosis; Family &amp; education; Social &amp; structural; Environmental &amp; lifestyle; Treatment &amp; support; Life outcomes &amp; lived experience; Historical &amp; contemporary context</x:v>
      </x:c>
      <x:c r="G1724" s="28" t="str">
        <x:v>Not specified</x:v>
      </x:c>
      <x:c r="H1724" s="28" t="str">
        <x:v>Later specialized</x:v>
      </x:c>
      <x:c r="I1724" s="28" t="str">
        <x:v>Direct or strongly ADHD-related record retained for later screening; typically narrower treatment, biomarker, mechanistic, or single-comorbidity focus.</x:v>
      </x:c>
      <x:c r="J1724" s="38" t="e">
        <x:f>HYPERLINK("https://pubmed.ncbi.nlm.nih.gov/"&amp;C1724&amp;"/","Open PubMed")</x:f>
        <x:v>HYPERLINK is not implemented. linkLocation=https://pubmed.ncbi.nlm.nih.gov/42332946/, friendlyName=Open PubMed</x:v>
      </x:c>
    </x:row>
    <x:row r="1725">
      <x:c r="A1725" s="26" t="str">
        <x:v>PUBMED-42034588</x:v>
      </x:c>
      <x:c r="B1725" s="26" t="n">
        <x:v>2026</x:v>
      </x:c>
      <x:c r="C1725" s="26" t="str">
        <x:v>42034588</x:v>
      </x:c>
      <x:c r="D1725" s="28" t="str">
        <x:v>Comprehensive overview of triclosan neurotoxicity and construction of adverse outcome pathways using a systems toxicology approach: Triclosan-induced attention-deficit hyperactivity disorder as an example.</x:v>
      </x:c>
      <x:c r="E1725" s="28" t="str">
        <x:v>Evidence synthesis - review</x:v>
      </x:c>
      <x:c r="F1725" s="28" t="str">
        <x:v>Development &amp; presentation; Recognition &amp; diagnosis; Social &amp; structural; Environmental &amp; lifestyle; Treatment &amp; support; Life outcomes &amp; lived experience</x:v>
      </x:c>
      <x:c r="G1725" s="28" t="str">
        <x:v>Not specified</x:v>
      </x:c>
      <x:c r="H1725" s="28" t="str">
        <x:v>Batch 1 core</x:v>
      </x:c>
      <x:c r="I1725" s="28" t="str">
        <x:v>Direct ADHD evidence synthesis/guideline with broad multi-topic relevance.</x:v>
      </x:c>
      <x:c r="J1725" s="38" t="e">
        <x:f>HYPERLINK("https://pubmed.ncbi.nlm.nih.gov/"&amp;C1725&amp;"/","Open PubMed")</x:f>
        <x:v>HYPERLINK is not implemented. linkLocation=https://pubmed.ncbi.nlm.nih.gov/42034588/, friendlyName=Open PubMed</x:v>
      </x:c>
    </x:row>
    <x:row r="1726">
      <x:c r="A1726" s="26" t="str">
        <x:v>PUBMED-42345879</x:v>
      </x:c>
      <x:c r="B1726" s="26" t="n">
        <x:v>2026</x:v>
      </x:c>
      <x:c r="C1726" s="26" t="str">
        <x:v>42345879</x:v>
      </x:c>
      <x:c r="D1726" s="28" t="str">
        <x:v>Wearable-Derived Axis-Specific Motor Signatures of ADHD Symptoms in Children and Adolescents.</x:v>
      </x:c>
      <x:c r="E1726" s="28" t="str">
        <x:v>Primary study - cross-sectional</x:v>
      </x:c>
      <x:c r="F1726" s="28" t="str">
        <x:v>Development &amp; presentation; Recognition &amp; diagnosis; Family &amp; education; Social &amp; structural; Treatment &amp; support</x:v>
      </x:c>
      <x:c r="G1726" s="28" t="str">
        <x:v>Childhood; Adolescence</x:v>
      </x:c>
      <x:c r="H1726" s="28" t="str">
        <x:v>Later specialized</x:v>
      </x:c>
      <x:c r="I1726" s="28" t="str">
        <x:v>Direct or strongly ADHD-related record retained for later screening; typically narrower treatment, biomarker, mechanistic, or single-comorbidity focus.</x:v>
      </x:c>
      <x:c r="J1726" s="38" t="e">
        <x:f>HYPERLINK("https://pubmed.ncbi.nlm.nih.gov/"&amp;C1726&amp;"/","Open PubMed")</x:f>
        <x:v>HYPERLINK is not implemented. linkLocation=https://pubmed.ncbi.nlm.nih.gov/42345879/, friendlyName=Open PubMed</x:v>
      </x:c>
    </x:row>
    <x:row r="1727">
      <x:c r="A1727" s="26" t="str">
        <x:v>PUBMED-41982046</x:v>
      </x:c>
      <x:c r="B1727" s="26" t="n">
        <x:v>2026</x:v>
      </x:c>
      <x:c r="C1727" s="26" t="str">
        <x:v>41982046</x:v>
      </x:c>
      <x:c r="D1727" s="28" t="str">
        <x:v>Mental Health and Coping in Women With ADHD During the Pandemic.</x:v>
      </x:c>
      <x:c r="E1727" s="28" t="str">
        <x:v>Primary study - qualitative</x:v>
      </x:c>
      <x:c r="F1727" s="28" t="str">
        <x:v>Development &amp; presentation; Recognition &amp; diagnosis; Social &amp; structural; Environmental &amp; lifestyle; Treatment &amp; support; Life outcomes &amp; lived experience; Historical &amp; contemporary context</x:v>
      </x:c>
      <x:c r="G1727" s="28" t="str">
        <x:v>Adolescence; Adulthood</x:v>
      </x:c>
      <x:c r="H1727" s="28" t="str">
        <x:v>Batch 1 core</x:v>
      </x:c>
      <x:c r="I1727" s="28" t="str">
        <x:v>Direct ADHD primary study on diagnosis, family/education, structural conditions, lived experience/outcomes, or environment/lifestyle.</x:v>
      </x:c>
      <x:c r="J1727" s="38" t="e">
        <x:f>HYPERLINK("https://pubmed.ncbi.nlm.nih.gov/"&amp;C1727&amp;"/","Open PubMed")</x:f>
        <x:v>HYPERLINK is not implemented. linkLocation=https://pubmed.ncbi.nlm.nih.gov/41982046/, friendlyName=Open PubMed</x:v>
      </x:c>
    </x:row>
    <x:row r="1728">
      <x:c r="A1728" s="26" t="str">
        <x:v>PUBMED-42338321</x:v>
      </x:c>
      <x:c r="B1728" s="26" t="n">
        <x:v>2026</x:v>
      </x:c>
      <x:c r="C1728" s="26" t="str">
        <x:v>42338321</x:v>
      </x:c>
      <x:c r="D1728" s="28" t="str">
        <x:v>ADHD, Psychotropic Medication and Pregnancy: The Influence of Maternal ADHD on Child Development-A Retrospective Cohort Study.</x:v>
      </x:c>
      <x:c r="E1728" s="28" t="str">
        <x:v>Primary study - cohort</x:v>
      </x:c>
      <x:c r="F1728" s="28" t="str">
        <x:v>Development &amp; presentation; Recognition &amp; diagnosis; Family &amp; education; Social &amp; structural; Environmental &amp; lifestyle; Treatment &amp; support; Life outcomes &amp; lived experience</x:v>
      </x:c>
      <x:c r="G1728" s="28" t="str">
        <x:v>Childhood; Adulthood</x:v>
      </x:c>
      <x:c r="H1728" s="28" t="str">
        <x:v>Later specialized</x:v>
      </x:c>
      <x:c r="I1728" s="28" t="str">
        <x:v>Direct or strongly ADHD-related record retained for later screening; typically narrower treatment, biomarker, mechanistic, or single-comorbidity focus.</x:v>
      </x:c>
      <x:c r="J1728" s="38" t="e">
        <x:f>HYPERLINK("https://pubmed.ncbi.nlm.nih.gov/"&amp;C1728&amp;"/","Open PubMed")</x:f>
        <x:v>HYPERLINK is not implemented. linkLocation=https://pubmed.ncbi.nlm.nih.gov/42338321/, friendlyName=Open PubMed</x:v>
      </x:c>
    </x:row>
    <x:row r="1729">
      <x:c r="A1729" s="26" t="str">
        <x:v>PUBMED-42514426</x:v>
      </x:c>
      <x:c r="B1729" s="26" t="n">
        <x:v>2026</x:v>
      </x:c>
      <x:c r="C1729" s="26" t="str">
        <x:v>42514426</x:v>
      </x:c>
      <x:c r="D1729" s="28" t="str">
        <x:v>Probiotic Supplementation in Children and Adolescents with ADHD: A Systematic Review and Meta-Analysis of ADHD-Related and Emotional-Behavioral Outcomes.</x:v>
      </x:c>
      <x:c r="E1729" s="28" t="str">
        <x:v>Evidence synthesis - meta-analysis</x:v>
      </x:c>
      <x:c r="F1729" s="28" t="str">
        <x:v>Development &amp; presentation; Recognition &amp; diagnosis; Family &amp; education; Social &amp; structural; Environmental &amp; lifestyle; Treatment &amp; support; Life outcomes &amp; lived experience</x:v>
      </x:c>
      <x:c r="G1729" s="28" t="str">
        <x:v>Childhood; Adolescence</x:v>
      </x:c>
      <x:c r="H1729" s="28" t="str">
        <x:v>Batch 1 core</x:v>
      </x:c>
      <x:c r="I1729" s="28" t="str">
        <x:v>Direct ADHD evidence synthesis/guideline with broad multi-topic relevance.</x:v>
      </x:c>
      <x:c r="J1729" s="38" t="e">
        <x:f>HYPERLINK("https://pubmed.ncbi.nlm.nih.gov/"&amp;C1729&amp;"/","Open PubMed")</x:f>
        <x:v>HYPERLINK is not implemented. linkLocation=https://pubmed.ncbi.nlm.nih.gov/42514426/, friendlyName=Open PubMed</x:v>
      </x:c>
    </x:row>
    <x:row r="1730">
      <x:c r="A1730" s="26" t="str">
        <x:v>PUBMED-42277301</x:v>
      </x:c>
      <x:c r="B1730" s="26" t="n">
        <x:v>2026</x:v>
      </x:c>
      <x:c r="C1730" s="26" t="str">
        <x:v>42277301</x:v>
      </x:c>
      <x:c r="D1730" s="28" t="str">
        <x:v>Group B Streptococcus antibiotics treatment during pregnancy and the risk of four neurodevelopmental outcomes in Swedish children.</x:v>
      </x:c>
      <x:c r="E1730" s="28" t="str">
        <x:v>Primary study - cohort</x:v>
      </x:c>
      <x:c r="F1730" s="28" t="str">
        <x:v>Development &amp; presentation; Recognition &amp; diagnosis; Family &amp; education; Social &amp; structural; Environmental &amp; lifestyle; Treatment &amp; support; Life outcomes &amp; lived experience</x:v>
      </x:c>
      <x:c r="G1730" s="28" t="str">
        <x:v>Childhood; Adulthood</x:v>
      </x:c>
      <x:c r="H1730" s="28" t="str">
        <x:v>Later specialized</x:v>
      </x:c>
      <x:c r="I1730" s="28" t="str">
        <x:v>Direct or strongly ADHD-related record retained for later screening; typically narrower treatment, biomarker, mechanistic, or single-comorbidity focus.</x:v>
      </x:c>
      <x:c r="J1730" s="38" t="e">
        <x:f>HYPERLINK("https://pubmed.ncbi.nlm.nih.gov/"&amp;C1730&amp;"/","Open PubMed")</x:f>
        <x:v>HYPERLINK is not implemented. linkLocation=https://pubmed.ncbi.nlm.nih.gov/42277301/, friendlyName=Open PubMed</x:v>
      </x:c>
    </x:row>
    <x:row r="1731">
      <x:c r="A1731" s="26" t="str">
        <x:v>PUBMED-41984360</x:v>
      </x:c>
      <x:c r="B1731" s="26" t="n">
        <x:v>2026</x:v>
      </x:c>
      <x:c r="C1731" s="26" t="str">
        <x:v>41984360</x:v>
      </x:c>
      <x:c r="D1731" s="28" t="str">
        <x:v>The mosaic of experience: How individual differences in attention and working memory shape event segmentation.</x:v>
      </x:c>
      <x:c r="E1731" s="28" t="str">
        <x:v>Evidence synthesis - review</x:v>
      </x:c>
      <x:c r="F1731" s="28" t="str">
        <x:v>Development &amp; presentation; Social &amp; structural; Treatment &amp; support</x:v>
      </x:c>
      <x:c r="G1731" s="28" t="str">
        <x:v>Not specified</x:v>
      </x:c>
      <x:c r="H1731" s="28" t="str">
        <x:v>Later specialized</x:v>
      </x:c>
      <x:c r="I1731" s="28" t="str">
        <x:v>Direct or strongly ADHD-related record retained for later screening; typically narrower treatment, biomarker, mechanistic, or single-comorbidity focus.</x:v>
      </x:c>
      <x:c r="J1731" s="38" t="e">
        <x:f>HYPERLINK("https://pubmed.ncbi.nlm.nih.gov/"&amp;C1731&amp;"/","Open PubMed")</x:f>
        <x:v>HYPERLINK is not implemented. linkLocation=https://pubmed.ncbi.nlm.nih.gov/41984360/, friendlyName=Open PubMed</x:v>
      </x:c>
    </x:row>
    <x:row r="1732">
      <x:c r="A1732" s="26" t="str">
        <x:v>PUBMED-42098666</x:v>
      </x:c>
      <x:c r="B1732" s="26" t="n">
        <x:v>2026</x:v>
      </x:c>
      <x:c r="C1732" s="26" t="str">
        <x:v>42098666</x:v>
      </x:c>
      <x:c r="D1732" s="28" t="str">
        <x:v>ADHD symptoms and financial debt among adults.</x:v>
      </x:c>
      <x:c r="E1732" s="28" t="str">
        <x:v>Primary study - cross-sectional</x:v>
      </x:c>
      <x:c r="F1732" s="28" t="str">
        <x:v>Development &amp; presentation; Recognition &amp; diagnosis; Social &amp; structural; Historical &amp; contemporary context</x:v>
      </x:c>
      <x:c r="G1732" s="28" t="str">
        <x:v>Adolescence; Adulthood</x:v>
      </x:c>
      <x:c r="H1732" s="28" t="str">
        <x:v>Later specialized</x:v>
      </x:c>
      <x:c r="I1732" s="28" t="str">
        <x:v>Direct or strongly ADHD-related record retained for later screening; typically narrower treatment, biomarker, mechanistic, or single-comorbidity focus.</x:v>
      </x:c>
      <x:c r="J1732" s="38" t="e">
        <x:f>HYPERLINK("https://pubmed.ncbi.nlm.nih.gov/"&amp;C1732&amp;"/","Open PubMed")</x:f>
        <x:v>HYPERLINK is not implemented. linkLocation=https://pubmed.ncbi.nlm.nih.gov/42098666/, friendlyName=Open PubMed</x:v>
      </x:c>
    </x:row>
    <x:row r="1733">
      <x:c r="A1733" s="26" t="str">
        <x:v>PUBMED-42235056</x:v>
      </x:c>
      <x:c r="B1733" s="26" t="n">
        <x:v>2026</x:v>
      </x:c>
      <x:c r="C1733" s="26" t="str">
        <x:v>42235056</x:v>
      </x:c>
      <x:c r="D1733" s="28" t="str">
        <x:v>Efficacy of Extended Time on Exams for College Students and Applicants With Attention-Deficit/Hyperactivity Disorder: Protocol for a Randomized, Counterbalanced Crossover and Within-Subject Trial.</x:v>
      </x:c>
      <x:c r="E1733" s="28" t="str">
        <x:v>Primary study - clinical trial</x:v>
      </x:c>
      <x:c r="F1733" s="28" t="str">
        <x:v>Development &amp; presentation; Recognition &amp; diagnosis; Family &amp; education; Social &amp; structural; Treatment &amp; support</x:v>
      </x:c>
      <x:c r="G1733" s="28" t="str">
        <x:v>Adolescence</x:v>
      </x:c>
      <x:c r="H1733" s="28" t="str">
        <x:v>Later specialized</x:v>
      </x:c>
      <x:c r="I1733" s="28" t="str">
        <x:v>Direct or strongly ADHD-related record retained for later screening; typically narrower treatment, biomarker, mechanistic, or single-comorbidity focus.</x:v>
      </x:c>
      <x:c r="J1733" s="38" t="e">
        <x:f>HYPERLINK("https://pubmed.ncbi.nlm.nih.gov/"&amp;C1733&amp;"/","Open PubMed")</x:f>
        <x:v>HYPERLINK is not implemented. linkLocation=https://pubmed.ncbi.nlm.nih.gov/42235056/, friendlyName=Open PubMed</x:v>
      </x:c>
    </x:row>
    <x:row r="1734">
      <x:c r="A1734" s="26" t="str">
        <x:v>PUBMED-42664236</x:v>
      </x:c>
      <x:c r="B1734" s="26" t="n">
        <x:v>2026</x:v>
      </x:c>
      <x:c r="C1734" s="26" t="str">
        <x:v>42664236</x:v>
      </x:c>
      <x:c r="D1734" s="28" t="str">
        <x:v>Long-term effects of cognitive behavioural therapy on the quality of life in adult ADHD.</x:v>
      </x:c>
      <x:c r="E1734" s="28" t="str">
        <x:v>Primary study - cohort</x:v>
      </x:c>
      <x:c r="F1734" s="28" t="str">
        <x:v>Development &amp; presentation; Family &amp; education; Social &amp; structural; Treatment &amp; support; Life outcomes &amp; lived experience</x:v>
      </x:c>
      <x:c r="G1734" s="28" t="str">
        <x:v>Adulthood</x:v>
      </x:c>
      <x:c r="H1734" s="28" t="str">
        <x:v>Batch 1 core</x:v>
      </x:c>
      <x:c r="I1734" s="28" t="str">
        <x:v>Direct ADHD primary study on diagnosis, family/education, structural conditions, lived experience/outcomes, or environment/lifestyle.</x:v>
      </x:c>
      <x:c r="J1734" s="38" t="e">
        <x:f>HYPERLINK("https://pubmed.ncbi.nlm.nih.gov/"&amp;C1734&amp;"/","Open PubMed")</x:f>
        <x:v>HYPERLINK is not implemented. linkLocation=https://pubmed.ncbi.nlm.nih.gov/42664236/, friendlyName=Open PubMed</x:v>
      </x:c>
    </x:row>
    <x:row r="1735">
      <x:c r="A1735" s="26" t="str">
        <x:v>PUBMED-42155188</x:v>
      </x:c>
      <x:c r="B1735" s="26" t="n">
        <x:v>2026</x:v>
      </x:c>
      <x:c r="C1735" s="26" t="str">
        <x:v>42155188</x:v>
      </x:c>
      <x:c r="D1735" s="28" t="str">
        <x:v>Superior perceptual capacity is specific to autistic cognition.</x:v>
      </x:c>
      <x:c r="E1735" s="28" t="str">
        <x:v>Primary/contextual journal article</x:v>
      </x:c>
      <x:c r="F1735" s="28" t="str">
        <x:v>Development &amp; presentation; Social &amp; structural; Historical &amp; contemporary context</x:v>
      </x:c>
      <x:c r="G1735" s="28" t="str">
        <x:v>Adolescence; Adulthood</x:v>
      </x:c>
      <x:c r="H1735" s="28" t="str">
        <x:v>Later specialized</x:v>
      </x:c>
      <x:c r="I1735" s="28" t="str">
        <x:v>Direct or strongly ADHD-related record retained for later screening; typically narrower treatment, biomarker, mechanistic, or single-comorbidity focus.</x:v>
      </x:c>
      <x:c r="J1735" s="38" t="e">
        <x:f>HYPERLINK("https://pubmed.ncbi.nlm.nih.gov/"&amp;C1735&amp;"/","Open PubMed")</x:f>
        <x:v>HYPERLINK is not implemented. linkLocation=https://pubmed.ncbi.nlm.nih.gov/42155188/, friendlyName=Open PubMed</x:v>
      </x:c>
    </x:row>
    <x:row r="1736">
      <x:c r="A1736" s="26" t="str">
        <x:v>PUBMED-42014468</x:v>
      </x:c>
      <x:c r="B1736" s="26" t="n">
        <x:v>2026</x:v>
      </x:c>
      <x:c r="C1736" s="26" t="str">
        <x:v>42014468</x:v>
      </x:c>
      <x:c r="D1736" s="28" t="str">
        <x:v>Shared and disorder-specific prenatal and perinatal risk factors for neurodevelopmental disorders: a nationwide cohort study.</x:v>
      </x:c>
      <x:c r="E1736" s="28" t="str">
        <x:v>Primary study - cohort</x:v>
      </x:c>
      <x:c r="F1736" s="28" t="str">
        <x:v>Development &amp; presentation; Recognition &amp; diagnosis; Family &amp; education; Social &amp; structural; Environmental &amp; lifestyle</x:v>
      </x:c>
      <x:c r="G1736" s="28" t="str">
        <x:v>Childhood; Adulthood</x:v>
      </x:c>
      <x:c r="H1736" s="28" t="str">
        <x:v>Exclude/incidental</x:v>
      </x:c>
      <x:c r="I1736" s="28" t="str">
        <x:v>ADHD appears peripheral or insufficiently aligned with the requested corpus scope based on accessible metadata/abstract.</x:v>
      </x:c>
      <x:c r="J1736" s="38" t="e">
        <x:f>HYPERLINK("https://pubmed.ncbi.nlm.nih.gov/"&amp;C1736&amp;"/","Open PubMed")</x:f>
        <x:v>HYPERLINK is not implemented. linkLocation=https://pubmed.ncbi.nlm.nih.gov/42014468/, friendlyName=Open PubMed</x:v>
      </x:c>
    </x:row>
    <x:row r="1737">
      <x:c r="A1737" s="26" t="str">
        <x:v>PUBMED-42173046</x:v>
      </x:c>
      <x:c r="B1737" s="26" t="n">
        <x:v>2026</x:v>
      </x:c>
      <x:c r="C1737" s="26" t="str">
        <x:v>42173046</x:v>
      </x:c>
      <x:c r="D1737" s="28" t="str">
        <x:v>A Randomized, Double-Blind, Pilot Study of N-Acetylcysteine for Motor and Cognitive Symptoms in Youth With Neurofibromatosis Type 1.</x:v>
      </x:c>
      <x:c r="E1737" s="28" t="str">
        <x:v>Primary study - randomized controlled trial</x:v>
      </x:c>
      <x:c r="F1737" s="28" t="str">
        <x:v>Development &amp; presentation; Recognition &amp; diagnosis; Family &amp; education; Social &amp; structural; Treatment &amp; support; Life outcomes &amp; lived experience</x:v>
      </x:c>
      <x:c r="G1737" s="28" t="str">
        <x:v>Childhood; Adolescence</x:v>
      </x:c>
      <x:c r="H1737" s="28" t="str">
        <x:v>Exclude/incidental</x:v>
      </x:c>
      <x:c r="I1737" s="28" t="str">
        <x:v>ADHD appears peripheral or insufficiently aligned with the requested corpus scope based on accessible metadata/abstract.</x:v>
      </x:c>
      <x:c r="J1737" s="38" t="e">
        <x:f>HYPERLINK("https://pubmed.ncbi.nlm.nih.gov/"&amp;C1737&amp;"/","Open PubMed")</x:f>
        <x:v>HYPERLINK is not implemented. linkLocation=https://pubmed.ncbi.nlm.nih.gov/42173046/, friendlyName=Open PubMed</x:v>
      </x:c>
    </x:row>
    <x:row r="1738">
      <x:c r="A1738" s="26" t="str">
        <x:v>PUBMED-42742471</x:v>
      </x:c>
      <x:c r="B1738" s="26" t="n">
        <x:v>2026</x:v>
      </x:c>
      <x:c r="C1738" s="26" t="str">
        <x:v>42742471</x:v>
      </x:c>
      <x:c r="D1738" s="28" t="str">
        <x:v>Virtual Reality Attention Tasks in Attention Deficit Hyperactivity Disorder: I. Behavioural Responses.</x:v>
      </x:c>
      <x:c r="E1738" s="28" t="str">
        <x:v>Primary/contextual journal article</x:v>
      </x:c>
      <x:c r="F1738" s="28" t="str">
        <x:v>Development &amp; presentation; Recognition &amp; diagnosis; Social &amp; structural; Life outcomes &amp; lived experience</x:v>
      </x:c>
      <x:c r="G1738" s="28" t="str">
        <x:v>Adolescence; Adulthood</x:v>
      </x:c>
      <x:c r="H1738" s="28" t="str">
        <x:v>Later specialized</x:v>
      </x:c>
      <x:c r="I1738" s="28" t="str">
        <x:v>Direct or strongly ADHD-related record retained for later screening; typically narrower treatment, biomarker, mechanistic, or single-comorbidity focus.</x:v>
      </x:c>
      <x:c r="J1738" s="38" t="e">
        <x:f>HYPERLINK("https://pubmed.ncbi.nlm.nih.gov/"&amp;C1738&amp;"/","Open PubMed")</x:f>
        <x:v>HYPERLINK is not implemented. linkLocation=https://pubmed.ncbi.nlm.nih.gov/42742471/, friendlyName=Open PubMed</x:v>
      </x:c>
    </x:row>
    <x:row r="1739">
      <x:c r="A1739" s="26" t="str">
        <x:v>PUBMED-41985649</x:v>
      </x:c>
      <x:c r="B1739" s="26" t="n">
        <x:v>2026</x:v>
      </x:c>
      <x:c r="C1739" s="26" t="str">
        <x:v>41985649</x:v>
      </x:c>
      <x:c r="D1739" s="28" t="str">
        <x:v>Predicting adult functional outcomes in childhood-onset attention-deficit/hyperactivity disorder using multimodal MRI and machine learning: A prospective follow-up study.</x:v>
      </x:c>
      <x:c r="E1739" s="28" t="str">
        <x:v>Primary/contextual journal article</x:v>
      </x:c>
      <x:c r="F1739" s="28" t="str">
        <x:v>Development &amp; presentation; Recognition &amp; diagnosis; Social &amp; structural; Environmental &amp; lifestyle; Life outcomes &amp; lived experience</x:v>
      </x:c>
      <x:c r="G1739" s="28" t="str">
        <x:v>Childhood; Adolescence; Adulthood</x:v>
      </x:c>
      <x:c r="H1739" s="28" t="str">
        <x:v>Later specialized</x:v>
      </x:c>
      <x:c r="I1739" s="28" t="str">
        <x:v>Direct or strongly ADHD-related record retained for later screening; typically narrower treatment, biomarker, mechanistic, or single-comorbidity focus.</x:v>
      </x:c>
      <x:c r="J1739" s="38" t="e">
        <x:f>HYPERLINK("https://pubmed.ncbi.nlm.nih.gov/"&amp;C1739&amp;"/","Open PubMed")</x:f>
        <x:v>HYPERLINK is not implemented. linkLocation=https://pubmed.ncbi.nlm.nih.gov/41985649/, friendlyName=Open PubMed</x:v>
      </x:c>
    </x:row>
    <x:row r="1740">
      <x:c r="A1740" s="26" t="str">
        <x:v>PUBMED-42442036</x:v>
      </x:c>
      <x:c r="B1740" s="26" t="n">
        <x:v>2026</x:v>
      </x:c>
      <x:c r="C1740" s="26" t="str">
        <x:v>42442036</x:v>
      </x:c>
      <x:c r="D1740" s="28" t="str">
        <x:v>Prenatal and childhood infections as risk factors for psychiatric disorders: A systematic review and meta-analysis.</x:v>
      </x:c>
      <x:c r="E1740" s="28" t="str">
        <x:v>Evidence synthesis - meta-analysis</x:v>
      </x:c>
      <x:c r="F1740" s="28" t="str">
        <x:v>Development &amp; presentation; Social &amp; structural; Environmental &amp; lifestyle; Life outcomes &amp; lived experience</x:v>
      </x:c>
      <x:c r="G1740" s="28" t="str">
        <x:v>Childhood</x:v>
      </x:c>
      <x:c r="H1740" s="28" t="str">
        <x:v>Later specialized</x:v>
      </x:c>
      <x:c r="I1740" s="28" t="str">
        <x:v>Direct or strongly ADHD-related record retained for later screening; typically narrower treatment, biomarker, mechanistic, or single-comorbidity focus.</x:v>
      </x:c>
      <x:c r="J1740" s="38" t="e">
        <x:f>HYPERLINK("https://pubmed.ncbi.nlm.nih.gov/"&amp;C1740&amp;"/","Open PubMed")</x:f>
        <x:v>HYPERLINK is not implemented. linkLocation=https://pubmed.ncbi.nlm.nih.gov/42442036/, friendlyName=Open PubMed</x:v>
      </x:c>
    </x:row>
    <x:row r="1741">
      <x:c r="A1741" s="26" t="str">
        <x:v>PUBMED-42012587</x:v>
      </x:c>
      <x:c r="B1741" s="26" t="n">
        <x:v>2026</x:v>
      </x:c>
      <x:c r="C1741" s="26" t="str">
        <x:v>42012587</x:v>
      </x:c>
      <x:c r="D1741" s="28" t="str">
        <x:v>The SIRT-1/Nrf-2/HO-1 antioxidant defense axis in adult attention-deficit/hyperactivity disorder.</x:v>
      </x:c>
      <x:c r="E1741" s="28" t="str">
        <x:v>Primary study - cross-sectional</x:v>
      </x:c>
      <x:c r="F1741" s="28" t="str">
        <x:v>Development &amp; presentation; Recognition &amp; diagnosis; Social &amp; structural; Environmental &amp; lifestyle</x:v>
      </x:c>
      <x:c r="G1741" s="28" t="str">
        <x:v>Adulthood</x:v>
      </x:c>
      <x:c r="H1741" s="28" t="str">
        <x:v>Later specialized</x:v>
      </x:c>
      <x:c r="I1741" s="28" t="str">
        <x:v>Direct or strongly ADHD-related record retained for later screening; typically narrower treatment, biomarker, mechanistic, or single-comorbidity focus.</x:v>
      </x:c>
      <x:c r="J1741" s="38" t="e">
        <x:f>HYPERLINK("https://pubmed.ncbi.nlm.nih.gov/"&amp;C1741&amp;"/","Open PubMed")</x:f>
        <x:v>HYPERLINK is not implemented. linkLocation=https://pubmed.ncbi.nlm.nih.gov/42012587/, friendlyName=Open PubMed</x:v>
      </x:c>
    </x:row>
    <x:row r="1742">
      <x:c r="A1742" s="26" t="str">
        <x:v>PUBMED-42224983</x:v>
      </x:c>
      <x:c r="B1742" s="26" t="n">
        <x:v>2026</x:v>
      </x:c>
      <x:c r="C1742" s="26" t="str">
        <x:v>42224983</x:v>
      </x:c>
      <x:c r="D1742" s="28" t="str">
        <x:v>Dual vulnerability: Trauma type and burden impact behavioral and psychosocial functioning in children with ADHD.</x:v>
      </x:c>
      <x:c r="E1742" s="28" t="str">
        <x:v>Primary/contextual journal article</x:v>
      </x:c>
      <x:c r="F1742" s="28" t="str">
        <x:v>Development &amp; presentation; Family &amp; education; Environmental &amp; lifestyle; Treatment &amp; support; Life outcomes &amp; lived experience</x:v>
      </x:c>
      <x:c r="G1742" s="28" t="str">
        <x:v>Childhood; Adolescence</x:v>
      </x:c>
      <x:c r="H1742" s="28" t="str">
        <x:v>Later specialized</x:v>
      </x:c>
      <x:c r="I1742" s="28" t="str">
        <x:v>Direct or strongly ADHD-related record retained for later screening; typically narrower treatment, biomarker, mechanistic, or single-comorbidity focus.</x:v>
      </x:c>
      <x:c r="J1742" s="38" t="e">
        <x:f>HYPERLINK("https://pubmed.ncbi.nlm.nih.gov/"&amp;C1742&amp;"/","Open PubMed")</x:f>
        <x:v>HYPERLINK is not implemented. linkLocation=https://pubmed.ncbi.nlm.nih.gov/42224983/, friendlyName=Open PubMed</x:v>
      </x:c>
    </x:row>
    <x:row r="1743">
      <x:c r="A1743" s="26" t="str">
        <x:v>PUBMED-42507386</x:v>
      </x:c>
      <x:c r="B1743" s="26" t="n">
        <x:v>2026</x:v>
      </x:c>
      <x:c r="C1743" s="26" t="str">
        <x:v>42507386</x:v>
      </x:c>
      <x:c r="D1743" s="28" t="str">
        <x:v>Examining executive functioning: A randomized controlled trial of alcohol misuse interventions for college students with attention-deficit/hyperactivity disorder.</x:v>
      </x:c>
      <x:c r="E1743" s="28" t="str">
        <x:v>Primary study - randomized controlled trial</x:v>
      </x:c>
      <x:c r="F1743" s="28" t="str">
        <x:v>Development &amp; presentation; Social &amp; structural; Environmental &amp; lifestyle; Treatment &amp; support; Life outcomes &amp; lived experience</x:v>
      </x:c>
      <x:c r="G1743" s="28" t="str">
        <x:v>Adolescence; Adulthood</x:v>
      </x:c>
      <x:c r="H1743" s="28" t="str">
        <x:v>Later specialized</x:v>
      </x:c>
      <x:c r="I1743" s="28" t="str">
        <x:v>Direct or strongly ADHD-related record retained for later screening; typically narrower treatment, biomarker, mechanistic, or single-comorbidity focus.</x:v>
      </x:c>
      <x:c r="J1743" s="38" t="e">
        <x:f>HYPERLINK("https://pubmed.ncbi.nlm.nih.gov/"&amp;C1743&amp;"/","Open PubMed")</x:f>
        <x:v>HYPERLINK is not implemented. linkLocation=https://pubmed.ncbi.nlm.nih.gov/42507386/, friendlyName=Open PubMed</x:v>
      </x:c>
    </x:row>
    <x:row r="1744">
      <x:c r="A1744" s="26" t="str">
        <x:v>PUBMED-42574643</x:v>
      </x:c>
      <x:c r="B1744" s="26" t="n">
        <x:v>2026</x:v>
      </x:c>
      <x:c r="C1744" s="26" t="str">
        <x:v>42574643</x:v>
      </x:c>
      <x:c r="D1744" s="28" t="str">
        <x:v>White-matter functional connectivity uniquely predicts brain age, cognition, and psychopathology beyond gray-matter connectivity.</x:v>
      </x:c>
      <x:c r="E1744" s="28" t="str">
        <x:v>Primary study - cohort</x:v>
      </x:c>
      <x:c r="F1744" s="28" t="str">
        <x:v>Development &amp; presentation; Recognition &amp; diagnosis; Social &amp; structural; Treatment &amp; support</x:v>
      </x:c>
      <x:c r="G1744" s="28" t="str">
        <x:v>Childhood; Adolescence; Adulthood</x:v>
      </x:c>
      <x:c r="H1744" s="28" t="str">
        <x:v>Exclude/incidental</x:v>
      </x:c>
      <x:c r="I1744" s="28" t="str">
        <x:v>ADHD appears peripheral or insufficiently aligned with the requested corpus scope based on accessible metadata/abstract.</x:v>
      </x:c>
      <x:c r="J1744" s="38" t="e">
        <x:f>HYPERLINK("https://pubmed.ncbi.nlm.nih.gov/"&amp;C1744&amp;"/","Open PubMed")</x:f>
        <x:v>HYPERLINK is not implemented. linkLocation=https://pubmed.ncbi.nlm.nih.gov/42574643/, friendlyName=Open PubMed</x:v>
      </x:c>
    </x:row>
    <x:row r="1745">
      <x:c r="A1745" s="26" t="str">
        <x:v>PUBMED-42316102</x:v>
      </x:c>
      <x:c r="B1745" s="26" t="n">
        <x:v>2026</x:v>
      </x:c>
      <x:c r="C1745" s="26" t="str">
        <x:v>42316102</x:v>
      </x:c>
      <x:c r="D1745" s="28" t="str">
        <x:v>Current comorbid psychiatric symptoms in the statistical indirect association between childhood attention-deficit/hyperactivity disorder symptoms and functional impairment among university students.</x:v>
      </x:c>
      <x:c r="E1745" s="28" t="str">
        <x:v>Primary study - cross-sectional</x:v>
      </x:c>
      <x:c r="F1745" s="28" t="str">
        <x:v>Development &amp; presentation; Recognition &amp; diagnosis; Family &amp; education; Social &amp; structural; Life outcomes &amp; lived experience</x:v>
      </x:c>
      <x:c r="G1745" s="28" t="str">
        <x:v>Childhood; Adolescence; Adulthood</x:v>
      </x:c>
      <x:c r="H1745" s="28" t="str">
        <x:v>Later specialized</x:v>
      </x:c>
      <x:c r="I1745" s="28" t="str">
        <x:v>Direct or strongly ADHD-related record retained for later screening; typically narrower treatment, biomarker, mechanistic, or single-comorbidity focus.</x:v>
      </x:c>
      <x:c r="J1745" s="38" t="e">
        <x:f>HYPERLINK("https://pubmed.ncbi.nlm.nih.gov/"&amp;C1745&amp;"/","Open PubMed")</x:f>
        <x:v>HYPERLINK is not implemented. linkLocation=https://pubmed.ncbi.nlm.nih.gov/42316102/, friendlyName=Open PubMed</x:v>
      </x:c>
    </x:row>
    <x:row r="1746">
      <x:c r="A1746" s="26" t="str">
        <x:v>PUBMED-42518155</x:v>
      </x:c>
      <x:c r="B1746" s="26" t="n">
        <x:v>2026</x:v>
      </x:c>
      <x:c r="C1746" s="26" t="str">
        <x:v>42518155</x:v>
      </x:c>
      <x:c r="D1746" s="28" t="str">
        <x:v>Comparative Bioavailability of Trimodal (CTx-1301) Versus Bimodal Dexmethylphenidate Modified-Release Formulations in Adults with Attention-Deficit/Hyperactivity Disorder: A Randomized, Single-Dose, Crossover Study.</x:v>
      </x:c>
      <x:c r="E1746" s="28" t="str">
        <x:v>Primary study - randomized controlled trial</x:v>
      </x:c>
      <x:c r="F1746" s="28" t="str">
        <x:v>Development &amp; presentation; Recognition &amp; diagnosis; Social &amp; structural; Environmental &amp; lifestyle; Treatment &amp; support; Life outcomes &amp; lived experience</x:v>
      </x:c>
      <x:c r="G1746" s="28" t="str">
        <x:v>Adolescence; Adulthood</x:v>
      </x:c>
      <x:c r="H1746" s="28" t="str">
        <x:v>Later specialized</x:v>
      </x:c>
      <x:c r="I1746" s="28" t="str">
        <x:v>Direct or strongly ADHD-related record retained for later screening; typically narrower treatment, biomarker, mechanistic, or single-comorbidity focus.</x:v>
      </x:c>
      <x:c r="J1746" s="38" t="e">
        <x:f>HYPERLINK("https://pubmed.ncbi.nlm.nih.gov/"&amp;C1746&amp;"/","Open PubMed")</x:f>
        <x:v>HYPERLINK is not implemented. linkLocation=https://pubmed.ncbi.nlm.nih.gov/42518155/, friendlyName=Open PubMed</x:v>
      </x:c>
    </x:row>
    <x:row r="1747">
      <x:c r="A1747" s="26" t="str">
        <x:v>PUBMED-42212916</x:v>
      </x:c>
      <x:c r="B1747" s="26" t="n">
        <x:v>2026</x:v>
      </x:c>
      <x:c r="C1747" s="26" t="str">
        <x:v>42212916</x:v>
      </x:c>
      <x:c r="D1747" s="28" t="str">
        <x:v>Atomoxetine Versus Placebo for Cognitive Deficits in Stimulant Use Disorder: A Systematic Review.</x:v>
      </x:c>
      <x:c r="E1747" s="28" t="str">
        <x:v>Evidence synthesis - systematic review</x:v>
      </x:c>
      <x:c r="F1747" s="28" t="str">
        <x:v>Development &amp; presentation; Recognition &amp; diagnosis; Social &amp; structural; Treatment &amp; support; Life outcomes &amp; lived experience</x:v>
      </x:c>
      <x:c r="G1747" s="28" t="str">
        <x:v>Not specified</x:v>
      </x:c>
      <x:c r="H1747" s="28" t="str">
        <x:v>Later specialized</x:v>
      </x:c>
      <x:c r="I1747" s="28" t="str">
        <x:v>Direct or strongly ADHD-related record retained for later screening; typically narrower treatment, biomarker, mechanistic, or single-comorbidity focus.</x:v>
      </x:c>
      <x:c r="J1747" s="38" t="e">
        <x:f>HYPERLINK("https://pubmed.ncbi.nlm.nih.gov/"&amp;C1747&amp;"/","Open PubMed")</x:f>
        <x:v>HYPERLINK is not implemented. linkLocation=https://pubmed.ncbi.nlm.nih.gov/42212916/, friendlyName=Open PubMed</x:v>
      </x:c>
    </x:row>
    <x:row r="1748">
      <x:c r="A1748" s="26" t="str">
        <x:v>PUBMED-42074375</x:v>
      </x:c>
      <x:c r="B1748" s="26" t="n">
        <x:v>2026</x:v>
      </x:c>
      <x:c r="C1748" s="26" t="str">
        <x:v>42074375</x:v>
      </x:c>
      <x:c r="D1748" s="28" t="str">
        <x:v>Prevalence of ADHD Among Saudi Children and Adolescents.</x:v>
      </x:c>
      <x:c r="E1748" s="28" t="str">
        <x:v>Primary study - cross-sectional</x:v>
      </x:c>
      <x:c r="F1748" s="28" t="str">
        <x:v>Development &amp; presentation; Recognition &amp; diagnosis; Family &amp; education; Social &amp; structural; Environmental &amp; lifestyle; Treatment &amp; support; Historical &amp; contemporary context</x:v>
      </x:c>
      <x:c r="G1748" s="28" t="str">
        <x:v>Childhood; Adolescence; Adulthood</x:v>
      </x:c>
      <x:c r="H1748" s="28" t="str">
        <x:v>Later specialized</x:v>
      </x:c>
      <x:c r="I1748" s="28" t="str">
        <x:v>Direct or strongly ADHD-related record retained for later screening; typically narrower treatment, biomarker, mechanistic, or single-comorbidity focus.</x:v>
      </x:c>
      <x:c r="J1748" s="38" t="e">
        <x:f>HYPERLINK("https://pubmed.ncbi.nlm.nih.gov/"&amp;C1748&amp;"/","Open PubMed")</x:f>
        <x:v>HYPERLINK is not implemented. linkLocation=https://pubmed.ncbi.nlm.nih.gov/42074375/, friendlyName=Open PubMed</x:v>
      </x:c>
    </x:row>
    <x:row r="1749">
      <x:c r="A1749" s="26" t="str">
        <x:v>PUBMED-42297499</x:v>
      </x:c>
      <x:c r="B1749" s="26" t="n">
        <x:v>2026</x:v>
      </x:c>
      <x:c r="C1749" s="26" t="str">
        <x:v>42297499</x:v>
      </x:c>
      <x:c r="D1749" s="28" t="str">
        <x:v>Occupational injury risk and workplace safety challenges among adults with ADHD: A systematic review.</x:v>
      </x:c>
      <x:c r="E1749" s="28" t="str">
        <x:v>Evidence synthesis - systematic review</x:v>
      </x:c>
      <x:c r="F1749" s="28" t="str">
        <x:v>Development &amp; presentation; Recognition &amp; diagnosis; Social &amp; structural; Environmental &amp; lifestyle; Treatment &amp; support; Life outcomes &amp; lived experience; Historical &amp; contemporary context</x:v>
      </x:c>
      <x:c r="G1749" s="28" t="str">
        <x:v>Adulthood</x:v>
      </x:c>
      <x:c r="H1749" s="28" t="str">
        <x:v>Batch 1 core</x:v>
      </x:c>
      <x:c r="I1749" s="28" t="str">
        <x:v>Direct ADHD evidence synthesis/guideline with broad multi-topic relevance.</x:v>
      </x:c>
      <x:c r="J1749" s="38" t="e">
        <x:f>HYPERLINK("https://pubmed.ncbi.nlm.nih.gov/"&amp;C1749&amp;"/","Open PubMed")</x:f>
        <x:v>HYPERLINK is not implemented. linkLocation=https://pubmed.ncbi.nlm.nih.gov/42297499/, friendlyName=Open PubMed</x:v>
      </x:c>
    </x:row>
    <x:row r="1750">
      <x:c r="A1750" s="26" t="str">
        <x:v>PUBMED-42176442</x:v>
      </x:c>
      <x:c r="B1750" s="26" t="n">
        <x:v>2026</x:v>
      </x:c>
      <x:c r="C1750" s="26" t="str">
        <x:v>42176442</x:v>
      </x:c>
      <x:c r="D1750" s="28" t="str">
        <x:v>Complex emotion recognition in neurological and neurodevelopmental conditions.</x:v>
      </x:c>
      <x:c r="E1750" s="28" t="str">
        <x:v>Primary study - cohort</x:v>
      </x:c>
      <x:c r="F1750" s="28" t="str">
        <x:v>Development &amp; presentation; Recognition &amp; diagnosis; Social &amp; structural; Life outcomes &amp; lived experience; Historical &amp; contemporary context</x:v>
      </x:c>
      <x:c r="G1750" s="28" t="str">
        <x:v>Adulthood</x:v>
      </x:c>
      <x:c r="H1750" s="28" t="str">
        <x:v>Later specialized</x:v>
      </x:c>
      <x:c r="I1750" s="28" t="str">
        <x:v>Direct or strongly ADHD-related record retained for later screening; typically narrower treatment, biomarker, mechanistic, or single-comorbidity focus.</x:v>
      </x:c>
      <x:c r="J1750" s="38" t="e">
        <x:f>HYPERLINK("https://pubmed.ncbi.nlm.nih.gov/"&amp;C1750&amp;"/","Open PubMed")</x:f>
        <x:v>HYPERLINK is not implemented. linkLocation=https://pubmed.ncbi.nlm.nih.gov/42176442/, friendlyName=Open PubMed</x:v>
      </x:c>
    </x:row>
    <x:row r="1751">
      <x:c r="A1751" s="26" t="str">
        <x:v>PUBMED-42498977</x:v>
      </x:c>
      <x:c r="B1751" s="26" t="n">
        <x:v>2026</x:v>
      </x:c>
      <x:c r="C1751" s="26" t="str">
        <x:v>42498977</x:v>
      </x:c>
      <x:c r="D1751" s="28" t="str">
        <x:v>Effects of NR3C1 and COMT Genes on Attention-Deficit/Hyperactivity Disorder and Accompanying Aggressiveness: A Cross-Sectional Study in a Clinical Sample.</x:v>
      </x:c>
      <x:c r="E1751" s="28" t="str">
        <x:v>Primary study - cross-sectional</x:v>
      </x:c>
      <x:c r="F1751" s="28" t="str">
        <x:v>Development &amp; presentation; Recognition &amp; diagnosis; Family &amp; education; Social &amp; structural; Life outcomes &amp; lived experience</x:v>
      </x:c>
      <x:c r="G1751" s="28" t="str">
        <x:v>Childhood; Adolescence</x:v>
      </x:c>
      <x:c r="H1751" s="28" t="str">
        <x:v>Later specialized</x:v>
      </x:c>
      <x:c r="I1751" s="28" t="str">
        <x:v>Direct or strongly ADHD-related record retained for later screening; typically narrower treatment, biomarker, mechanistic, or single-comorbidity focus.</x:v>
      </x:c>
      <x:c r="J1751" s="38" t="e">
        <x:f>HYPERLINK("https://pubmed.ncbi.nlm.nih.gov/"&amp;C1751&amp;"/","Open PubMed")</x:f>
        <x:v>HYPERLINK is not implemented. linkLocation=https://pubmed.ncbi.nlm.nih.gov/42498977/, friendlyName=Open PubMed</x:v>
      </x:c>
    </x:row>
    <x:row r="1752">
      <x:c r="A1752" s="26" t="str">
        <x:v>PUBMED-42172624</x:v>
      </x:c>
      <x:c r="B1752" s="26" t="n">
        <x:v>2026</x:v>
      </x:c>
      <x:c r="C1752" s="26" t="str">
        <x:v>42172624</x:v>
      </x:c>
      <x:c r="D1752" s="28" t="str">
        <x:v>Comparing Real and Virtual Nature Exposure on Cognition, Well-Being, and Brain Activity in Adults With and Without Attention-Deficit/Hyperactivity Disorder: Protocol for a Randomized Experimental Study.</x:v>
      </x:c>
      <x:c r="E1752" s="28" t="str">
        <x:v>Primary study - clinical trial</x:v>
      </x:c>
      <x:c r="F1752" s="28" t="str">
        <x:v>Development &amp; presentation; Recognition &amp; diagnosis; Social &amp; structural; Environmental &amp; lifestyle; Treatment &amp; support; Life outcomes &amp; lived experience</x:v>
      </x:c>
      <x:c r="G1752" s="28" t="str">
        <x:v>Adulthood</x:v>
      </x:c>
      <x:c r="H1752" s="28" t="str">
        <x:v>Later specialized</x:v>
      </x:c>
      <x:c r="I1752" s="28" t="str">
        <x:v>Direct or strongly ADHD-related record retained for later screening; typically narrower treatment, biomarker, mechanistic, or single-comorbidity focus.</x:v>
      </x:c>
      <x:c r="J1752" s="38" t="e">
        <x:f>HYPERLINK("https://pubmed.ncbi.nlm.nih.gov/"&amp;C1752&amp;"/","Open PubMed")</x:f>
        <x:v>HYPERLINK is not implemented. linkLocation=https://pubmed.ncbi.nlm.nih.gov/42172624/, friendlyName=Open PubMed</x:v>
      </x:c>
    </x:row>
    <x:row r="1753">
      <x:c r="A1753" s="26" t="str">
        <x:v>PUBMED-42081499</x:v>
      </x:c>
      <x:c r="B1753" s="26" t="n">
        <x:v>2026</x:v>
      </x:c>
      <x:c r="C1753" s="26" t="str">
        <x:v>42081499</x:v>
      </x:c>
      <x:c r="D1753" s="28" t="str">
        <x:v>The longitudinal relation between adolescents' learning outcomes and internalizing symptoms: The role of ADHD symptoms.</x:v>
      </x:c>
      <x:c r="E1753" s="28" t="str">
        <x:v>Primary/contextual journal article</x:v>
      </x:c>
      <x:c r="F1753" s="28" t="str">
        <x:v>Development &amp; presentation; Family &amp; education; Social &amp; structural; Environmental &amp; lifestyle; Life outcomes &amp; lived experience</x:v>
      </x:c>
      <x:c r="G1753" s="28" t="str">
        <x:v>Childhood; Adolescence</x:v>
      </x:c>
      <x:c r="H1753" s="28" t="str">
        <x:v>Later specialized</x:v>
      </x:c>
      <x:c r="I1753" s="28" t="str">
        <x:v>Direct or strongly ADHD-related record retained for later screening; typically narrower treatment, biomarker, mechanistic, or single-comorbidity focus.</x:v>
      </x:c>
      <x:c r="J1753" s="38" t="e">
        <x:f>HYPERLINK("https://pubmed.ncbi.nlm.nih.gov/"&amp;C1753&amp;"/","Open PubMed")</x:f>
        <x:v>HYPERLINK is not implemented. linkLocation=https://pubmed.ncbi.nlm.nih.gov/42081499/, friendlyName=Open PubMed</x:v>
      </x:c>
    </x:row>
    <x:row r="1754">
      <x:c r="A1754" s="26" t="str">
        <x:v>PUBMED-42348958</x:v>
      </x:c>
      <x:c r="B1754" s="26" t="n">
        <x:v>2026</x:v>
      </x:c>
      <x:c r="C1754" s="26" t="str">
        <x:v>42348958</x:v>
      </x:c>
      <x:c r="D1754" s="28" t="str">
        <x:v>Are children and adolescents with ADHD less physically fit? Findings from a systematic review and meta-analysis.</x:v>
      </x:c>
      <x:c r="E1754" s="28" t="str">
        <x:v>Evidence synthesis - meta-analysis</x:v>
      </x:c>
      <x:c r="F1754" s="28" t="str">
        <x:v>Development &amp; presentation; Recognition &amp; diagnosis; Social &amp; structural; Life outcomes &amp; lived experience</x:v>
      </x:c>
      <x:c r="G1754" s="28" t="str">
        <x:v>Childhood; Adolescence</x:v>
      </x:c>
      <x:c r="H1754" s="28" t="str">
        <x:v>Batch 1 core</x:v>
      </x:c>
      <x:c r="I1754" s="28" t="str">
        <x:v>Direct ADHD evidence synthesis/guideline with broad multi-topic relevance.</x:v>
      </x:c>
      <x:c r="J1754" s="38" t="e">
        <x:f>HYPERLINK("https://pubmed.ncbi.nlm.nih.gov/"&amp;C1754&amp;"/","Open PubMed")</x:f>
        <x:v>HYPERLINK is not implemented. linkLocation=https://pubmed.ncbi.nlm.nih.gov/42348958/, friendlyName=Open PubMed</x:v>
      </x:c>
    </x:row>
    <x:row r="1755">
      <x:c r="A1755" s="26" t="str">
        <x:v>PUBMED-42012549</x:v>
      </x:c>
      <x:c r="B1755" s="26" t="n">
        <x:v>2026</x:v>
      </x:c>
      <x:c r="C1755" s="26" t="str">
        <x:v>42012549</x:v>
      </x:c>
      <x:c r="D1755" s="28" t="str">
        <x:v>Independent and Interactive Associations of Encopresis and Attention-Deficit/Hyperactivity Disorder in Children on Emotional-Behavioral Symptoms, Executive Functioning, and Avoidant/Restrictive Food Intake-Related Symptoms.</x:v>
      </x:c>
      <x:c r="E1755" s="28" t="str">
        <x:v>Primary study - case-control</x:v>
      </x:c>
      <x:c r="F1755" s="28" t="str">
        <x:v>Development &amp; presentation; Recognition &amp; diagnosis; Family &amp; education; Social &amp; structural; Treatment &amp; support; Life outcomes &amp; lived experience</x:v>
      </x:c>
      <x:c r="G1755" s="28" t="str">
        <x:v>Childhood</x:v>
      </x:c>
      <x:c r="H1755" s="28" t="str">
        <x:v>Later specialized</x:v>
      </x:c>
      <x:c r="I1755" s="28" t="str">
        <x:v>Direct or strongly ADHD-related record retained for later screening; typically narrower treatment, biomarker, mechanistic, or single-comorbidity focus.</x:v>
      </x:c>
      <x:c r="J1755" s="38" t="e">
        <x:f>HYPERLINK("https://pubmed.ncbi.nlm.nih.gov/"&amp;C1755&amp;"/","Open PubMed")</x:f>
        <x:v>HYPERLINK is not implemented. linkLocation=https://pubmed.ncbi.nlm.nih.gov/42012549/, friendlyName=Open PubMed</x:v>
      </x:c>
    </x:row>
    <x:row r="1756">
      <x:c r="A1756" s="26" t="str">
        <x:v>PUBMED-42308563</x:v>
      </x:c>
      <x:c r="B1756" s="26" t="n">
        <x:v>2026</x:v>
      </x:c>
      <x:c r="C1756" s="26" t="str">
        <x:v>42308563</x:v>
      </x:c>
      <x:c r="D1756" s="28" t="str">
        <x:v>Foveal crowding and segmentation effects in adults with ADHD.</x:v>
      </x:c>
      <x:c r="E1756" s="28" t="str">
        <x:v>Primary/contextual journal article</x:v>
      </x:c>
      <x:c r="F1756" s="28" t="str">
        <x:v>Development &amp; presentation; Recognition &amp; diagnosis; Social &amp; structural; Environmental &amp; lifestyle; Life outcomes &amp; lived experience</x:v>
      </x:c>
      <x:c r="G1756" s="28" t="str">
        <x:v>Adulthood</x:v>
      </x:c>
      <x:c r="H1756" s="28" t="str">
        <x:v>Later specialized</x:v>
      </x:c>
      <x:c r="I1756" s="28" t="str">
        <x:v>Direct or strongly ADHD-related record retained for later screening; typically narrower treatment, biomarker, mechanistic, or single-comorbidity focus.</x:v>
      </x:c>
      <x:c r="J1756" s="38" t="e">
        <x:f>HYPERLINK("https://pubmed.ncbi.nlm.nih.gov/"&amp;C1756&amp;"/","Open PubMed")</x:f>
        <x:v>HYPERLINK is not implemented. linkLocation=https://pubmed.ncbi.nlm.nih.gov/42308563/, friendlyName=Open PubMed</x:v>
      </x:c>
    </x:row>
    <x:row r="1757">
      <x:c r="A1757" s="26" t="str">
        <x:v>PUBMED-42330189</x:v>
      </x:c>
      <x:c r="B1757" s="26" t="n">
        <x:v>2026</x:v>
      </x:c>
      <x:c r="C1757" s="26" t="str">
        <x:v>42330189</x:v>
      </x:c>
      <x:c r="D1757" s="28" t="str">
        <x:v>Functional Outcome Prediction in Young Adults With Mental Health Symptoms Using Machine Learning and Large Language Models: Longitudinal Observational Study.</x:v>
      </x:c>
      <x:c r="E1757" s="28" t="str">
        <x:v>Primary/contextual journal article</x:v>
      </x:c>
      <x:c r="F1757" s="28" t="str">
        <x:v>Development &amp; presentation; Recognition &amp; diagnosis; Social &amp; structural; Life outcomes &amp; lived experience</x:v>
      </x:c>
      <x:c r="G1757" s="28" t="str">
        <x:v>Adolescence; Adulthood</x:v>
      </x:c>
      <x:c r="H1757" s="28" t="str">
        <x:v>Exclude/incidental</x:v>
      </x:c>
      <x:c r="I1757" s="28" t="str">
        <x:v>ADHD appears peripheral or insufficiently aligned with the requested corpus scope based on accessible metadata/abstract.</x:v>
      </x:c>
      <x:c r="J1757" s="38" t="e">
        <x:f>HYPERLINK("https://pubmed.ncbi.nlm.nih.gov/"&amp;C1757&amp;"/","Open PubMed")</x:f>
        <x:v>HYPERLINK is not implemented. linkLocation=https://pubmed.ncbi.nlm.nih.gov/42330189/, friendlyName=Open PubMed</x:v>
      </x:c>
    </x:row>
    <x:row r="1758">
      <x:c r="A1758" s="26" t="str">
        <x:v>PUBMED-42177470</x:v>
      </x:c>
      <x:c r="B1758" s="26" t="n">
        <x:v>2026</x:v>
      </x:c>
      <x:c r="C1758" s="26" t="str">
        <x:v>42177470</x:v>
      </x:c>
      <x:c r="D1758" s="28" t="str">
        <x:v>Investigation of phubbing behavior in attention deficit hyperactivity disorder and cognitive disengagement syndrome: a case-control study in adolescent.</x:v>
      </x:c>
      <x:c r="E1758" s="28" t="str">
        <x:v>Primary study - case-control</x:v>
      </x:c>
      <x:c r="F1758" s="28" t="str">
        <x:v>Development &amp; presentation; Recognition &amp; diagnosis; Family &amp; education; Social &amp; structural; Environmental &amp; lifestyle; Treatment &amp; support; Life outcomes &amp; lived experience; Historical &amp; contemporary context</x:v>
      </x:c>
      <x:c r="G1758" s="28" t="str">
        <x:v>Childhood; Adolescence</x:v>
      </x:c>
      <x:c r="H1758" s="28" t="str">
        <x:v>Later specialized</x:v>
      </x:c>
      <x:c r="I1758" s="28" t="str">
        <x:v>Direct or strongly ADHD-related record retained for later screening; typically narrower treatment, biomarker, mechanistic, or single-comorbidity focus.</x:v>
      </x:c>
      <x:c r="J1758" s="38" t="e">
        <x:f>HYPERLINK("https://pubmed.ncbi.nlm.nih.gov/"&amp;C1758&amp;"/","Open PubMed")</x:f>
        <x:v>HYPERLINK is not implemented. linkLocation=https://pubmed.ncbi.nlm.nih.gov/42177470/, friendlyName=Open PubMed</x:v>
      </x:c>
    </x:row>
    <x:row r="1759">
      <x:c r="A1759" s="26" t="str">
        <x:v>PUBMED-42127688</x:v>
      </x:c>
      <x:c r="B1759" s="26" t="n">
        <x:v>2026</x:v>
      </x:c>
      <x:c r="C1759" s="26" t="str">
        <x:v>42127688</x:v>
      </x:c>
      <x:c r="D1759" s="28" t="str">
        <x:v>School environment and ADHD-related stigma in children with ADHD.</x:v>
      </x:c>
      <x:c r="E1759" s="28" t="str">
        <x:v>Primary/contextual journal article</x:v>
      </x:c>
      <x:c r="F1759" s="28" t="str">
        <x:v>Development &amp; presentation; Recognition &amp; diagnosis; Family &amp; education; Social &amp; structural; Environmental &amp; lifestyle; Treatment &amp; support; Life outcomes &amp; lived experience; Historical &amp; contemporary context</x:v>
      </x:c>
      <x:c r="G1759" s="28" t="str">
        <x:v>Childhood</x:v>
      </x:c>
      <x:c r="H1759" s="28" t="str">
        <x:v>Later specialized</x:v>
      </x:c>
      <x:c r="I1759" s="28" t="str">
        <x:v>Direct or strongly ADHD-related record retained for later screening; typically narrower treatment, biomarker, mechanistic, or single-comorbidity focus.</x:v>
      </x:c>
      <x:c r="J1759" s="38" t="e">
        <x:f>HYPERLINK("https://pubmed.ncbi.nlm.nih.gov/"&amp;C1759&amp;"/","Open PubMed")</x:f>
        <x:v>HYPERLINK is not implemented. linkLocation=https://pubmed.ncbi.nlm.nih.gov/42127688/, friendlyName=Open PubMed</x:v>
      </x:c>
    </x:row>
    <x:row r="1760">
      <x:c r="A1760" s="26" t="str">
        <x:v>PUBMED-42470901</x:v>
      </x:c>
      <x:c r="B1760" s="26" t="n">
        <x:v>2026</x:v>
      </x:c>
      <x:c r="C1760" s="26" t="str">
        <x:v>42470901</x:v>
      </x:c>
      <x:c r="D1760" s="28" t="str">
        <x:v>Association of procrastination on eveningness and sleep problems.</x:v>
      </x:c>
      <x:c r="E1760" s="28" t="str">
        <x:v>Primary study - cross-sectional</x:v>
      </x:c>
      <x:c r="F1760" s="28" t="str">
        <x:v>Development &amp; presentation; Social &amp; structural; Environmental &amp; lifestyle; Treatment &amp; support; Life outcomes &amp; lived experience</x:v>
      </x:c>
      <x:c r="G1760" s="28" t="str">
        <x:v>Adolescence; Adulthood</x:v>
      </x:c>
      <x:c r="H1760" s="28" t="str">
        <x:v>Later specialized</x:v>
      </x:c>
      <x:c r="I1760" s="28" t="str">
        <x:v>Direct or strongly ADHD-related record retained for later screening; typically narrower treatment, biomarker, mechanistic, or single-comorbidity focus.</x:v>
      </x:c>
      <x:c r="J1760" s="38" t="e">
        <x:f>HYPERLINK("https://pubmed.ncbi.nlm.nih.gov/"&amp;C1760&amp;"/","Open PubMed")</x:f>
        <x:v>HYPERLINK is not implemented. linkLocation=https://pubmed.ncbi.nlm.nih.gov/42470901/, friendlyName=Open PubMed</x:v>
      </x:c>
    </x:row>
    <x:row r="1761">
      <x:c r="A1761" s="26" t="str">
        <x:v>PUBMED-42062297</x:v>
      </x:c>
      <x:c r="B1761" s="26" t="n">
        <x:v>2026</x:v>
      </x:c>
      <x:c r="C1761" s="26" t="str">
        <x:v>42062297</x:v>
      </x:c>
      <x:c r="D1761" s="28" t="str">
        <x:v>Crystallized and fluid cognitive abilities have different genetic associations with neuropsychiatric disorders.</x:v>
      </x:c>
      <x:c r="E1761" s="28" t="str">
        <x:v>Evidence synthesis - meta-analysis</x:v>
      </x:c>
      <x:c r="F1761" s="28" t="str">
        <x:v>Development &amp; presentation; Family &amp; education; Social &amp; structural; Treatment &amp; support; Life outcomes &amp; lived experience</x:v>
      </x:c>
      <x:c r="G1761" s="28" t="str">
        <x:v>Not specified</x:v>
      </x:c>
      <x:c r="H1761" s="28" t="str">
        <x:v>Exclude/incidental</x:v>
      </x:c>
      <x:c r="I1761" s="28" t="str">
        <x:v>ADHD appears peripheral or insufficiently aligned with the requested corpus scope based on accessible metadata/abstract.</x:v>
      </x:c>
      <x:c r="J1761" s="38" t="e">
        <x:f>HYPERLINK("https://pubmed.ncbi.nlm.nih.gov/"&amp;C1761&amp;"/","Open PubMed")</x:f>
        <x:v>HYPERLINK is not implemented. linkLocation=https://pubmed.ncbi.nlm.nih.gov/42062297/, friendlyName=Open PubMed</x:v>
      </x:c>
    </x:row>
    <x:row r="1762">
      <x:c r="A1762" s="26" t="str">
        <x:v>PUBMED-42176184</x:v>
      </x:c>
      <x:c r="B1762" s="26" t="n">
        <x:v>2026</x:v>
      </x:c>
      <x:c r="C1762" s="26" t="str">
        <x:v>42176184</x:v>
      </x:c>
      <x:c r="D1762" s="28" t="str">
        <x:v>The Impact of Untreated Attention-Deficit/Hyperactivity Disorder on Motor Vehicle Accidents: A Systematic Review and Meta-Analysis.</x:v>
      </x:c>
      <x:c r="E1762" s="28" t="str">
        <x:v>Evidence synthesis - meta-analysis</x:v>
      </x:c>
      <x:c r="F1762" s="28" t="str">
        <x:v>Development &amp; presentation; Environmental &amp; lifestyle; Treatment &amp; support; Life outcomes &amp; lived experience</x:v>
      </x:c>
      <x:c r="G1762" s="28" t="str">
        <x:v>Not specified</x:v>
      </x:c>
      <x:c r="H1762" s="28" t="str">
        <x:v>Batch 1 core</x:v>
      </x:c>
      <x:c r="I1762" s="28" t="str">
        <x:v>Direct ADHD evidence synthesis/guideline with broad multi-topic relevance.</x:v>
      </x:c>
      <x:c r="J1762" s="38" t="e">
        <x:f>HYPERLINK("https://pubmed.ncbi.nlm.nih.gov/"&amp;C1762&amp;"/","Open PubMed")</x:f>
        <x:v>HYPERLINK is not implemented. linkLocation=https://pubmed.ncbi.nlm.nih.gov/42176184/, friendlyName=Open PubMed</x:v>
      </x:c>
    </x:row>
    <x:row r="1763">
      <x:c r="A1763" s="26" t="str">
        <x:v>PUBMED-42515863</x:v>
      </x:c>
      <x:c r="B1763" s="26" t="n">
        <x:v>2026</x:v>
      </x:c>
      <x:c r="C1763" s="26" t="str">
        <x:v>42515863</x:v>
      </x:c>
      <x:c r="D1763" s="28" t="str">
        <x:v>Epigenetic and Brain Structure Covariation Patterns in Typical and Atypical Development.</x:v>
      </x:c>
      <x:c r="E1763" s="28" t="str">
        <x:v>Primary/contextual journal article</x:v>
      </x:c>
      <x:c r="F1763" s="28" t="str">
        <x:v>Development &amp; presentation; Recognition &amp; diagnosis; Social &amp; structural; Environmental &amp; lifestyle</x:v>
      </x:c>
      <x:c r="G1763" s="28" t="str">
        <x:v>Childhood</x:v>
      </x:c>
      <x:c r="H1763" s="28" t="str">
        <x:v>Later specialized</x:v>
      </x:c>
      <x:c r="I1763" s="28" t="str">
        <x:v>Direct or strongly ADHD-related record retained for later screening; typically narrower treatment, biomarker, mechanistic, or single-comorbidity focus.</x:v>
      </x:c>
      <x:c r="J1763" s="38" t="e">
        <x:f>HYPERLINK("https://pubmed.ncbi.nlm.nih.gov/"&amp;C1763&amp;"/","Open PubMed")</x:f>
        <x:v>HYPERLINK is not implemented. linkLocation=https://pubmed.ncbi.nlm.nih.gov/42515863/, friendlyName=Open PubMed</x:v>
      </x:c>
    </x:row>
    <x:row r="1764">
      <x:c r="A1764" s="26" t="str">
        <x:v>PUBMED-42470906</x:v>
      </x:c>
      <x:c r="B1764" s="26" t="n">
        <x:v>2026</x:v>
      </x:c>
      <x:c r="C1764" s="26" t="str">
        <x:v>42470906</x:v>
      </x:c>
      <x:c r="D1764" s="28" t="str">
        <x:v>Resting-state functional connectivity alterations in adult ADHD: A systematic review of rs-fMRI studies.</x:v>
      </x:c>
      <x:c r="E1764" s="28" t="str">
        <x:v>Evidence synthesis - systematic review</x:v>
      </x:c>
      <x:c r="F1764" s="28" t="str">
        <x:v>Development &amp; presentation; Recognition &amp; diagnosis; Social &amp; structural</x:v>
      </x:c>
      <x:c r="G1764" s="28" t="str">
        <x:v>Adulthood</x:v>
      </x:c>
      <x:c r="H1764" s="28" t="str">
        <x:v>Batch 1 core</x:v>
      </x:c>
      <x:c r="I1764" s="28" t="str">
        <x:v>Direct ADHD evidence synthesis/guideline with broad multi-topic relevance.</x:v>
      </x:c>
      <x:c r="J1764" s="38" t="e">
        <x:f>HYPERLINK("https://pubmed.ncbi.nlm.nih.gov/"&amp;C1764&amp;"/","Open PubMed")</x:f>
        <x:v>HYPERLINK is not implemented. linkLocation=https://pubmed.ncbi.nlm.nih.gov/42470906/, friendlyName=Open PubMed</x:v>
      </x:c>
    </x:row>
    <x:row r="1765">
      <x:c r="A1765" s="26" t="str">
        <x:v>PUBMED-42708463</x:v>
      </x:c>
      <x:c r="B1765" s="26" t="n">
        <x:v>2026</x:v>
      </x:c>
      <x:c r="C1765" s="26" t="str">
        <x:v>42708463</x:v>
      </x:c>
      <x:c r="D1765" s="28" t="str">
        <x:v>Temporal Changes in Dispensing of Methylphenidate During Attention Deficit Hyperactivity Disorder Shortages in Australia: An Interrupted Time Series and Descriptive Analysis of National Dispensing Patterns.</x:v>
      </x:c>
      <x:c r="E1765" s="28" t="str">
        <x:v>Primary/contextual journal article</x:v>
      </x:c>
      <x:c r="F1765" s="28" t="str">
        <x:v>Development &amp; presentation; Treatment &amp; support</x:v>
      </x:c>
      <x:c r="G1765" s="28" t="str">
        <x:v>Not specified</x:v>
      </x:c>
      <x:c r="H1765" s="28" t="str">
        <x:v>Later specialized</x:v>
      </x:c>
      <x:c r="I1765" s="28" t="str">
        <x:v>Direct or strongly ADHD-related record retained for later screening; typically narrower treatment, biomarker, mechanistic, or single-comorbidity focus.</x:v>
      </x:c>
      <x:c r="J1765" s="38" t="e">
        <x:f>HYPERLINK("https://pubmed.ncbi.nlm.nih.gov/"&amp;C1765&amp;"/","Open PubMed")</x:f>
        <x:v>HYPERLINK is not implemented. linkLocation=https://pubmed.ncbi.nlm.nih.gov/42708463/, friendlyName=Open PubMed</x:v>
      </x:c>
    </x:row>
    <x:row r="1766">
      <x:c r="A1766" s="26" t="str">
        <x:v>PUBMED-42740315</x:v>
      </x:c>
      <x:c r="B1766" s="26" t="n">
        <x:v>2026</x:v>
      </x:c>
      <x:c r="C1766" s="26" t="str">
        <x:v>42740315</x:v>
      </x:c>
      <x:c r="D1766" s="28" t="str">
        <x:v>Developmental milestones and resting-state functional connectivity: Shared and distinct associations with neurodevelopmental traits.</x:v>
      </x:c>
      <x:c r="E1766" s="28" t="str">
        <x:v>Primary/contextual journal article</x:v>
      </x:c>
      <x:c r="F1766" s="28" t="str">
        <x:v>Development &amp; presentation; Recognition &amp; diagnosis; Social &amp; structural</x:v>
      </x:c>
      <x:c r="G1766" s="28" t="str">
        <x:v>Childhood; Adolescence</x:v>
      </x:c>
      <x:c r="H1766" s="28" t="str">
        <x:v>Later specialized</x:v>
      </x:c>
      <x:c r="I1766" s="28" t="str">
        <x:v>Direct or strongly ADHD-related record retained for later screening; typically narrower treatment, biomarker, mechanistic, or single-comorbidity focus.</x:v>
      </x:c>
      <x:c r="J1766" s="38" t="e">
        <x:f>HYPERLINK("https://pubmed.ncbi.nlm.nih.gov/"&amp;C1766&amp;"/","Open PubMed")</x:f>
        <x:v>HYPERLINK is not implemented. linkLocation=https://pubmed.ncbi.nlm.nih.gov/42740315/, friendlyName=Open PubMed</x:v>
      </x:c>
    </x:row>
    <x:row r="1767">
      <x:c r="A1767" s="26" t="str">
        <x:v>PUBMED-41964753</x:v>
      </x:c>
      <x:c r="B1767" s="26" t="n">
        <x:v>2026</x:v>
      </x:c>
      <x:c r="C1767" s="26" t="str">
        <x:v>41964753</x:v>
      </x:c>
      <x:c r="D1767" s="28" t="str">
        <x:v>Neurobehavioral outcomes and associated risk factors in pediatric brain tumor survivors.</x:v>
      </x:c>
      <x:c r="E1767" s="28" t="str">
        <x:v>Primary study - cohort</x:v>
      </x:c>
      <x:c r="F1767" s="28" t="str">
        <x:v>Development &amp; presentation; Recognition &amp; diagnosis; Family &amp; education; Social &amp; structural; Environmental &amp; lifestyle; Treatment &amp; support; Life outcomes &amp; lived experience; Historical &amp; contemporary context</x:v>
      </x:c>
      <x:c r="G1767" s="28" t="str">
        <x:v>Childhood; Adolescence</x:v>
      </x:c>
      <x:c r="H1767" s="28" t="str">
        <x:v>Later specialized</x:v>
      </x:c>
      <x:c r="I1767" s="28" t="str">
        <x:v>Direct or strongly ADHD-related record retained for later screening; typically narrower treatment, biomarker, mechanistic, or single-comorbidity focus.</x:v>
      </x:c>
      <x:c r="J1767" s="38" t="e">
        <x:f>HYPERLINK("https://pubmed.ncbi.nlm.nih.gov/"&amp;C1767&amp;"/","Open PubMed")</x:f>
        <x:v>HYPERLINK is not implemented. linkLocation=https://pubmed.ncbi.nlm.nih.gov/41964753/, friendlyName=Open PubMed</x:v>
      </x:c>
    </x:row>
    <x:row r="1768">
      <x:c r="A1768" s="26" t="str">
        <x:v>PUBMED-42159952</x:v>
      </x:c>
      <x:c r="B1768" s="26" t="n">
        <x:v>2026</x:v>
      </x:c>
      <x:c r="C1768" s="26" t="str">
        <x:v>42159952</x:v>
      </x:c>
      <x:c r="D1768" s="28" t="str">
        <x:v>Safety and Effectiveness of Guanfacine Hydrochloride Extended-Release in Adult Patients with ADHD in Japan: A Post-Marketing Surveillance Study.</x:v>
      </x:c>
      <x:c r="E1768" s="28" t="str">
        <x:v>Primary/contextual journal article</x:v>
      </x:c>
      <x:c r="F1768" s="28" t="str">
        <x:v>Development &amp; presentation; Recognition &amp; diagnosis; Social &amp; structural; Treatment &amp; support; Life outcomes &amp; lived experience</x:v>
      </x:c>
      <x:c r="G1768" s="28" t="str">
        <x:v>Adulthood</x:v>
      </x:c>
      <x:c r="H1768" s="28" t="str">
        <x:v>Later specialized</x:v>
      </x:c>
      <x:c r="I1768" s="28" t="str">
        <x:v>Direct or strongly ADHD-related record retained for later screening; typically narrower treatment, biomarker, mechanistic, or single-comorbidity focus.</x:v>
      </x:c>
      <x:c r="J1768" s="38" t="e">
        <x:f>HYPERLINK("https://pubmed.ncbi.nlm.nih.gov/"&amp;C1768&amp;"/","Open PubMed")</x:f>
        <x:v>HYPERLINK is not implemented. linkLocation=https://pubmed.ncbi.nlm.nih.gov/42159952/, friendlyName=Open PubMed</x:v>
      </x:c>
    </x:row>
    <x:row r="1769">
      <x:c r="A1769" s="26" t="str">
        <x:v>PUBMED-42365803</x:v>
      </x:c>
      <x:c r="B1769" s="26" t="n">
        <x:v>2026</x:v>
      </x:c>
      <x:c r="C1769" s="26" t="str">
        <x:v>42365803</x:v>
      </x:c>
      <x:c r="D1769" s="28" t="str">
        <x:v>Shared cognitive risk factors underlying rapid automatized naming deficits for the comorbidity of developmental dyslexia and attention deficit hyperactivity disorder: A computational parameter estimation via Bundesen's theory of visual attention.</x:v>
      </x:c>
      <x:c r="E1769" s="28" t="str">
        <x:v>Primary/contextual journal article</x:v>
      </x:c>
      <x:c r="F1769" s="28" t="str">
        <x:v>Development &amp; presentation; Recognition &amp; diagnosis; Social &amp; structural</x:v>
      </x:c>
      <x:c r="G1769" s="28" t="str">
        <x:v>Childhood; Adolescence</x:v>
      </x:c>
      <x:c r="H1769" s="28" t="str">
        <x:v>Later specialized</x:v>
      </x:c>
      <x:c r="I1769" s="28" t="str">
        <x:v>Direct or strongly ADHD-related record retained for later screening; typically narrower treatment, biomarker, mechanistic, or single-comorbidity focus.</x:v>
      </x:c>
      <x:c r="J1769" s="38" t="e">
        <x:f>HYPERLINK("https://pubmed.ncbi.nlm.nih.gov/"&amp;C1769&amp;"/","Open PubMed")</x:f>
        <x:v>HYPERLINK is not implemented. linkLocation=https://pubmed.ncbi.nlm.nih.gov/42365803/, friendlyName=Open PubMed</x:v>
      </x:c>
    </x:row>
    <x:row r="1770">
      <x:c r="A1770" s="26" t="str">
        <x:v>PUBMED-42430957</x:v>
      </x:c>
      <x:c r="B1770" s="26" t="n">
        <x:v>2026</x:v>
      </x:c>
      <x:c r="C1770" s="26" t="str">
        <x:v>42430957</x:v>
      </x:c>
      <x:c r="D1770" s="28" t="str">
        <x:v>Atypical auditory cortical processing in ADHD during early and middle childhood.</x:v>
      </x:c>
      <x:c r="E1770" s="28" t="str">
        <x:v>Primary study - cohort</x:v>
      </x:c>
      <x:c r="F1770" s="28" t="str">
        <x:v>Development &amp; presentation; Recognition &amp; diagnosis; Social &amp; structural; Environmental &amp; lifestyle</x:v>
      </x:c>
      <x:c r="G1770" s="28" t="str">
        <x:v>Childhood</x:v>
      </x:c>
      <x:c r="H1770" s="28" t="str">
        <x:v>Later specialized</x:v>
      </x:c>
      <x:c r="I1770" s="28" t="str">
        <x:v>Direct or strongly ADHD-related record retained for later screening; typically narrower treatment, biomarker, mechanistic, or single-comorbidity focus.</x:v>
      </x:c>
      <x:c r="J1770" s="38" t="e">
        <x:f>HYPERLINK("https://pubmed.ncbi.nlm.nih.gov/"&amp;C1770&amp;"/","Open PubMed")</x:f>
        <x:v>HYPERLINK is not implemented. linkLocation=https://pubmed.ncbi.nlm.nih.gov/42430957/, friendlyName=Open PubMed</x:v>
      </x:c>
    </x:row>
    <x:row r="1771">
      <x:c r="A1771" s="26" t="str">
        <x:v>PUBMED-42671280</x:v>
      </x:c>
      <x:c r="B1771" s="26" t="n">
        <x:v>2026</x:v>
      </x:c>
      <x:c r="C1771" s="26" t="str">
        <x:v>42671280</x:v>
      </x:c>
      <x:c r="D1771" s="28" t="str">
        <x:v>Obstetric Risk Associated With Stimulant Versus Nonstimulant Treatment During Pregnancy.</x:v>
      </x:c>
      <x:c r="E1771" s="28" t="str">
        <x:v>Primary study - cohort</x:v>
      </x:c>
      <x:c r="F1771" s="28" t="str">
        <x:v>Development &amp; presentation; Recognition &amp; diagnosis; Social &amp; structural; Environmental &amp; lifestyle; Treatment &amp; support; Life outcomes &amp; lived experience</x:v>
      </x:c>
      <x:c r="G1771" s="28" t="str">
        <x:v>Adolescence; Adulthood</x:v>
      </x:c>
      <x:c r="H1771" s="28" t="str">
        <x:v>Later specialized</x:v>
      </x:c>
      <x:c r="I1771" s="28" t="str">
        <x:v>Direct or strongly ADHD-related record retained for later screening; typically narrower treatment, biomarker, mechanistic, or single-comorbidity focus.</x:v>
      </x:c>
      <x:c r="J1771" s="38" t="e">
        <x:f>HYPERLINK("https://pubmed.ncbi.nlm.nih.gov/"&amp;C1771&amp;"/","Open PubMed")</x:f>
        <x:v>HYPERLINK is not implemented. linkLocation=https://pubmed.ncbi.nlm.nih.gov/42671280/, friendlyName=Open PubMed</x:v>
      </x:c>
    </x:row>
    <x:row r="1772">
      <x:c r="A1772" s="26" t="str">
        <x:v>PUBMED-42213741</x:v>
      </x:c>
      <x:c r="B1772" s="26" t="n">
        <x:v>2026</x:v>
      </x:c>
      <x:c r="C1772" s="26" t="str">
        <x:v>42213741</x:v>
      </x:c>
      <x:c r="D1772" s="28" t="str">
        <x:v>Neural Correlates of Virtual Reality Intervention in Children With Attention-Deficit/Hyperactivity Disorder: A Resting-State fMRI Study Based on Percent Amplitude of Fluctuation.</x:v>
      </x:c>
      <x:c r="E1772" s="28" t="str">
        <x:v>Primary/contextual journal article</x:v>
      </x:c>
      <x:c r="F1772" s="28" t="str">
        <x:v>Development &amp; presentation; Recognition &amp; diagnosis; Social &amp; structural; Environmental &amp; lifestyle; Treatment &amp; support</x:v>
      </x:c>
      <x:c r="G1772" s="28" t="str">
        <x:v>Childhood</x:v>
      </x:c>
      <x:c r="H1772" s="28" t="str">
        <x:v>Later specialized</x:v>
      </x:c>
      <x:c r="I1772" s="28" t="str">
        <x:v>Direct or strongly ADHD-related record retained for later screening; typically narrower treatment, biomarker, mechanistic, or single-comorbidity focus.</x:v>
      </x:c>
      <x:c r="J1772" s="38" t="e">
        <x:f>HYPERLINK("https://pubmed.ncbi.nlm.nih.gov/"&amp;C1772&amp;"/","Open PubMed")</x:f>
        <x:v>HYPERLINK is not implemented. linkLocation=https://pubmed.ncbi.nlm.nih.gov/42213741/, friendlyName=Open PubMed</x:v>
      </x:c>
    </x:row>
    <x:row r="1773">
      <x:c r="A1773" s="26" t="str">
        <x:v>PUBMED-42506346</x:v>
      </x:c>
      <x:c r="B1773" s="26" t="n">
        <x:v>2026</x:v>
      </x:c>
      <x:c r="C1773" s="26" t="str">
        <x:v>42506346</x:v>
      </x:c>
      <x:c r="D1773" s="28" t="str">
        <x:v>Consequences of Prolonged Substance Use Disorder in Psychosis, ADHD and Violence: 6 Month Follow-Up Study.</x:v>
      </x:c>
      <x:c r="E1773" s="28" t="str">
        <x:v>Primary study - cohort</x:v>
      </x:c>
      <x:c r="F1773" s="28" t="str">
        <x:v>Development &amp; presentation; Recognition &amp; diagnosis; Social &amp; structural; Environmental &amp; lifestyle; Treatment &amp; support; Life outcomes &amp; lived experience</x:v>
      </x:c>
      <x:c r="G1773" s="28" t="str">
        <x:v>Adulthood</x:v>
      </x:c>
      <x:c r="H1773" s="28" t="str">
        <x:v>Later specialized</x:v>
      </x:c>
      <x:c r="I1773" s="28" t="str">
        <x:v>Direct or strongly ADHD-related record retained for later screening; typically narrower treatment, biomarker, mechanistic, or single-comorbidity focus.</x:v>
      </x:c>
      <x:c r="J1773" s="38" t="e">
        <x:f>HYPERLINK("https://pubmed.ncbi.nlm.nih.gov/"&amp;C1773&amp;"/","Open PubMed")</x:f>
        <x:v>HYPERLINK is not implemented. linkLocation=https://pubmed.ncbi.nlm.nih.gov/42506346/, friendlyName=Open PubMed</x:v>
      </x:c>
    </x:row>
    <x:row r="1774">
      <x:c r="A1774" s="26" t="str">
        <x:v>PUBMED-42495982</x:v>
      </x:c>
      <x:c r="B1774" s="26" t="n">
        <x:v>2026</x:v>
      </x:c>
      <x:c r="C1774" s="26" t="str">
        <x:v>42495982</x:v>
      </x:c>
      <x:c r="D1774" s="28" t="str">
        <x:v>Evaluation of dopamine transporter gene variations in Turkish children with attention deficit hyperactivity disorder treated with methylphenidate adverse effects.</x:v>
      </x:c>
      <x:c r="E1774" s="28" t="str">
        <x:v>Primary/contextual journal article</x:v>
      </x:c>
      <x:c r="F1774" s="28" t="str">
        <x:v>Development &amp; presentation; Recognition &amp; diagnosis; Social &amp; structural; Treatment &amp; support</x:v>
      </x:c>
      <x:c r="G1774" s="28" t="str">
        <x:v>Childhood; Adolescence</x:v>
      </x:c>
      <x:c r="H1774" s="28" t="str">
        <x:v>Later specialized</x:v>
      </x:c>
      <x:c r="I1774" s="28" t="str">
        <x:v>Direct or strongly ADHD-related record retained for later screening; typically narrower treatment, biomarker, mechanistic, or single-comorbidity focus.</x:v>
      </x:c>
      <x:c r="J1774" s="38" t="e">
        <x:f>HYPERLINK("https://pubmed.ncbi.nlm.nih.gov/"&amp;C1774&amp;"/","Open PubMed")</x:f>
        <x:v>HYPERLINK is not implemented. linkLocation=https://pubmed.ncbi.nlm.nih.gov/42495982/, friendlyName=Open PubMed</x:v>
      </x:c>
    </x:row>
    <x:row r="1775">
      <x:c r="A1775" s="26" t="str">
        <x:v>PUBMED-42045021</x:v>
      </x:c>
      <x:c r="B1775" s="26" t="n">
        <x:v>2026</x:v>
      </x:c>
      <x:c r="C1775" s="26" t="str">
        <x:v>42045021</x:v>
      </x:c>
      <x:c r="D1775" s="28" t="str">
        <x:v>The Interaction between Sleep and Development on Wake EEG Oscillations.</x:v>
      </x:c>
      <x:c r="E1775" s="28" t="str">
        <x:v>Primary/contextual journal article</x:v>
      </x:c>
      <x:c r="F1775" s="28" t="str">
        <x:v>Development &amp; presentation; Family &amp; education; Social &amp; structural; Environmental &amp; lifestyle; Historical &amp; contemporary context</x:v>
      </x:c>
      <x:c r="G1775" s="28" t="str">
        <x:v>Childhood; Adolescence; Adulthood</x:v>
      </x:c>
      <x:c r="H1775" s="28" t="str">
        <x:v>Later specialized</x:v>
      </x:c>
      <x:c r="I1775" s="28" t="str">
        <x:v>Direct or strongly ADHD-related record retained for later screening; typically narrower treatment, biomarker, mechanistic, or single-comorbidity focus.</x:v>
      </x:c>
      <x:c r="J1775" s="38" t="e">
        <x:f>HYPERLINK("https://pubmed.ncbi.nlm.nih.gov/"&amp;C1775&amp;"/","Open PubMed")</x:f>
        <x:v>HYPERLINK is not implemented. linkLocation=https://pubmed.ncbi.nlm.nih.gov/42045021/, friendlyName=Open PubMed</x:v>
      </x:c>
    </x:row>
    <x:row r="1776">
      <x:c r="A1776" s="26" t="str">
        <x:v>PUBMED-42330891</x:v>
      </x:c>
      <x:c r="B1776" s="26" t="n">
        <x:v>2026</x:v>
      </x:c>
      <x:c r="C1776" s="26" t="str">
        <x:v>42330891</x:v>
      </x:c>
      <x:c r="D1776" s="28" t="str">
        <x:v>Multiecho Resting-State Functional Magnetic Resonance Imaging Analysis of Attention-Deficit/Hyperactivity Disorder Severity and Motor Dysfunction in a Pediatric Sample of Neurofibromatosis Type 1.</x:v>
      </x:c>
      <x:c r="E1776" s="28" t="str">
        <x:v>Primary study - cohort</x:v>
      </x:c>
      <x:c r="F1776" s="28" t="str">
        <x:v>Development &amp; presentation; Recognition &amp; diagnosis; Family &amp; education; Social &amp; structural; Life outcomes &amp; lived experience</x:v>
      </x:c>
      <x:c r="G1776" s="28" t="str">
        <x:v>Childhood; Adolescence</x:v>
      </x:c>
      <x:c r="H1776" s="28" t="str">
        <x:v>Later specialized</x:v>
      </x:c>
      <x:c r="I1776" s="28" t="str">
        <x:v>Direct or strongly ADHD-related record retained for later screening; typically narrower treatment, biomarker, mechanistic, or single-comorbidity focus.</x:v>
      </x:c>
      <x:c r="J1776" s="38" t="e">
        <x:f>HYPERLINK("https://pubmed.ncbi.nlm.nih.gov/"&amp;C1776&amp;"/","Open PubMed")</x:f>
        <x:v>HYPERLINK is not implemented. linkLocation=https://pubmed.ncbi.nlm.nih.gov/42330891/, friendlyName=Open PubMed</x:v>
      </x:c>
    </x:row>
    <x:row r="1777">
      <x:c r="A1777" s="26" t="str">
        <x:v>PUBMED-42419075</x:v>
      </x:c>
      <x:c r="B1777" s="26" t="n">
        <x:v>2026</x:v>
      </x:c>
      <x:c r="C1777" s="26" t="str">
        <x:v>42419075</x:v>
      </x:c>
      <x:c r="D1777" s="28" t="str">
        <x:v>Diagnostic stickiness and shifting relevance: Reassessing autism spectrum disorder (ASD) and/or attention-deficit hyperactivity disorder (ADHD) diagnoses. A qualitative interview study.</x:v>
      </x:c>
      <x:c r="E1777" s="28" t="str">
        <x:v>Primary study - qualitative</x:v>
      </x:c>
      <x:c r="F1777" s="28" t="str">
        <x:v>Development &amp; presentation; Recognition &amp; diagnosis; Family &amp; education; Social &amp; structural; Life outcomes &amp; lived experience</x:v>
      </x:c>
      <x:c r="G1777" s="28" t="str">
        <x:v>Childhood; Adolescence; Adulthood</x:v>
      </x:c>
      <x:c r="H1777" s="28" t="str">
        <x:v>Batch 1 core</x:v>
      </x:c>
      <x:c r="I1777" s="28" t="str">
        <x:v>Direct ADHD primary study on diagnosis, family/education, structural conditions, lived experience/outcomes, or environment/lifestyle.</x:v>
      </x:c>
      <x:c r="J1777" s="38" t="e">
        <x:f>HYPERLINK("https://pubmed.ncbi.nlm.nih.gov/"&amp;C1777&amp;"/","Open PubMed")</x:f>
        <x:v>HYPERLINK is not implemented. linkLocation=https://pubmed.ncbi.nlm.nih.gov/42419075/, friendlyName=Open PubMed</x:v>
      </x:c>
    </x:row>
    <x:row r="1778">
      <x:c r="A1778" s="26" t="str">
        <x:v>PUBMED-42106651</x:v>
      </x:c>
      <x:c r="B1778" s="26" t="n">
        <x:v>2026</x:v>
      </x:c>
      <x:c r="C1778" s="26" t="str">
        <x:v>42106651</x:v>
      </x:c>
      <x:c r="D1778" s="28" t="str">
        <x:v>Group dialectical behavior therapy skills training versus group cognitive behavioral therapy for adults with ADHD: a randomized controlled trial.</x:v>
      </x:c>
      <x:c r="E1778" s="28" t="str">
        <x:v>Primary study - randomized controlled trial</x:v>
      </x:c>
      <x:c r="F1778" s="28" t="str">
        <x:v>Development &amp; presentation; Recognition &amp; diagnosis; Social &amp; structural; Treatment &amp; support; Life outcomes &amp; lived experience</x:v>
      </x:c>
      <x:c r="G1778" s="28" t="str">
        <x:v>Adulthood</x:v>
      </x:c>
      <x:c r="H1778" s="28" t="str">
        <x:v>Later specialized</x:v>
      </x:c>
      <x:c r="I1778" s="28" t="str">
        <x:v>Direct or strongly ADHD-related record retained for later screening; typically narrower treatment, biomarker, mechanistic, or single-comorbidity focus.</x:v>
      </x:c>
      <x:c r="J1778" s="38" t="e">
        <x:f>HYPERLINK("https://pubmed.ncbi.nlm.nih.gov/"&amp;C1778&amp;"/","Open PubMed")</x:f>
        <x:v>HYPERLINK is not implemented. linkLocation=https://pubmed.ncbi.nlm.nih.gov/42106651/, friendlyName=Open PubMed</x:v>
      </x:c>
    </x:row>
    <x:row r="1779">
      <x:c r="A1779" s="26" t="str">
        <x:v>PUBMED-42709718</x:v>
      </x:c>
      <x:c r="B1779" s="26" t="n">
        <x:v>2026</x:v>
      </x:c>
      <x:c r="C1779" s="26" t="str">
        <x:v>42709718</x:v>
      </x:c>
      <x:c r="D1779" s="28" t="str">
        <x:v>Autism and ADHD social media short-form video content: A systematic review protocol.</x:v>
      </x:c>
      <x:c r="E1779" s="28" t="str">
        <x:v>Evidence synthesis - meta-analysis</x:v>
      </x:c>
      <x:c r="F1779" s="28" t="str">
        <x:v>Development &amp; presentation; Recognition &amp; diagnosis; Social &amp; structural; Environmental &amp; lifestyle; Treatment &amp; support; Life outcomes &amp; lived experience; Historical &amp; contemporary context</x:v>
      </x:c>
      <x:c r="G1779" s="28" t="str">
        <x:v>Adulthood</x:v>
      </x:c>
      <x:c r="H1779" s="28" t="str">
        <x:v>Batch 1 core</x:v>
      </x:c>
      <x:c r="I1779" s="28" t="str">
        <x:v>Direct ADHD evidence synthesis/guideline with broad multi-topic relevance.</x:v>
      </x:c>
      <x:c r="J1779" s="38" t="e">
        <x:f>HYPERLINK("https://pubmed.ncbi.nlm.nih.gov/"&amp;C1779&amp;"/","Open PubMed")</x:f>
        <x:v>HYPERLINK is not implemented. linkLocation=https://pubmed.ncbi.nlm.nih.gov/42709718/, friendlyName=Open PubMed</x:v>
      </x:c>
    </x:row>
    <x:row r="1780">
      <x:c r="A1780" s="26" t="str">
        <x:v>PUBMED-42068784</x:v>
      </x:c>
      <x:c r="B1780" s="26" t="n">
        <x:v>2026</x:v>
      </x:c>
      <x:c r="C1780" s="26" t="str">
        <x:v>42068784</x:v>
      </x:c>
      <x:c r="D1780" s="28" t="str">
        <x:v>Association of ADHD symptoms with the interactions within and between the HPA axis and melatonin system characterized by hair-based biomarkers.</x:v>
      </x:c>
      <x:c r="E1780" s="28" t="str">
        <x:v>Primary study - cross-sectional</x:v>
      </x:c>
      <x:c r="F1780" s="28" t="str">
        <x:v>Development &amp; presentation; Recognition &amp; diagnosis; Family &amp; education; Social &amp; structural; Environmental &amp; lifestyle</x:v>
      </x:c>
      <x:c r="G1780" s="28" t="str">
        <x:v>Childhood</x:v>
      </x:c>
      <x:c r="H1780" s="28" t="str">
        <x:v>Later specialized</x:v>
      </x:c>
      <x:c r="I1780" s="28" t="str">
        <x:v>Direct or strongly ADHD-related record retained for later screening; typically narrower treatment, biomarker, mechanistic, or single-comorbidity focus.</x:v>
      </x:c>
      <x:c r="J1780" s="38" t="e">
        <x:f>HYPERLINK("https://pubmed.ncbi.nlm.nih.gov/"&amp;C1780&amp;"/","Open PubMed")</x:f>
        <x:v>HYPERLINK is not implemented. linkLocation=https://pubmed.ncbi.nlm.nih.gov/42068784/, friendlyName=Open PubMed</x:v>
      </x:c>
    </x:row>
    <x:row r="1781">
      <x:c r="A1781" s="26" t="str">
        <x:v>PUBMED-42364394</x:v>
      </x:c>
      <x:c r="B1781" s="26" t="n">
        <x:v>2026</x:v>
      </x:c>
      <x:c r="C1781" s="26" t="str">
        <x:v>42364394</x:v>
      </x:c>
      <x:c r="D1781" s="28" t="str">
        <x:v>Cognitive flexibility, empathy and social self-efficacy in children with ADHD and their parents: An actor-partner interdependence model.</x:v>
      </x:c>
      <x:c r="E1781" s="28" t="str">
        <x:v>Primary/contextual journal article</x:v>
      </x:c>
      <x:c r="F1781" s="28" t="str">
        <x:v>Development &amp; presentation; Recognition &amp; diagnosis; Family &amp; education; Social &amp; structural; Life outcomes &amp; lived experience</x:v>
      </x:c>
      <x:c r="G1781" s="28" t="str">
        <x:v>Childhood; Adolescence</x:v>
      </x:c>
      <x:c r="H1781" s="28" t="str">
        <x:v>Later specialized</x:v>
      </x:c>
      <x:c r="I1781" s="28" t="str">
        <x:v>Direct or strongly ADHD-related record retained for later screening; typically narrower treatment, biomarker, mechanistic, or single-comorbidity focus.</x:v>
      </x:c>
      <x:c r="J1781" s="38" t="e">
        <x:f>HYPERLINK("https://pubmed.ncbi.nlm.nih.gov/"&amp;C1781&amp;"/","Open PubMed")</x:f>
        <x:v>HYPERLINK is not implemented. linkLocation=https://pubmed.ncbi.nlm.nih.gov/42364394/, friendlyName=Open PubMed</x:v>
      </x:c>
    </x:row>
    <x:row r="1782">
      <x:c r="A1782" s="26" t="str">
        <x:v>PUBMED-42401814</x:v>
      </x:c>
      <x:c r="B1782" s="26" t="n">
        <x:v>2026</x:v>
      </x:c>
      <x:c r="C1782" s="26" t="str">
        <x:v>42401814</x:v>
      </x:c>
      <x:c r="D1782" s="28" t="str">
        <x:v>Cognitive functioning, verbal memory performance, and ADHD-related symptoms in late-preterm children.</x:v>
      </x:c>
      <x:c r="E1782" s="28" t="str">
        <x:v>Primary study - cohort</x:v>
      </x:c>
      <x:c r="F1782" s="28" t="str">
        <x:v>Development &amp; presentation; Recognition &amp; diagnosis; Family &amp; education; Social &amp; structural; Life outcomes &amp; lived experience</x:v>
      </x:c>
      <x:c r="G1782" s="28" t="str">
        <x:v>Childhood</x:v>
      </x:c>
      <x:c r="H1782" s="28" t="str">
        <x:v>Later specialized</x:v>
      </x:c>
      <x:c r="I1782" s="28" t="str">
        <x:v>Direct or strongly ADHD-related record retained for later screening; typically narrower treatment, biomarker, mechanistic, or single-comorbidity focus.</x:v>
      </x:c>
      <x:c r="J1782" s="38" t="e">
        <x:f>HYPERLINK("https://pubmed.ncbi.nlm.nih.gov/"&amp;C1782&amp;"/","Open PubMed")</x:f>
        <x:v>HYPERLINK is not implemented. linkLocation=https://pubmed.ncbi.nlm.nih.gov/42401814/, friendlyName=Open PubMed</x:v>
      </x:c>
    </x:row>
    <x:row r="1783">
      <x:c r="A1783" s="26" t="str">
        <x:v>PUBMED-42667457</x:v>
      </x:c>
      <x:c r="B1783" s="26" t="n">
        <x:v>2026</x:v>
      </x:c>
      <x:c r="C1783" s="26" t="str">
        <x:v>42667457</x:v>
      </x:c>
      <x:c r="D1783" s="28" t="str">
        <x:v>Off-Time Puberty in Autism Spectrum Disorder and ADHD: A Scoping Review of Pubertal Timing, Social Cognition, and Psychopathological Risk.</x:v>
      </x:c>
      <x:c r="E1783" s="28" t="str">
        <x:v>Evidence synthesis - review</x:v>
      </x:c>
      <x:c r="F1783" s="28" t="str">
        <x:v>Development &amp; presentation; Social &amp; structural; Life outcomes &amp; lived experience</x:v>
      </x:c>
      <x:c r="G1783" s="28" t="str">
        <x:v>Childhood; Adolescence</x:v>
      </x:c>
      <x:c r="H1783" s="28" t="str">
        <x:v>Batch 1 core</x:v>
      </x:c>
      <x:c r="I1783" s="28" t="str">
        <x:v>Direct ADHD evidence synthesis/guideline with broad multi-topic relevance.</x:v>
      </x:c>
      <x:c r="J1783" s="38" t="e">
        <x:f>HYPERLINK("https://pubmed.ncbi.nlm.nih.gov/"&amp;C1783&amp;"/","Open PubMed")</x:f>
        <x:v>HYPERLINK is not implemented. linkLocation=https://pubmed.ncbi.nlm.nih.gov/42667457/, friendlyName=Open PubMed</x:v>
      </x:c>
    </x:row>
    <x:row r="1784">
      <x:c r="A1784" s="26" t="str">
        <x:v>PUBMED-42226112</x:v>
      </x:c>
      <x:c r="B1784" s="26" t="n">
        <x:v>2026</x:v>
      </x:c>
      <x:c r="C1784" s="26" t="str">
        <x:v>42226112</x:v>
      </x:c>
      <x:c r="D1784" s="28" t="str">
        <x:v>The prevalence of neurodevelopmental disorders in Smith-Magenis Syndrome: a PRISMA compliant systematic review.</x:v>
      </x:c>
      <x:c r="E1784" s="28" t="str">
        <x:v>Evidence synthesis - meta-analysis</x:v>
      </x:c>
      <x:c r="F1784" s="28" t="str">
        <x:v>Development &amp; presentation; Recognition &amp; diagnosis; Family &amp; education; Social &amp; structural; Life outcomes &amp; lived experience</x:v>
      </x:c>
      <x:c r="G1784" s="28" t="str">
        <x:v>Not specified</x:v>
      </x:c>
      <x:c r="H1784" s="28" t="str">
        <x:v>Later specialized</x:v>
      </x:c>
      <x:c r="I1784" s="28" t="str">
        <x:v>Direct or strongly ADHD-related record retained for later screening; typically narrower treatment, biomarker, mechanistic, or single-comorbidity focus.</x:v>
      </x:c>
      <x:c r="J1784" s="38" t="e">
        <x:f>HYPERLINK("https://pubmed.ncbi.nlm.nih.gov/"&amp;C1784&amp;"/","Open PubMed")</x:f>
        <x:v>HYPERLINK is not implemented. linkLocation=https://pubmed.ncbi.nlm.nih.gov/42226112/, friendlyName=Open PubMed</x:v>
      </x:c>
    </x:row>
    <x:row r="1785">
      <x:c r="A1785" s="26" t="str">
        <x:v>PUBMED-42036309</x:v>
      </x:c>
      <x:c r="B1785" s="26" t="n">
        <x:v>2026</x:v>
      </x:c>
      <x:c r="C1785" s="26" t="str">
        <x:v>42036309</x:v>
      </x:c>
      <x:c r="D1785" s="28" t="str">
        <x:v>Physical Fitness Profiles Among Children and Adolescents With ADHD and ASD: A Comparison With Typically Developing Peers.</x:v>
      </x:c>
      <x:c r="E1785" s="28" t="str">
        <x:v>Primary/contextual journal article</x:v>
      </x:c>
      <x:c r="F1785" s="28" t="str">
        <x:v>Development &amp; presentation; Recognition &amp; diagnosis; Family &amp; education; Social &amp; structural; Life outcomes &amp; lived experience</x:v>
      </x:c>
      <x:c r="G1785" s="28" t="str">
        <x:v>Childhood; Adolescence</x:v>
      </x:c>
      <x:c r="H1785" s="28" t="str">
        <x:v>Later specialized</x:v>
      </x:c>
      <x:c r="I1785" s="28" t="str">
        <x:v>Direct or strongly ADHD-related record retained for later screening; typically narrower treatment, biomarker, mechanistic, or single-comorbidity focus.</x:v>
      </x:c>
      <x:c r="J1785" s="38" t="e">
        <x:f>HYPERLINK("https://pubmed.ncbi.nlm.nih.gov/"&amp;C1785&amp;"/","Open PubMed")</x:f>
        <x:v>HYPERLINK is not implemented. linkLocation=https://pubmed.ncbi.nlm.nih.gov/42036309/, friendlyName=Open PubMed</x:v>
      </x:c>
    </x:row>
    <x:row r="1786">
      <x:c r="A1786" s="26" t="str">
        <x:v>PUBMED-42002249</x:v>
      </x:c>
      <x:c r="B1786" s="26" t="n">
        <x:v>2026</x:v>
      </x:c>
      <x:c r="C1786" s="26" t="str">
        <x:v>42002249</x:v>
      </x:c>
      <x:c r="D1786" s="28" t="str">
        <x:v>Improving communication in pregnancy: a neurodivergent-responsive approach.</x:v>
      </x:c>
      <x:c r="E1786" s="28" t="str">
        <x:v>Primary study - qualitative</x:v>
      </x:c>
      <x:c r="F1786" s="28" t="str">
        <x:v>Development &amp; presentation; Recognition &amp; diagnosis; Social &amp; structural; Environmental &amp; lifestyle; Treatment &amp; support; Life outcomes &amp; lived experience</x:v>
      </x:c>
      <x:c r="G1786" s="28" t="str">
        <x:v>Not specified</x:v>
      </x:c>
      <x:c r="H1786" s="28" t="str">
        <x:v>Exclude/incidental</x:v>
      </x:c>
      <x:c r="I1786" s="28" t="str">
        <x:v>ADHD appears peripheral or insufficiently aligned with the requested corpus scope based on accessible metadata/abstract.</x:v>
      </x:c>
      <x:c r="J1786" s="38" t="e">
        <x:f>HYPERLINK("https://pubmed.ncbi.nlm.nih.gov/"&amp;C1786&amp;"/","Open PubMed")</x:f>
        <x:v>HYPERLINK is not implemented. linkLocation=https://pubmed.ncbi.nlm.nih.gov/42002249/, friendlyName=Open PubMed</x:v>
      </x:c>
    </x:row>
    <x:row r="1787">
      <x:c r="A1787" s="26" t="str">
        <x:v>PUBMED-42625140</x:v>
      </x:c>
      <x:c r="B1787" s="26" t="n">
        <x:v>2026</x:v>
      </x:c>
      <x:c r="C1787" s="26" t="str">
        <x:v>42625140</x:v>
      </x:c>
      <x:c r="D1787" s="28" t="str">
        <x:v>Brain-Behavior Relationships in Children With ADHD: Resting-state EEG Networks Underlying Executive Function and Neurological Soft Signs.</x:v>
      </x:c>
      <x:c r="E1787" s="28" t="str">
        <x:v>Primary/contextual journal article</x:v>
      </x:c>
      <x:c r="F1787" s="28" t="str">
        <x:v>Development &amp; presentation; Recognition &amp; diagnosis; Social &amp; structural; Treatment &amp; support; Life outcomes &amp; lived experience</x:v>
      </x:c>
      <x:c r="G1787" s="28" t="str">
        <x:v>Childhood</x:v>
      </x:c>
      <x:c r="H1787" s="28" t="str">
        <x:v>Later specialized</x:v>
      </x:c>
      <x:c r="I1787" s="28" t="str">
        <x:v>Direct or strongly ADHD-related record retained for later screening; typically narrower treatment, biomarker, mechanistic, or single-comorbidity focus.</x:v>
      </x:c>
      <x:c r="J1787" s="38" t="e">
        <x:f>HYPERLINK("https://pubmed.ncbi.nlm.nih.gov/"&amp;C1787&amp;"/","Open PubMed")</x:f>
        <x:v>HYPERLINK is not implemented. linkLocation=https://pubmed.ncbi.nlm.nih.gov/42625140/, friendlyName=Open PubMed</x:v>
      </x:c>
    </x:row>
    <x:row r="1788">
      <x:c r="A1788" s="26" t="str">
        <x:v>PUBMED-42600370</x:v>
      </x:c>
      <x:c r="B1788" s="26" t="n">
        <x:v>2026</x:v>
      </x:c>
      <x:c r="C1788" s="26" t="str">
        <x:v>42600370</x:v>
      </x:c>
      <x:c r="D1788" s="28" t="str">
        <x:v>Dissociation between cognitive deficits and reading mechanisms in Chinese children with comorbid dyslexia and ADHD.</x:v>
      </x:c>
      <x:c r="E1788" s="28" t="str">
        <x:v>Primary study - cohort</x:v>
      </x:c>
      <x:c r="F1788" s="28" t="str">
        <x:v>Development &amp; presentation; Recognition &amp; diagnosis; Social &amp; structural</x:v>
      </x:c>
      <x:c r="G1788" s="28" t="str">
        <x:v>Childhood</x:v>
      </x:c>
      <x:c r="H1788" s="28" t="str">
        <x:v>Later specialized</x:v>
      </x:c>
      <x:c r="I1788" s="28" t="str">
        <x:v>Direct or strongly ADHD-related record retained for later screening; typically narrower treatment, biomarker, mechanistic, or single-comorbidity focus.</x:v>
      </x:c>
      <x:c r="J1788" s="38" t="e">
        <x:f>HYPERLINK("https://pubmed.ncbi.nlm.nih.gov/"&amp;C1788&amp;"/","Open PubMed")</x:f>
        <x:v>HYPERLINK is not implemented. linkLocation=https://pubmed.ncbi.nlm.nih.gov/42600370/, friendlyName=Open PubMed</x:v>
      </x:c>
    </x:row>
    <x:row r="1789">
      <x:c r="A1789" s="26" t="str">
        <x:v>PUBMED-42449456</x:v>
      </x:c>
      <x:c r="B1789" s="26" t="n">
        <x:v>2026</x:v>
      </x:c>
      <x:c r="C1789" s="26" t="str">
        <x:v>42449456</x:v>
      </x:c>
      <x:c r="D1789" s="28" t="str">
        <x:v>Problematic digital use in adolescents with ADHD: impulsivity, obsessive-compulsive symptoms, and perceived cognitive flexibility.</x:v>
      </x:c>
      <x:c r="E1789" s="28" t="str">
        <x:v>Primary study - case-control</x:v>
      </x:c>
      <x:c r="F1789" s="28" t="str">
        <x:v>Development &amp; presentation; Recognition &amp; diagnosis; Family &amp; education; Social &amp; structural; Environmental &amp; lifestyle; Treatment &amp; support; Historical &amp; contemporary context</x:v>
      </x:c>
      <x:c r="G1789" s="28" t="str">
        <x:v>Childhood; Adolescence</x:v>
      </x:c>
      <x:c r="H1789" s="28" t="str">
        <x:v>Batch 1 core</x:v>
      </x:c>
      <x:c r="I1789" s="28" t="str">
        <x:v>Direct ADHD primary study on diagnosis, family/education, structural conditions, lived experience/outcomes, or environment/lifestyle.</x:v>
      </x:c>
      <x:c r="J1789" s="38" t="e">
        <x:f>HYPERLINK("https://pubmed.ncbi.nlm.nih.gov/"&amp;C1789&amp;"/","Open PubMed")</x:f>
        <x:v>HYPERLINK is not implemented. linkLocation=https://pubmed.ncbi.nlm.nih.gov/42449456/, friendlyName=Open PubMed</x:v>
      </x:c>
    </x:row>
    <x:row r="1790">
      <x:c r="A1790" s="26" t="str">
        <x:v>PUBMED-42477112</x:v>
      </x:c>
      <x:c r="B1790" s="26" t="n">
        <x:v>2026</x:v>
      </x:c>
      <x:c r="C1790" s="26" t="str">
        <x:v>42477112</x:v>
      </x:c>
      <x:c r="D1790" s="28" t="str">
        <x:v>Genome-wide association analyses of borderline personality disorder identify 11 loci and highlight shared risk with mental and somatic disorders.</x:v>
      </x:c>
      <x:c r="E1790" s="28" t="str">
        <x:v>Evidence synthesis - meta-analysis</x:v>
      </x:c>
      <x:c r="F1790" s="28" t="str">
        <x:v>Development &amp; presentation; Social &amp; structural; Environmental &amp; lifestyle</x:v>
      </x:c>
      <x:c r="G1790" s="28" t="str">
        <x:v>Not specified</x:v>
      </x:c>
      <x:c r="H1790" s="28" t="str">
        <x:v>Exclude/incidental</x:v>
      </x:c>
      <x:c r="I1790" s="28" t="str">
        <x:v>ADHD appears peripheral or insufficiently aligned with the requested corpus scope based on accessible metadata/abstract.</x:v>
      </x:c>
      <x:c r="J1790" s="38" t="e">
        <x:f>HYPERLINK("https://pubmed.ncbi.nlm.nih.gov/"&amp;C1790&amp;"/","Open PubMed")</x:f>
        <x:v>HYPERLINK is not implemented. linkLocation=https://pubmed.ncbi.nlm.nih.gov/42477112/, friendlyName=Open PubMed</x:v>
      </x:c>
    </x:row>
    <x:row r="1791">
      <x:c r="A1791" s="26" t="str">
        <x:v>PUBMED-42599342</x:v>
      </x:c>
      <x:c r="B1791" s="26" t="n">
        <x:v>2026</x:v>
      </x:c>
      <x:c r="C1791" s="26" t="str">
        <x:v>42599342</x:v>
      </x:c>
      <x:c r="D1791" s="28" t="str">
        <x:v>The "Feeling" of inattention: ADHD symptoms and mind wandering beyond remembered thought content.</x:v>
      </x:c>
      <x:c r="E1791" s="28" t="str">
        <x:v>Primary/contextual journal article</x:v>
      </x:c>
      <x:c r="F1791" s="28" t="str">
        <x:v>Development &amp; presentation; Social &amp; structural; Life outcomes &amp; lived experience; Historical &amp; contemporary context</x:v>
      </x:c>
      <x:c r="G1791" s="28" t="str">
        <x:v>Adolescence; Adulthood</x:v>
      </x:c>
      <x:c r="H1791" s="28" t="str">
        <x:v>Later specialized</x:v>
      </x:c>
      <x:c r="I1791" s="28" t="str">
        <x:v>Direct or strongly ADHD-related record retained for later screening; typically narrower treatment, biomarker, mechanistic, or single-comorbidity focus.</x:v>
      </x:c>
      <x:c r="J1791" s="38" t="e">
        <x:f>HYPERLINK("https://pubmed.ncbi.nlm.nih.gov/"&amp;C1791&amp;"/","Open PubMed")</x:f>
        <x:v>HYPERLINK is not implemented. linkLocation=https://pubmed.ncbi.nlm.nih.gov/42599342/, friendlyName=Open PubMed</x:v>
      </x:c>
    </x:row>
    <x:row r="1792">
      <x:c r="A1792" s="26" t="str">
        <x:v>PUBMED-42026821</x:v>
      </x:c>
      <x:c r="B1792" s="26" t="n">
        <x:v>2026</x:v>
      </x:c>
      <x:c r="C1792" s="26" t="str">
        <x:v>42026821</x:v>
      </x:c>
      <x:c r="D1792" s="28" t="str">
        <x:v>Racial and Ethnic Heterogeneity in Grit's Relations With ADHD Symptom Severity and Impairment: Indications of Decreased Relevance in Asian Versus White College Students.</x:v>
      </x:c>
      <x:c r="E1792" s="28" t="str">
        <x:v>Primary/contextual journal article</x:v>
      </x:c>
      <x:c r="F1792" s="28" t="str">
        <x:v>Development &amp; presentation; Social &amp; structural</x:v>
      </x:c>
      <x:c r="G1792" s="28" t="str">
        <x:v>Adolescence; Adulthood</x:v>
      </x:c>
      <x:c r="H1792" s="28" t="str">
        <x:v>Later specialized</x:v>
      </x:c>
      <x:c r="I1792" s="28" t="str">
        <x:v>Direct or strongly ADHD-related record retained for later screening; typically narrower treatment, biomarker, mechanistic, or single-comorbidity focus.</x:v>
      </x:c>
      <x:c r="J1792" s="38" t="e">
        <x:f>HYPERLINK("https://pubmed.ncbi.nlm.nih.gov/"&amp;C1792&amp;"/","Open PubMed")</x:f>
        <x:v>HYPERLINK is not implemented. linkLocation=https://pubmed.ncbi.nlm.nih.gov/42026821/, friendlyName=Open PubMed</x:v>
      </x:c>
    </x:row>
    <x:row r="1793">
      <x:c r="A1793" s="26" t="str">
        <x:v>PUBMED-42535730</x:v>
      </x:c>
      <x:c r="B1793" s="26" t="n">
        <x:v>2026</x:v>
      </x:c>
      <x:c r="C1793" s="26" t="str">
        <x:v>42535730</x:v>
      </x:c>
      <x:c r="D1793" s="28" t="str">
        <x:v>A neuroanatomical basis for co-occurring low attention and low reading ability.</x:v>
      </x:c>
      <x:c r="E1793" s="28" t="str">
        <x:v>Primary study - cross-sectional</x:v>
      </x:c>
      <x:c r="F1793" s="28" t="str">
        <x:v>Development &amp; presentation; Recognition &amp; diagnosis; Social &amp; structural; Treatment &amp; support</x:v>
      </x:c>
      <x:c r="G1793" s="28" t="str">
        <x:v>Adolescence</x:v>
      </x:c>
      <x:c r="H1793" s="28" t="str">
        <x:v>Later specialized</x:v>
      </x:c>
      <x:c r="I1793" s="28" t="str">
        <x:v>Direct or strongly ADHD-related record retained for later screening; typically narrower treatment, biomarker, mechanistic, or single-comorbidity focus.</x:v>
      </x:c>
      <x:c r="J1793" s="38" t="e">
        <x:f>HYPERLINK("https://pubmed.ncbi.nlm.nih.gov/"&amp;C1793&amp;"/","Open PubMed")</x:f>
        <x:v>HYPERLINK is not implemented. linkLocation=https://pubmed.ncbi.nlm.nih.gov/42535730/, friendlyName=Open PubMed</x:v>
      </x:c>
    </x:row>
    <x:row r="1794">
      <x:c r="A1794" s="26" t="str">
        <x:v>PUBMED-42082715</x:v>
      </x:c>
      <x:c r="B1794" s="26" t="n">
        <x:v>2026</x:v>
      </x:c>
      <x:c r="C1794" s="26" t="str">
        <x:v>42082715</x:v>
      </x:c>
      <x:c r="D1794" s="28" t="str">
        <x:v>Comorbidity burden and treatment patterns in Tourette syndrome and persistent motor or vocal tic disorder.</x:v>
      </x:c>
      <x:c r="E1794" s="28" t="str">
        <x:v>Primary study - cohort</x:v>
      </x:c>
      <x:c r="F1794" s="28" t="str">
        <x:v>Development &amp; presentation; Recognition &amp; diagnosis; Social &amp; structural; Treatment &amp; support; Life outcomes &amp; lived experience</x:v>
      </x:c>
      <x:c r="G1794" s="28" t="str">
        <x:v>Childhood</x:v>
      </x:c>
      <x:c r="H1794" s="28" t="str">
        <x:v>Later specialized</x:v>
      </x:c>
      <x:c r="I1794" s="28" t="str">
        <x:v>Direct or strongly ADHD-related record retained for later screening; typically narrower treatment, biomarker, mechanistic, or single-comorbidity focus.</x:v>
      </x:c>
      <x:c r="J1794" s="38" t="e">
        <x:f>HYPERLINK("https://pubmed.ncbi.nlm.nih.gov/"&amp;C1794&amp;"/","Open PubMed")</x:f>
        <x:v>HYPERLINK is not implemented. linkLocation=https://pubmed.ncbi.nlm.nih.gov/42082715/, friendlyName=Open PubMed</x:v>
      </x:c>
    </x:row>
    <x:row r="1795">
      <x:c r="A1795" s="26" t="str">
        <x:v>PUBMED-42103872</x:v>
      </x:c>
      <x:c r="B1795" s="26" t="n">
        <x:v>2026</x:v>
      </x:c>
      <x:c r="C1795" s="26" t="str">
        <x:v>42103872</x:v>
      </x:c>
      <x:c r="D1795" s="28" t="str">
        <x:v>Learning brain dynamics across distinct scaling regimes reveals psychiatric signatures.</x:v>
      </x:c>
      <x:c r="E1795" s="28" t="str">
        <x:v>Primary study - cohort</x:v>
      </x:c>
      <x:c r="F1795" s="28" t="str">
        <x:v>Development &amp; presentation; Recognition &amp; diagnosis; Social &amp; structural; Life outcomes &amp; lived experience; Historical &amp; contemporary context</x:v>
      </x:c>
      <x:c r="G1795" s="28" t="str">
        <x:v>Adolescence</x:v>
      </x:c>
      <x:c r="H1795" s="28" t="str">
        <x:v>Later specialized</x:v>
      </x:c>
      <x:c r="I1795" s="28" t="str">
        <x:v>Direct or strongly ADHD-related record retained for later screening; typically narrower treatment, biomarker, mechanistic, or single-comorbidity focus.</x:v>
      </x:c>
      <x:c r="J1795" s="38" t="e">
        <x:f>HYPERLINK("https://pubmed.ncbi.nlm.nih.gov/"&amp;C1795&amp;"/","Open PubMed")</x:f>
        <x:v>HYPERLINK is not implemented. linkLocation=https://pubmed.ncbi.nlm.nih.gov/42103872/, friendlyName=Open PubMed</x:v>
      </x:c>
    </x:row>
    <x:row r="1796">
      <x:c r="A1796" s="26" t="str">
        <x:v>PUBMED-41989408</x:v>
      </x:c>
      <x:c r="B1796" s="26" t="n">
        <x:v>2026</x:v>
      </x:c>
      <x:c r="C1796" s="26" t="str">
        <x:v>41989408</x:v>
      </x:c>
      <x:c r="D1796" s="28" t="str">
        <x:v>Interrogating cognitive and neural group variation in childhood: Examples in adolescent brain cognitive development and Oregon attention-deficit/hyperactivity disorder-1000 cohorts.</x:v>
      </x:c>
      <x:c r="E1796" s="28" t="str">
        <x:v>Primary study - cohort</x:v>
      </x:c>
      <x:c r="F1796" s="28" t="str">
        <x:v>Development &amp; presentation; Recognition &amp; diagnosis; Social &amp; structural; Life outcomes &amp; lived experience</x:v>
      </x:c>
      <x:c r="G1796" s="28" t="str">
        <x:v>Childhood; Adolescence</x:v>
      </x:c>
      <x:c r="H1796" s="28" t="str">
        <x:v>Later specialized</x:v>
      </x:c>
      <x:c r="I1796" s="28" t="str">
        <x:v>Direct or strongly ADHD-related record retained for later screening; typically narrower treatment, biomarker, mechanistic, or single-comorbidity focus.</x:v>
      </x:c>
      <x:c r="J1796" s="38" t="e">
        <x:f>HYPERLINK("https://pubmed.ncbi.nlm.nih.gov/"&amp;C1796&amp;"/","Open PubMed")</x:f>
        <x:v>HYPERLINK is not implemented. linkLocation=https://pubmed.ncbi.nlm.nih.gov/41989408/, friendlyName=Open PubMed</x:v>
      </x:c>
    </x:row>
    <x:row r="1797">
      <x:c r="A1797" s="26" t="str">
        <x:v>PUBMED-42190896</x:v>
      </x:c>
      <x:c r="B1797" s="26" t="n">
        <x:v>2026</x:v>
      </x:c>
      <x:c r="C1797" s="26" t="str">
        <x:v>42190896</x:v>
      </x:c>
      <x:c r="D1797" s="28" t="str">
        <x:v>Classification of familial and non-familial ADHD using auto-encoding network and binary hypothesis testing.</x:v>
      </x:c>
      <x:c r="E1797" s="28" t="str">
        <x:v>Primary/contextual journal article</x:v>
      </x:c>
      <x:c r="F1797" s="28" t="str">
        <x:v>Development &amp; presentation; Recognition &amp; diagnosis; Family &amp; education; Social &amp; structural; Treatment &amp; support; Life outcomes &amp; lived experience</x:v>
      </x:c>
      <x:c r="G1797" s="28" t="str">
        <x:v>Childhood</x:v>
      </x:c>
      <x:c r="H1797" s="28" t="str">
        <x:v>Later specialized</x:v>
      </x:c>
      <x:c r="I1797" s="28" t="str">
        <x:v>Direct or strongly ADHD-related record retained for later screening; typically narrower treatment, biomarker, mechanistic, or single-comorbidity focus.</x:v>
      </x:c>
      <x:c r="J1797" s="38" t="e">
        <x:f>HYPERLINK("https://pubmed.ncbi.nlm.nih.gov/"&amp;C1797&amp;"/","Open PubMed")</x:f>
        <x:v>HYPERLINK is not implemented. linkLocation=https://pubmed.ncbi.nlm.nih.gov/42190896/, friendlyName=Open PubMed</x:v>
      </x:c>
    </x:row>
    <x:row r="1798">
      <x:c r="A1798" s="26" t="str">
        <x:v>PUBMED-42119985</x:v>
      </x:c>
      <x:c r="B1798" s="26" t="n">
        <x:v>2026</x:v>
      </x:c>
      <x:c r="C1798" s="26" t="str">
        <x:v>42119985</x:v>
      </x:c>
      <x:c r="D1798" s="28" t="str">
        <x:v>Trends in the age-standardized prevalence of neurodevelopmental disorders in South America, 1990-2023.</x:v>
      </x:c>
      <x:c r="E1798" s="28" t="str">
        <x:v>Primary/contextual journal article</x:v>
      </x:c>
      <x:c r="F1798" s="28" t="str">
        <x:v>Development &amp; presentation; Recognition &amp; diagnosis; Family &amp; education; Social &amp; structural</x:v>
      </x:c>
      <x:c r="G1798" s="28" t="str">
        <x:v>Childhood</x:v>
      </x:c>
      <x:c r="H1798" s="28" t="str">
        <x:v>Later specialized</x:v>
      </x:c>
      <x:c r="I1798" s="28" t="str">
        <x:v>Direct or strongly ADHD-related record retained for later screening; typically narrower treatment, biomarker, mechanistic, or single-comorbidity focus.</x:v>
      </x:c>
      <x:c r="J1798" s="38" t="e">
        <x:f>HYPERLINK("https://pubmed.ncbi.nlm.nih.gov/"&amp;C1798&amp;"/","Open PubMed")</x:f>
        <x:v>HYPERLINK is not implemented. linkLocation=https://pubmed.ncbi.nlm.nih.gov/42119985/, friendlyName=Open PubMed</x:v>
      </x:c>
    </x:row>
    <x:row r="1799">
      <x:c r="A1799" s="26" t="str">
        <x:v>PUBMED-42590549</x:v>
      </x:c>
      <x:c r="B1799" s="26" t="n">
        <x:v>2026</x:v>
      </x:c>
      <x:c r="C1799" s="26" t="str">
        <x:v>42590549</x:v>
      </x:c>
      <x:c r="D1799" s="28" t="str">
        <x:v>EEG-Based Supported Diagnosis of ADHD Using Subject-Specific HMMs and Stationary RKHS Embeddings.</x:v>
      </x:c>
      <x:c r="E1799" s="28" t="str">
        <x:v>Primary/contextual journal article</x:v>
      </x:c>
      <x:c r="F1799" s="28" t="str">
        <x:v>Development &amp; presentation; Recognition &amp; diagnosis; Social &amp; structural</x:v>
      </x:c>
      <x:c r="G1799" s="28" t="str">
        <x:v>Childhood</x:v>
      </x:c>
      <x:c r="H1799" s="28" t="str">
        <x:v>Later specialized</x:v>
      </x:c>
      <x:c r="I1799" s="28" t="str">
        <x:v>Direct or strongly ADHD-related record retained for later screening; typically narrower treatment, biomarker, mechanistic, or single-comorbidity focus.</x:v>
      </x:c>
      <x:c r="J1799" s="38" t="e">
        <x:f>HYPERLINK("https://pubmed.ncbi.nlm.nih.gov/"&amp;C1799&amp;"/","Open PubMed")</x:f>
        <x:v>HYPERLINK is not implemented. linkLocation=https://pubmed.ncbi.nlm.nih.gov/42590549/, friendlyName=Open PubMed</x:v>
      </x:c>
    </x:row>
    <x:row r="1800">
      <x:c r="A1800" s="26" t="str">
        <x:v>PUBMED-41894523</x:v>
      </x:c>
      <x:c r="B1800" s="26" t="n">
        <x:v>2026</x:v>
      </x:c>
      <x:c r="C1800" s="26" t="str">
        <x:v>41894523</x:v>
      </x:c>
      <x:c r="D1800" s="28" t="str">
        <x:v>Measuring Accuracy (Classification Probabilities, Positive, and Negative Predictive Values) of Executive Function Electroencephalogram Metrics in Attention-Deficit/Hyperactivity Disorder Diagnosis: Protocol for and Perspectives From the SINCRONIA Study.</x:v>
      </x:c>
      <x:c r="E1800" s="28" t="str">
        <x:v>Primary study - case-control</x:v>
      </x:c>
      <x:c r="F1800" s="28" t="str">
        <x:v>Development &amp; presentation; Recognition &amp; diagnosis; Family &amp; education; Social &amp; structural</x:v>
      </x:c>
      <x:c r="G1800" s="28" t="str">
        <x:v>Childhood; Adulthood</x:v>
      </x:c>
      <x:c r="H1800" s="28" t="str">
        <x:v>Batch 1 core</x:v>
      </x:c>
      <x:c r="I1800" s="28" t="str">
        <x:v>Direct ADHD primary study on diagnosis, family/education, structural conditions, lived experience/outcomes, or environment/lifestyle.</x:v>
      </x:c>
      <x:c r="J1800" s="38" t="e">
        <x:f>HYPERLINK("https://pubmed.ncbi.nlm.nih.gov/"&amp;C1800&amp;"/","Open PubMed")</x:f>
        <x:v>HYPERLINK is not implemented. linkLocation=https://pubmed.ncbi.nlm.nih.gov/41894523/, friendlyName=Open PubMed</x:v>
      </x:c>
    </x:row>
    <x:row r="1801">
      <x:c r="A1801" s="26" t="str">
        <x:v>PUBMED-42320287</x:v>
      </x:c>
      <x:c r="B1801" s="26" t="n">
        <x:v>2026</x:v>
      </x:c>
      <x:c r="C1801" s="26" t="str">
        <x:v>42320287</x:v>
      </x:c>
      <x:c r="D1801" s="28" t="str">
        <x:v>Bayesian colocalization of psychiatric disorder GWAS signals with molecular quantitative trait loci highlights histone involvement and neuroimmune dysregulation in pathogenesis.</x:v>
      </x:c>
      <x:c r="E1801" s="28" t="str">
        <x:v>Primary/contextual journal article</x:v>
      </x:c>
      <x:c r="F1801" s="28" t="str">
        <x:v>Development &amp; presentation; Social &amp; structural; Historical &amp; contemporary context</x:v>
      </x:c>
      <x:c r="G1801" s="28" t="str">
        <x:v>Not specified</x:v>
      </x:c>
      <x:c r="H1801" s="28" t="str">
        <x:v>Exclude/incidental</x:v>
      </x:c>
      <x:c r="I1801" s="28" t="str">
        <x:v>ADHD appears peripheral or insufficiently aligned with the requested corpus scope based on accessible metadata/abstract.</x:v>
      </x:c>
      <x:c r="J1801" s="38" t="e">
        <x:f>HYPERLINK("https://pubmed.ncbi.nlm.nih.gov/"&amp;C1801&amp;"/","Open PubMed")</x:f>
        <x:v>HYPERLINK is not implemented. linkLocation=https://pubmed.ncbi.nlm.nih.gov/42320287/, friendlyName=Open PubMed</x:v>
      </x:c>
    </x:row>
    <x:row r="1802">
      <x:c r="A1802" s="26" t="str">
        <x:v>PUBMED-42322041</x:v>
      </x:c>
      <x:c r="B1802" s="26" t="n">
        <x:v>2026</x:v>
      </x:c>
      <x:c r="C1802" s="26" t="str">
        <x:v>42322041</x:v>
      </x:c>
      <x:c r="D1802" s="28" t="str">
        <x:v>The Unique Roles of Executive Function in Co-Occurring Psychopathologies in Autism.</x:v>
      </x:c>
      <x:c r="E1802" s="28" t="str">
        <x:v>Primary/contextual journal article</x:v>
      </x:c>
      <x:c r="F1802" s="28" t="str">
        <x:v>Development &amp; presentation; Recognition &amp; diagnosis; Social &amp; structural; Life outcomes &amp; lived experience</x:v>
      </x:c>
      <x:c r="G1802" s="28" t="str">
        <x:v>Childhood</x:v>
      </x:c>
      <x:c r="H1802" s="28" t="str">
        <x:v>Later specialized</x:v>
      </x:c>
      <x:c r="I1802" s="28" t="str">
        <x:v>Direct or strongly ADHD-related record retained for later screening; typically narrower treatment, biomarker, mechanistic, or single-comorbidity focus.</x:v>
      </x:c>
      <x:c r="J1802" s="38" t="e">
        <x:f>HYPERLINK("https://pubmed.ncbi.nlm.nih.gov/"&amp;C1802&amp;"/","Open PubMed")</x:f>
        <x:v>HYPERLINK is not implemented. linkLocation=https://pubmed.ncbi.nlm.nih.gov/42322041/, friendlyName=Open PubMed</x:v>
      </x:c>
    </x:row>
    <x:row r="1803">
      <x:c r="A1803" s="26" t="str">
        <x:v>PUBMED-42155858</x:v>
      </x:c>
      <x:c r="B1803" s="26" t="n">
        <x:v>2026</x:v>
      </x:c>
      <x:c r="C1803" s="26" t="str">
        <x:v>42155858</x:v>
      </x:c>
      <x:c r="D1803" s="28" t="str">
        <x:v>Dimensional and categorical approaches to behavioral-emotional problems in children and adolescents with mental disorders: A cross-sectional study.</x:v>
      </x:c>
      <x:c r="E1803" s="28" t="str">
        <x:v>Primary study - cross-sectional</x:v>
      </x:c>
      <x:c r="F1803" s="28" t="str">
        <x:v>Development &amp; presentation; Recognition &amp; diagnosis; Family &amp; education; Social &amp; structural; Treatment &amp; support; Life outcomes &amp; lived experience</x:v>
      </x:c>
      <x:c r="G1803" s="28" t="str">
        <x:v>Childhood; Adolescence; Adulthood</x:v>
      </x:c>
      <x:c r="H1803" s="28" t="str">
        <x:v>Exclude/incidental</x:v>
      </x:c>
      <x:c r="I1803" s="28" t="str">
        <x:v>ADHD appears peripheral or insufficiently aligned with the requested corpus scope based on accessible metadata/abstract.</x:v>
      </x:c>
      <x:c r="J1803" s="38" t="e">
        <x:f>HYPERLINK("https://pubmed.ncbi.nlm.nih.gov/"&amp;C1803&amp;"/","Open PubMed")</x:f>
        <x:v>HYPERLINK is not implemented. linkLocation=https://pubmed.ncbi.nlm.nih.gov/42155858/, friendlyName=Open PubMed</x:v>
      </x:c>
    </x:row>
    <x:row r="1804">
      <x:c r="A1804" s="26" t="str">
        <x:v>PUBMED-42668285</x:v>
      </x:c>
      <x:c r="B1804" s="26" t="n">
        <x:v>2026</x:v>
      </x:c>
      <x:c r="C1804" s="26" t="str">
        <x:v>42668285</x:v>
      </x:c>
      <x:c r="D1804" s="28" t="str">
        <x:v>Cognitive disengagement and emotional-behavioral profiles in children with voiding dysfunction: a controlled clinical study.</x:v>
      </x:c>
      <x:c r="E1804" s="28" t="str">
        <x:v>Primary study - case-control</x:v>
      </x:c>
      <x:c r="F1804" s="28" t="str">
        <x:v>Development &amp; presentation; Recognition &amp; diagnosis; Social &amp; structural; Treatment &amp; support; Life outcomes &amp; lived experience</x:v>
      </x:c>
      <x:c r="G1804" s="28" t="str">
        <x:v>Childhood</x:v>
      </x:c>
      <x:c r="H1804" s="28" t="str">
        <x:v>Later specialized</x:v>
      </x:c>
      <x:c r="I1804" s="28" t="str">
        <x:v>Direct or strongly ADHD-related record retained for later screening; typically narrower treatment, biomarker, mechanistic, or single-comorbidity focus.</x:v>
      </x:c>
      <x:c r="J1804" s="38" t="e">
        <x:f>HYPERLINK("https://pubmed.ncbi.nlm.nih.gov/"&amp;C1804&amp;"/","Open PubMed")</x:f>
        <x:v>HYPERLINK is not implemented. linkLocation=https://pubmed.ncbi.nlm.nih.gov/42668285/, friendlyName=Open PubMed</x:v>
      </x:c>
    </x:row>
    <x:row r="1805">
      <x:c r="A1805" s="26" t="str">
        <x:v>PUBMED-42184802</x:v>
      </x:c>
      <x:c r="B1805" s="26" t="n">
        <x:v>2026</x:v>
      </x:c>
      <x:c r="C1805" s="26" t="str">
        <x:v>42184802</x:v>
      </x:c>
      <x:c r="D1805" s="28" t="str">
        <x:v>The relationship between ADHD, OCD, and problematic social media use.</x:v>
      </x:c>
      <x:c r="E1805" s="28" t="str">
        <x:v>Primary study - cross-sectional</x:v>
      </x:c>
      <x:c r="F1805" s="28" t="str">
        <x:v>Development &amp; presentation; Social &amp; structural; Environmental &amp; lifestyle; Life outcomes &amp; lived experience; Historical &amp; contemporary context</x:v>
      </x:c>
      <x:c r="G1805" s="28" t="str">
        <x:v>Adolescence; Adulthood</x:v>
      </x:c>
      <x:c r="H1805" s="28" t="str">
        <x:v>Batch 1 core</x:v>
      </x:c>
      <x:c r="I1805" s="28" t="str">
        <x:v>Direct ADHD primary study on diagnosis, family/education, structural conditions, lived experience/outcomes, or environment/lifestyle.</x:v>
      </x:c>
      <x:c r="J1805" s="38" t="e">
        <x:f>HYPERLINK("https://pubmed.ncbi.nlm.nih.gov/"&amp;C1805&amp;"/","Open PubMed")</x:f>
        <x:v>HYPERLINK is not implemented. linkLocation=https://pubmed.ncbi.nlm.nih.gov/42184802/, friendlyName=Open PubMed</x:v>
      </x:c>
    </x:row>
    <x:row r="1806">
      <x:c r="A1806" s="26" t="str">
        <x:v>PUBMED-42003424</x:v>
      </x:c>
      <x:c r="B1806" s="26" t="n">
        <x:v>2026</x:v>
      </x:c>
      <x:c r="C1806" s="26" t="str">
        <x:v>42003424</x:v>
      </x:c>
      <x:c r="D1806" s="28" t="str">
        <x:v>Longitudinal and Seasonal Trends in Reimbursed and Non-Reimbursed Methylphenidate Dispense and Its Most Common Alternatives in Belgium.</x:v>
      </x:c>
      <x:c r="E1806" s="28" t="str">
        <x:v>Primary/contextual journal article</x:v>
      </x:c>
      <x:c r="F1806" s="28" t="str">
        <x:v>Development &amp; presentation; Recognition &amp; diagnosis; Social &amp; structural; Treatment &amp; support</x:v>
      </x:c>
      <x:c r="G1806" s="28" t="str">
        <x:v>Childhood; Adolescence</x:v>
      </x:c>
      <x:c r="H1806" s="28" t="str">
        <x:v>Later specialized</x:v>
      </x:c>
      <x:c r="I1806" s="28" t="str">
        <x:v>Direct or strongly ADHD-related record retained for later screening; typically narrower treatment, biomarker, mechanistic, or single-comorbidity focus.</x:v>
      </x:c>
      <x:c r="J1806" s="38" t="e">
        <x:f>HYPERLINK("https://pubmed.ncbi.nlm.nih.gov/"&amp;C1806&amp;"/","Open PubMed")</x:f>
        <x:v>HYPERLINK is not implemented. linkLocation=https://pubmed.ncbi.nlm.nih.gov/42003424/, friendlyName=Open PubMed</x:v>
      </x:c>
    </x:row>
    <x:row r="1807">
      <x:c r="A1807" s="26" t="str">
        <x:v>PUBMED-42069836</x:v>
      </x:c>
      <x:c r="B1807" s="26" t="n">
        <x:v>2026</x:v>
      </x:c>
      <x:c r="C1807" s="26" t="str">
        <x:v>42069836</x:v>
      </x:c>
      <x:c r="D1807" s="28" t="str">
        <x:v>Hybrid Vi+ECNN framework for advanced ADHD diagnostic accuracy in medical imaging.</x:v>
      </x:c>
      <x:c r="E1807" s="28" t="str">
        <x:v>Primary/contextual journal article</x:v>
      </x:c>
      <x:c r="F1807" s="28" t="str">
        <x:v>Development &amp; presentation; Recognition &amp; diagnosis; Social &amp; structural; Treatment &amp; support</x:v>
      </x:c>
      <x:c r="G1807" s="28" t="str">
        <x:v>Childhood</x:v>
      </x:c>
      <x:c r="H1807" s="28" t="str">
        <x:v>Later specialized</x:v>
      </x:c>
      <x:c r="I1807" s="28" t="str">
        <x:v>Direct or strongly ADHD-related record retained for later screening; typically narrower treatment, biomarker, mechanistic, or single-comorbidity focus.</x:v>
      </x:c>
      <x:c r="J1807" s="38" t="e">
        <x:f>HYPERLINK("https://pubmed.ncbi.nlm.nih.gov/"&amp;C1807&amp;"/","Open PubMed")</x:f>
        <x:v>HYPERLINK is not implemented. linkLocation=https://pubmed.ncbi.nlm.nih.gov/42069836/, friendlyName=Open PubMed</x:v>
      </x:c>
    </x:row>
    <x:row r="1808">
      <x:c r="A1808" s="26" t="str">
        <x:v>PUBMED-42362821</x:v>
      </x:c>
      <x:c r="B1808" s="26" t="n">
        <x:v>2026</x:v>
      </x:c>
      <x:c r="C1808" s="26" t="str">
        <x:v>42362821</x:v>
      </x:c>
      <x:c r="D1808" s="28" t="str">
        <x:v>Exploring the genetic correlation between inflammatory bowel disease and psychiatric disorders: insights from genome-wide association studies.</x:v>
      </x:c>
      <x:c r="E1808" s="28" t="str">
        <x:v>Evidence synthesis - meta-analysis</x:v>
      </x:c>
      <x:c r="F1808" s="28" t="str">
        <x:v>Development &amp; presentation; Social &amp; structural; Environmental &amp; lifestyle; Life outcomes &amp; lived experience</x:v>
      </x:c>
      <x:c r="G1808" s="28" t="str">
        <x:v>Not specified</x:v>
      </x:c>
      <x:c r="H1808" s="28" t="str">
        <x:v>Exclude/incidental</x:v>
      </x:c>
      <x:c r="I1808" s="28" t="str">
        <x:v>ADHD appears peripheral or insufficiently aligned with the requested corpus scope based on accessible metadata/abstract.</x:v>
      </x:c>
      <x:c r="J1808" s="38" t="e">
        <x:f>HYPERLINK("https://pubmed.ncbi.nlm.nih.gov/"&amp;C1808&amp;"/","Open PubMed")</x:f>
        <x:v>HYPERLINK is not implemented. linkLocation=https://pubmed.ncbi.nlm.nih.gov/42362821/, friendlyName=Open PubMed</x:v>
      </x:c>
    </x:row>
    <x:row r="1809">
      <x:c r="A1809" s="26" t="str">
        <x:v>PUBMED-42000584</x:v>
      </x:c>
      <x:c r="B1809" s="26" t="n">
        <x:v>2026</x:v>
      </x:c>
      <x:c r="C1809" s="26" t="str">
        <x:v>42000584</x:v>
      </x:c>
      <x:c r="D1809" s="28" t="str">
        <x:v>Internalizing and externalizing symptoms association with insomnia, SRMDs, and parasomnias in an ADHD sample and moderating effects of parental characteristics.</x:v>
      </x:c>
      <x:c r="E1809" s="28" t="str">
        <x:v>Primary/contextual journal article</x:v>
      </x:c>
      <x:c r="F1809" s="28" t="str">
        <x:v>Development &amp; presentation; Recognition &amp; diagnosis; Family &amp; education; Social &amp; structural; Environmental &amp; lifestyle; Treatment &amp; support; Life outcomes &amp; lived experience</x:v>
      </x:c>
      <x:c r="G1809" s="28" t="str">
        <x:v>Childhood; Adolescence</x:v>
      </x:c>
      <x:c r="H1809" s="28" t="str">
        <x:v>Later specialized</x:v>
      </x:c>
      <x:c r="I1809" s="28" t="str">
        <x:v>Direct or strongly ADHD-related record retained for later screening; typically narrower treatment, biomarker, mechanistic, or single-comorbidity focus.</x:v>
      </x:c>
      <x:c r="J1809" s="38" t="e">
        <x:f>HYPERLINK("https://pubmed.ncbi.nlm.nih.gov/"&amp;C1809&amp;"/","Open PubMed")</x:f>
        <x:v>HYPERLINK is not implemented. linkLocation=https://pubmed.ncbi.nlm.nih.gov/42000584/, friendlyName=Open PubMed</x:v>
      </x:c>
    </x:row>
    <x:row r="1810">
      <x:c r="A1810" s="26" t="str">
        <x:v>PUBMED-42312350</x:v>
      </x:c>
      <x:c r="B1810" s="26" t="n">
        <x:v>2026</x:v>
      </x:c>
      <x:c r="C1810" s="26" t="str">
        <x:v>42312350</x:v>
      </x:c>
      <x:c r="D1810" s="28" t="str">
        <x:v>The developmental shift in aperiodic activity and its link to the default mode network in attention-deficit hyperactivity disorder.</x:v>
      </x:c>
      <x:c r="E1810" s="28" t="str">
        <x:v>Primary/contextual journal article</x:v>
      </x:c>
      <x:c r="F1810" s="28" t="str">
        <x:v>Development &amp; presentation; Social &amp; structural; Treatment &amp; support</x:v>
      </x:c>
      <x:c r="G1810" s="28" t="str">
        <x:v>Childhood; Adolescence</x:v>
      </x:c>
      <x:c r="H1810" s="28" t="str">
        <x:v>Later specialized</x:v>
      </x:c>
      <x:c r="I1810" s="28" t="str">
        <x:v>Direct or strongly ADHD-related record retained for later screening; typically narrower treatment, biomarker, mechanistic, or single-comorbidity focus.</x:v>
      </x:c>
      <x:c r="J1810" s="38" t="e">
        <x:f>HYPERLINK("https://pubmed.ncbi.nlm.nih.gov/"&amp;C1810&amp;"/","Open PubMed")</x:f>
        <x:v>HYPERLINK is not implemented. linkLocation=https://pubmed.ncbi.nlm.nih.gov/42312350/, friendlyName=Open PubMed</x:v>
      </x:c>
    </x:row>
    <x:row r="1811">
      <x:c r="A1811" s="26" t="str">
        <x:v>PUBMED-42675564</x:v>
      </x:c>
      <x:c r="B1811" s="26" t="n">
        <x:v>2026</x:v>
      </x:c>
      <x:c r="C1811" s="26" t="str">
        <x:v>42675564</x:v>
      </x:c>
      <x:c r="D1811" s="28" t="str">
        <x:v>Does the Gut Microbiota Play a Role in Attention-Deficit/Hyperactivity Disorder in Childhood? A Pilot Study From Turkey.</x:v>
      </x:c>
      <x:c r="E1811" s="28" t="str">
        <x:v>Primary/contextual journal article</x:v>
      </x:c>
      <x:c r="F1811" s="28" t="str">
        <x:v>Development &amp; presentation; Recognition &amp; diagnosis; Family &amp; education; Social &amp; structural; Environmental &amp; lifestyle; Treatment &amp; support</x:v>
      </x:c>
      <x:c r="G1811" s="28" t="str">
        <x:v>Childhood</x:v>
      </x:c>
      <x:c r="H1811" s="28" t="str">
        <x:v>Later specialized</x:v>
      </x:c>
      <x:c r="I1811" s="28" t="str">
        <x:v>Direct or strongly ADHD-related record retained for later screening; typically narrower treatment, biomarker, mechanistic, or single-comorbidity focus.</x:v>
      </x:c>
      <x:c r="J1811" s="38" t="e">
        <x:f>HYPERLINK("https://pubmed.ncbi.nlm.nih.gov/"&amp;C1811&amp;"/","Open PubMed")</x:f>
        <x:v>HYPERLINK is not implemented. linkLocation=https://pubmed.ncbi.nlm.nih.gov/42675564/, friendlyName=Open PubMed</x:v>
      </x:c>
    </x:row>
    <x:row r="1812">
      <x:c r="A1812" s="26" t="str">
        <x:v>PUBMED-42053849</x:v>
      </x:c>
      <x:c r="B1812" s="26" t="n">
        <x:v>2026</x:v>
      </x:c>
      <x:c r="C1812" s="26" t="str">
        <x:v>42053849</x:v>
      </x:c>
      <x:c r="D1812" s="28" t="str">
        <x:v>A novel de novo frameshift variant in ZMYM2 expands the neuropsychiatric spectrum of NECRC syndrome: a case report.</x:v>
      </x:c>
      <x:c r="E1812" s="28" t="str">
        <x:v>Primary/contextual journal article</x:v>
      </x:c>
      <x:c r="F1812" s="28" t="str">
        <x:v>Development &amp; presentation; Recognition &amp; diagnosis; Family &amp; education; Social &amp; structural</x:v>
      </x:c>
      <x:c r="G1812" s="28" t="str">
        <x:v>Childhood</x:v>
      </x:c>
      <x:c r="H1812" s="28" t="str">
        <x:v>Later specialized</x:v>
      </x:c>
      <x:c r="I1812" s="28" t="str">
        <x:v>Direct or strongly ADHD-related record retained for later screening; typically narrower treatment, biomarker, mechanistic, or single-comorbidity focus.</x:v>
      </x:c>
      <x:c r="J1812" s="38" t="e">
        <x:f>HYPERLINK("https://pubmed.ncbi.nlm.nih.gov/"&amp;C1812&amp;"/","Open PubMed")</x:f>
        <x:v>HYPERLINK is not implemented. linkLocation=https://pubmed.ncbi.nlm.nih.gov/42053849/, friendlyName=Open PubMed</x:v>
      </x:c>
    </x:row>
    <x:row r="1813">
      <x:c r="A1813" s="26" t="str">
        <x:v>PUBMED-42330186</x:v>
      </x:c>
      <x:c r="B1813" s="26" t="n">
        <x:v>2026</x:v>
      </x:c>
      <x:c r="C1813" s="26" t="str">
        <x:v>42330186</x:v>
      </x:c>
      <x:c r="D1813" s="28" t="str">
        <x:v>Transactional Associations Between Maternal Depressive Symptoms and Pre-Adolescent Children's ADHD Symptoms During the COVID-19 Pandemic.</x:v>
      </x:c>
      <x:c r="E1813" s="28" t="str">
        <x:v>Primary study - cross-sectional</x:v>
      </x:c>
      <x:c r="F1813" s="28" t="str">
        <x:v>Development &amp; presentation; Family &amp; education; Social &amp; structural; Environmental &amp; lifestyle</x:v>
      </x:c>
      <x:c r="G1813" s="28" t="str">
        <x:v>Childhood; Adolescence; Adulthood</x:v>
      </x:c>
      <x:c r="H1813" s="28" t="str">
        <x:v>Later specialized</x:v>
      </x:c>
      <x:c r="I1813" s="28" t="str">
        <x:v>Direct or strongly ADHD-related record retained for later screening; typically narrower treatment, biomarker, mechanistic, or single-comorbidity focus.</x:v>
      </x:c>
      <x:c r="J1813" s="38" t="e">
        <x:f>HYPERLINK("https://pubmed.ncbi.nlm.nih.gov/"&amp;C1813&amp;"/","Open PubMed")</x:f>
        <x:v>HYPERLINK is not implemented. linkLocation=https://pubmed.ncbi.nlm.nih.gov/42330186/, friendlyName=Open PubMed</x:v>
      </x:c>
    </x:row>
    <x:row r="1814">
      <x:c r="A1814" s="26" t="str">
        <x:v>PUBMED-42566631</x:v>
      </x:c>
      <x:c r="B1814" s="26" t="n">
        <x:v>2026</x:v>
      </x:c>
      <x:c r="C1814" s="26" t="str">
        <x:v>42566631</x:v>
      </x:c>
      <x:c r="D1814" s="28" t="str">
        <x:v>Quality assessment of ADHD-related short videos on Chinese social media: A cross-sectional study.</x:v>
      </x:c>
      <x:c r="E1814" s="28" t="str">
        <x:v>Primary study - cross-sectional</x:v>
      </x:c>
      <x:c r="F1814" s="28" t="str">
        <x:v>Development &amp; presentation; Recognition &amp; diagnosis; Social &amp; structural; Environmental &amp; lifestyle; Historical &amp; contemporary context</x:v>
      </x:c>
      <x:c r="G1814" s="28" t="str">
        <x:v>Not specified</x:v>
      </x:c>
      <x:c r="H1814" s="28" t="str">
        <x:v>Batch 1 core</x:v>
      </x:c>
      <x:c r="I1814" s="28" t="str">
        <x:v>Direct ADHD primary study on diagnosis, family/education, structural conditions, lived experience/outcomes, or environment/lifestyle.</x:v>
      </x:c>
      <x:c r="J1814" s="38" t="e">
        <x:f>HYPERLINK("https://pubmed.ncbi.nlm.nih.gov/"&amp;C1814&amp;"/","Open PubMed")</x:f>
        <x:v>HYPERLINK is not implemented. linkLocation=https://pubmed.ncbi.nlm.nih.gov/42566631/, friendlyName=Open PubMed</x:v>
      </x:c>
    </x:row>
    <x:row r="1815">
      <x:c r="A1815" s="26" t="str">
        <x:v>PUBMED-42692448</x:v>
      </x:c>
      <x:c r="B1815" s="26" t="n">
        <x:v>2026</x:v>
      </x:c>
      <x:c r="C1815" s="26" t="str">
        <x:v>42692448</x:v>
      </x:c>
      <x:c r="D1815" s="28" t="str">
        <x:v>New model of management of attention deficit hyperactivity disorder by trained general practitioners: Prospective cohort study in 207 children.</x:v>
      </x:c>
      <x:c r="E1815" s="28" t="str">
        <x:v>Primary study - cohort</x:v>
      </x:c>
      <x:c r="F1815" s="28" t="str">
        <x:v>Development &amp; presentation; Recognition &amp; diagnosis; Family &amp; education; Social &amp; structural; Treatment &amp; support; Life outcomes &amp; lived experience</x:v>
      </x:c>
      <x:c r="G1815" s="28" t="str">
        <x:v>Childhood; Adolescence</x:v>
      </x:c>
      <x:c r="H1815" s="28" t="str">
        <x:v>Later specialized</x:v>
      </x:c>
      <x:c r="I1815" s="28" t="str">
        <x:v>Direct or strongly ADHD-related record retained for later screening; typically narrower treatment, biomarker, mechanistic, or single-comorbidity focus.</x:v>
      </x:c>
      <x:c r="J1815" s="38" t="e">
        <x:f>HYPERLINK("https://pubmed.ncbi.nlm.nih.gov/"&amp;C1815&amp;"/","Open PubMed")</x:f>
        <x:v>HYPERLINK is not implemented. linkLocation=https://pubmed.ncbi.nlm.nih.gov/42692448/, friendlyName=Open PubMed</x:v>
      </x:c>
    </x:row>
    <x:row r="1816">
      <x:c r="A1816" s="26" t="str">
        <x:v>PUBMED-42377656</x:v>
      </x:c>
      <x:c r="B1816" s="26" t="n">
        <x:v>2026</x:v>
      </x:c>
      <x:c r="C1816" s="26" t="str">
        <x:v>42377656</x:v>
      </x:c>
      <x:c r="D1816" s="28" t="str">
        <x:v>Development of a Reliable and Valid DSM-5-Based ADHD Self-Report Scale for 8- and 9-Year-Old Children.</x:v>
      </x:c>
      <x:c r="E1816" s="28" t="str">
        <x:v>Primary/contextual journal article</x:v>
      </x:c>
      <x:c r="F1816" s="28" t="str">
        <x:v>Development &amp; presentation; Recognition &amp; diagnosis; Family &amp; education; Social &amp; structural</x:v>
      </x:c>
      <x:c r="G1816" s="28" t="str">
        <x:v>Childhood</x:v>
      </x:c>
      <x:c r="H1816" s="28" t="str">
        <x:v>Later specialized</x:v>
      </x:c>
      <x:c r="I1816" s="28" t="str">
        <x:v>Direct or strongly ADHD-related record retained for later screening; typically narrower treatment, biomarker, mechanistic, or single-comorbidity focus.</x:v>
      </x:c>
      <x:c r="J1816" s="38" t="e">
        <x:f>HYPERLINK("https://pubmed.ncbi.nlm.nih.gov/"&amp;C1816&amp;"/","Open PubMed")</x:f>
        <x:v>HYPERLINK is not implemented. linkLocation=https://pubmed.ncbi.nlm.nih.gov/42377656/, friendlyName=Open PubMed</x:v>
      </x:c>
    </x:row>
    <x:row r="1817">
      <x:c r="A1817" s="26" t="str">
        <x:v>PUBMED-42120372</x:v>
      </x:c>
      <x:c r="B1817" s="26" t="n">
        <x:v>2026</x:v>
      </x:c>
      <x:c r="C1817" s="26" t="str">
        <x:v>42120372</x:v>
      </x:c>
      <x:c r="D1817" s="28" t="str">
        <x:v>Efficacy of a cognitive-behavioral group intervention for ADHD in college students via telehealth.</x:v>
      </x:c>
      <x:c r="E1817" s="28" t="str">
        <x:v>Primary/contextual journal article</x:v>
      </x:c>
      <x:c r="F1817" s="28" t="str">
        <x:v>Development &amp; presentation; Family &amp; education; Social &amp; structural; Treatment &amp; support; Life outcomes &amp; lived experience</x:v>
      </x:c>
      <x:c r="G1817" s="28" t="str">
        <x:v>Adulthood</x:v>
      </x:c>
      <x:c r="H1817" s="28" t="str">
        <x:v>Later specialized</x:v>
      </x:c>
      <x:c r="I1817" s="28" t="str">
        <x:v>Direct or strongly ADHD-related record retained for later screening; typically narrower treatment, biomarker, mechanistic, or single-comorbidity focus.</x:v>
      </x:c>
      <x:c r="J1817" s="38" t="e">
        <x:f>HYPERLINK("https://pubmed.ncbi.nlm.nih.gov/"&amp;C1817&amp;"/","Open PubMed")</x:f>
        <x:v>HYPERLINK is not implemented. linkLocation=https://pubmed.ncbi.nlm.nih.gov/42120372/, friendlyName=Open PubMed</x:v>
      </x:c>
    </x:row>
    <x:row r="1818">
      <x:c r="A1818" s="26" t="str">
        <x:v>PUBMED-42400277</x:v>
      </x:c>
      <x:c r="B1818" s="26" t="n">
        <x:v>2026</x:v>
      </x:c>
      <x:c r="C1818" s="26" t="str">
        <x:v>42400277</x:v>
      </x:c>
      <x:c r="D1818" s="28" t="str">
        <x:v>Symptoms of Anxiety in Adults with ADHD: A Systematic Review and Meta-Analysis of Case-Control Studies.</x:v>
      </x:c>
      <x:c r="E1818" s="28" t="str">
        <x:v>Evidence synthesis - meta-analysis</x:v>
      </x:c>
      <x:c r="F1818" s="28" t="str">
        <x:v>Development &amp; presentation; Recognition &amp; diagnosis; Social &amp; structural; Treatment &amp; support; Life outcomes &amp; lived experience</x:v>
      </x:c>
      <x:c r="G1818" s="28" t="str">
        <x:v>Adulthood</x:v>
      </x:c>
      <x:c r="H1818" s="28" t="str">
        <x:v>Batch 1 core</x:v>
      </x:c>
      <x:c r="I1818" s="28" t="str">
        <x:v>Direct ADHD evidence synthesis/guideline with broad multi-topic relevance.</x:v>
      </x:c>
      <x:c r="J1818" s="38" t="e">
        <x:f>HYPERLINK("https://pubmed.ncbi.nlm.nih.gov/"&amp;C1818&amp;"/","Open PubMed")</x:f>
        <x:v>HYPERLINK is not implemented. linkLocation=https://pubmed.ncbi.nlm.nih.gov/42400277/, friendlyName=Open PubMed</x:v>
      </x:c>
    </x:row>
    <x:row r="1819">
      <x:c r="A1819" s="26" t="str">
        <x:v>PUBMED-42034880</x:v>
      </x:c>
      <x:c r="B1819" s="26" t="n">
        <x:v>2026</x:v>
      </x:c>
      <x:c r="C1819" s="26" t="str">
        <x:v>42034880</x:v>
      </x:c>
      <x:c r="D1819" s="28" t="str">
        <x:v>The Role of Self-Concept Clarity in the Relations Between Disordered Eating, Gender Diversity, and Autistic and ADHD Traits.</x:v>
      </x:c>
      <x:c r="E1819" s="28" t="str">
        <x:v>Primary study - cross-sectional</x:v>
      </x:c>
      <x:c r="F1819" s="28" t="str">
        <x:v>Development &amp; presentation; Social &amp; structural; Environmental &amp; lifestyle; Historical &amp; contemporary context</x:v>
      </x:c>
      <x:c r="G1819" s="28" t="str">
        <x:v>Adulthood</x:v>
      </x:c>
      <x:c r="H1819" s="28" t="str">
        <x:v>Batch 1 core</x:v>
      </x:c>
      <x:c r="I1819" s="28" t="str">
        <x:v>Direct ADHD primary study on diagnosis, family/education, structural conditions, lived experience/outcomes, or environment/lifestyle.</x:v>
      </x:c>
      <x:c r="J1819" s="38" t="e">
        <x:f>HYPERLINK("https://pubmed.ncbi.nlm.nih.gov/"&amp;C1819&amp;"/","Open PubMed")</x:f>
        <x:v>HYPERLINK is not implemented. linkLocation=https://pubmed.ncbi.nlm.nih.gov/42034880/, friendlyName=Open PubMed</x:v>
      </x:c>
    </x:row>
    <x:row r="1820">
      <x:c r="A1820" s="26" t="str">
        <x:v>PUBMED-42319533</x:v>
      </x:c>
      <x:c r="B1820" s="26" t="n">
        <x:v>2026</x:v>
      </x:c>
      <x:c r="C1820" s="26" t="str">
        <x:v>42319533</x:v>
      </x:c>
      <x:c r="D1820" s="28" t="str">
        <x:v>Clinical and laboratory characteristics of pediatric patients diagnosed with thyroid hormone resistance: A single-center experience.</x:v>
      </x:c>
      <x:c r="E1820" s="28" t="str">
        <x:v>Primary study - cohort</x:v>
      </x:c>
      <x:c r="F1820" s="28" t="str">
        <x:v>Development &amp; presentation; Recognition &amp; diagnosis; Family &amp; education; Social &amp; structural; Environmental &amp; lifestyle; Treatment &amp; support; Life outcomes &amp; lived experience</x:v>
      </x:c>
      <x:c r="G1820" s="28" t="str">
        <x:v>Childhood; Adolescence</x:v>
      </x:c>
      <x:c r="H1820" s="28" t="str">
        <x:v>Later specialized</x:v>
      </x:c>
      <x:c r="I1820" s="28" t="str">
        <x:v>Direct or strongly ADHD-related record retained for later screening; typically narrower treatment, biomarker, mechanistic, or single-comorbidity focus.</x:v>
      </x:c>
      <x:c r="J1820" s="38" t="e">
        <x:f>HYPERLINK("https://pubmed.ncbi.nlm.nih.gov/"&amp;C1820&amp;"/","Open PubMed")</x:f>
        <x:v>HYPERLINK is not implemented. linkLocation=https://pubmed.ncbi.nlm.nih.gov/42319533/, friendlyName=Open PubMed</x:v>
      </x:c>
    </x:row>
    <x:row r="1821">
      <x:c r="A1821" s="26" t="str">
        <x:v>PUBMED-42470898</x:v>
      </x:c>
      <x:c r="B1821" s="26" t="n">
        <x:v>2026</x:v>
      </x:c>
      <x:c r="C1821" s="26" t="str">
        <x:v>42470898</x:v>
      </x:c>
      <x:c r="D1821" s="28" t="str">
        <x:v>Parent and carer perspectives on behavioural sleep management strategies for children with ADHD.</x:v>
      </x:c>
      <x:c r="E1821" s="28" t="str">
        <x:v>Primary study - qualitative</x:v>
      </x:c>
      <x:c r="F1821" s="28" t="str">
        <x:v>Development &amp; presentation; Family &amp; education; Social &amp; structural; Environmental &amp; lifestyle; Treatment &amp; support; Life outcomes &amp; lived experience; Historical &amp; contemporary context</x:v>
      </x:c>
      <x:c r="G1821" s="28" t="str">
        <x:v>Childhood</x:v>
      </x:c>
      <x:c r="H1821" s="28" t="str">
        <x:v>Batch 1 core</x:v>
      </x:c>
      <x:c r="I1821" s="28" t="str">
        <x:v>Direct ADHD primary study on diagnosis, family/education, structural conditions, lived experience/outcomes, or environment/lifestyle.</x:v>
      </x:c>
      <x:c r="J1821" s="38" t="e">
        <x:f>HYPERLINK("https://pubmed.ncbi.nlm.nih.gov/"&amp;C1821&amp;"/","Open PubMed")</x:f>
        <x:v>HYPERLINK is not implemented. linkLocation=https://pubmed.ncbi.nlm.nih.gov/42470898/, friendlyName=Open PubMed</x:v>
      </x:c>
    </x:row>
    <x:row r="1822">
      <x:c r="A1822" s="26" t="str">
        <x:v>PUBMED-42105878</x:v>
      </x:c>
      <x:c r="B1822" s="26" t="n">
        <x:v>2026</x:v>
      </x:c>
      <x:c r="C1822" s="26" t="str">
        <x:v>42105878</x:v>
      </x:c>
      <x:c r="D1822" s="28" t="str">
        <x:v>Prevalence of Student Pharmacists with Neurodivergent Conditions in a School of Pharmacy.</x:v>
      </x:c>
      <x:c r="E1822" s="28" t="str">
        <x:v>Primary study - cohort</x:v>
      </x:c>
      <x:c r="F1822" s="28" t="str">
        <x:v>Development &amp; presentation; Recognition &amp; diagnosis; Family &amp; education; Social &amp; structural; Life outcomes &amp; lived experience; Historical &amp; contemporary context</x:v>
      </x:c>
      <x:c r="G1822" s="28" t="str">
        <x:v>Adulthood</x:v>
      </x:c>
      <x:c r="H1822" s="28" t="str">
        <x:v>Exclude/incidental</x:v>
      </x:c>
      <x:c r="I1822" s="28" t="str">
        <x:v>ADHD appears peripheral or insufficiently aligned with the requested corpus scope based on accessible metadata/abstract.</x:v>
      </x:c>
      <x:c r="J1822" s="38" t="e">
        <x:f>HYPERLINK("https://pubmed.ncbi.nlm.nih.gov/"&amp;C1822&amp;"/","Open PubMed")</x:f>
        <x:v>HYPERLINK is not implemented. linkLocation=https://pubmed.ncbi.nlm.nih.gov/42105878/, friendlyName=Open PubMed</x:v>
      </x:c>
    </x:row>
    <x:row r="1823">
      <x:c r="A1823" s="26" t="str">
        <x:v>PUBMED-42401139</x:v>
      </x:c>
      <x:c r="B1823" s="26" t="n">
        <x:v>2026</x:v>
      </x:c>
      <x:c r="C1823" s="26" t="str">
        <x:v>42401139</x:v>
      </x:c>
      <x:c r="D1823" s="28" t="str">
        <x:v>Short report: Patterns of motor difficulties among autistic, ADHD, or Autistic-ADHD youth in Iceland.</x:v>
      </x:c>
      <x:c r="E1823" s="28" t="str">
        <x:v>Primary/contextual journal article</x:v>
      </x:c>
      <x:c r="F1823" s="28" t="str">
        <x:v>Development &amp; presentation; Recognition &amp; diagnosis; Social &amp; structural; Treatment &amp; support</x:v>
      </x:c>
      <x:c r="G1823" s="28" t="str">
        <x:v>Childhood; Adolescence</x:v>
      </x:c>
      <x:c r="H1823" s="28" t="str">
        <x:v>Later specialized</x:v>
      </x:c>
      <x:c r="I1823" s="28" t="str">
        <x:v>Direct or strongly ADHD-related record retained for later screening; typically narrower treatment, biomarker, mechanistic, or single-comorbidity focus.</x:v>
      </x:c>
      <x:c r="J1823" s="38" t="e">
        <x:f>HYPERLINK("https://pubmed.ncbi.nlm.nih.gov/"&amp;C1823&amp;"/","Open PubMed")</x:f>
        <x:v>HYPERLINK is not implemented. linkLocation=https://pubmed.ncbi.nlm.nih.gov/42401139/, friendlyName=Open PubMed</x:v>
      </x:c>
    </x:row>
    <x:row r="1824">
      <x:c r="A1824" s="26" t="str">
        <x:v>PUBMED-42444039</x:v>
      </x:c>
      <x:c r="B1824" s="26" t="n">
        <x:v>2026</x:v>
      </x:c>
      <x:c r="C1824" s="26" t="str">
        <x:v>42444039</x:v>
      </x:c>
      <x:c r="D1824" s="28" t="str">
        <x:v>Shared and Unique Patterns of Dysregulated Dual Systems Between Adolescent Problematic Video Gaming and ADHD.</x:v>
      </x:c>
      <x:c r="E1824" s="28" t="str">
        <x:v>Primary/contextual journal article</x:v>
      </x:c>
      <x:c r="F1824" s="28" t="str">
        <x:v>Development &amp; presentation; Recognition &amp; diagnosis; Social &amp; structural; Life outcomes &amp; lived experience</x:v>
      </x:c>
      <x:c r="G1824" s="28" t="str">
        <x:v>Childhood; Adolescence</x:v>
      </x:c>
      <x:c r="H1824" s="28" t="str">
        <x:v>Later specialized</x:v>
      </x:c>
      <x:c r="I1824" s="28" t="str">
        <x:v>Direct or strongly ADHD-related record retained for later screening; typically narrower treatment, biomarker, mechanistic, or single-comorbidity focus.</x:v>
      </x:c>
      <x:c r="J1824" s="38" t="e">
        <x:f>HYPERLINK("https://pubmed.ncbi.nlm.nih.gov/"&amp;C1824&amp;"/","Open PubMed")</x:f>
        <x:v>HYPERLINK is not implemented. linkLocation=https://pubmed.ncbi.nlm.nih.gov/42444039/, friendlyName=Open PubMed</x:v>
      </x:c>
    </x:row>
    <x:row r="1825">
      <x:c r="A1825" s="26" t="str">
        <x:v>PUBMED-42157363</x:v>
      </x:c>
      <x:c r="B1825" s="26" t="n">
        <x:v>2026</x:v>
      </x:c>
      <x:c r="C1825" s="26" t="str">
        <x:v>42157363</x:v>
      </x:c>
      <x:c r="D1825" s="28" t="str">
        <x:v>ADHD Prevalence in Turkish Preschoolers: Comorbidity and Associated Factors.</x:v>
      </x:c>
      <x:c r="E1825" s="28" t="str">
        <x:v>Primary study - cross-sectional</x:v>
      </x:c>
      <x:c r="F1825" s="28" t="str">
        <x:v>Development &amp; presentation; Recognition &amp; diagnosis; Family &amp; education; Social &amp; structural</x:v>
      </x:c>
      <x:c r="G1825" s="28" t="str">
        <x:v>Childhood</x:v>
      </x:c>
      <x:c r="H1825" s="28" t="str">
        <x:v>Batch 1 core</x:v>
      </x:c>
      <x:c r="I1825" s="28" t="str">
        <x:v>Direct ADHD primary study on diagnosis, family/education, structural conditions, lived experience/outcomes, or environment/lifestyle.</x:v>
      </x:c>
      <x:c r="J1825" s="38" t="e">
        <x:f>HYPERLINK("https://pubmed.ncbi.nlm.nih.gov/"&amp;C1825&amp;"/","Open PubMed")</x:f>
        <x:v>HYPERLINK is not implemented. linkLocation=https://pubmed.ncbi.nlm.nih.gov/42157363/, friendlyName=Open PubMed</x:v>
      </x:c>
    </x:row>
    <x:row r="1826">
      <x:c r="A1826" s="26" t="str">
        <x:v>PUBMED-42456607</x:v>
      </x:c>
      <x:c r="B1826" s="26" t="n">
        <x:v>2026</x:v>
      </x:c>
      <x:c r="C1826" s="26" t="str">
        <x:v>42456607</x:v>
      </x:c>
      <x:c r="D1826" s="28" t="str">
        <x:v>A systematic review on the association between ADHD and procrastination.</x:v>
      </x:c>
      <x:c r="E1826" s="28" t="str">
        <x:v>Evidence synthesis - systematic review</x:v>
      </x:c>
      <x:c r="F1826" s="28" t="str">
        <x:v>Development &amp; presentation; Recognition &amp; diagnosis; Social &amp; structural; Life outcomes &amp; lived experience</x:v>
      </x:c>
      <x:c r="G1826" s="28" t="str">
        <x:v>Not specified</x:v>
      </x:c>
      <x:c r="H1826" s="28" t="str">
        <x:v>Batch 1 core</x:v>
      </x:c>
      <x:c r="I1826" s="28" t="str">
        <x:v>Direct ADHD evidence synthesis/guideline with broad multi-topic relevance.</x:v>
      </x:c>
      <x:c r="J1826" s="38" t="e">
        <x:f>HYPERLINK("https://pubmed.ncbi.nlm.nih.gov/"&amp;C1826&amp;"/","Open PubMed")</x:f>
        <x:v>HYPERLINK is not implemented. linkLocation=https://pubmed.ncbi.nlm.nih.gov/42456607/, friendlyName=Open PubMed</x:v>
      </x:c>
    </x:row>
    <x:row r="1827">
      <x:c r="A1827" s="26" t="str">
        <x:v>PUBMED-42248946</x:v>
      </x:c>
      <x:c r="B1827" s="26" t="n">
        <x:v>2026</x:v>
      </x:c>
      <x:c r="C1827" s="26" t="str">
        <x:v>42248946</x:v>
      </x:c>
      <x:c r="D1827" s="28" t="str">
        <x:v>Caregiver perceptions of online peer mentoring for youth with learning differences.</x:v>
      </x:c>
      <x:c r="E1827" s="28" t="str">
        <x:v>Primary/contextual journal article</x:v>
      </x:c>
      <x:c r="F1827" s="28" t="str">
        <x:v>Development &amp; presentation; Family &amp; education; Social &amp; structural; Environmental &amp; lifestyle; Treatment &amp; support; Life outcomes &amp; lived experience; Historical &amp; contemporary context</x:v>
      </x:c>
      <x:c r="G1827" s="28" t="str">
        <x:v>Childhood; Adolescence</x:v>
      </x:c>
      <x:c r="H1827" s="28" t="str">
        <x:v>Exclude/incidental</x:v>
      </x:c>
      <x:c r="I1827" s="28" t="str">
        <x:v>ADHD appears peripheral or insufficiently aligned with the requested corpus scope based on accessible metadata/abstract.</x:v>
      </x:c>
      <x:c r="J1827" s="38" t="e">
        <x:f>HYPERLINK("https://pubmed.ncbi.nlm.nih.gov/"&amp;C1827&amp;"/","Open PubMed")</x:f>
        <x:v>HYPERLINK is not implemented. linkLocation=https://pubmed.ncbi.nlm.nih.gov/42248946/, friendlyName=Open PubMed</x:v>
      </x:c>
    </x:row>
    <x:row r="1828">
      <x:c r="A1828" s="26" t="str">
        <x:v>PUBMED-42322747</x:v>
      </x:c>
      <x:c r="B1828" s="26" t="n">
        <x:v>2026</x:v>
      </x:c>
      <x:c r="C1828" s="26" t="str">
        <x:v>42322747</x:v>
      </x:c>
      <x:c r="D1828" s="28" t="str">
        <x:v>Diagnosis of ADHD in children from EEG signals using amplitude modulation features.</x:v>
      </x:c>
      <x:c r="E1828" s="28" t="str">
        <x:v>Primary/contextual journal article</x:v>
      </x:c>
      <x:c r="F1828" s="28" t="str">
        <x:v>Development &amp; presentation; Recognition &amp; diagnosis; Social &amp; structural</x:v>
      </x:c>
      <x:c r="G1828" s="28" t="str">
        <x:v>Childhood</x:v>
      </x:c>
      <x:c r="H1828" s="28" t="str">
        <x:v>Later specialized</x:v>
      </x:c>
      <x:c r="I1828" s="28" t="str">
        <x:v>Direct or strongly ADHD-related record retained for later screening; typically narrower treatment, biomarker, mechanistic, or single-comorbidity focus.</x:v>
      </x:c>
      <x:c r="J1828" s="38" t="e">
        <x:f>HYPERLINK("https://pubmed.ncbi.nlm.nih.gov/"&amp;C1828&amp;"/","Open PubMed")</x:f>
        <x:v>HYPERLINK is not implemented. linkLocation=https://pubmed.ncbi.nlm.nih.gov/42322747/, friendlyName=Open PubMed</x:v>
      </x:c>
    </x:row>
    <x:row r="1829">
      <x:c r="A1829" s="26" t="str">
        <x:v>PUBMED-42202452</x:v>
      </x:c>
      <x:c r="B1829" s="26" t="n">
        <x:v>2026</x:v>
      </x:c>
      <x:c r="C1829" s="26" t="str">
        <x:v>42202452</x:v>
      </x:c>
      <x:c r="D1829" s="28" t="str">
        <x:v>Elevated ADHD symptoms linked to depression and anxiety in women with epilepsy.</x:v>
      </x:c>
      <x:c r="E1829" s="28" t="str">
        <x:v>Primary/contextual journal article</x:v>
      </x:c>
      <x:c r="F1829" s="28" t="str">
        <x:v>Development &amp; presentation; Recognition &amp; diagnosis; Social &amp; structural; Environmental &amp; lifestyle; Treatment &amp; support; Life outcomes &amp; lived experience</x:v>
      </x:c>
      <x:c r="G1829" s="28" t="str">
        <x:v>Adulthood</x:v>
      </x:c>
      <x:c r="H1829" s="28" t="str">
        <x:v>Later specialized</x:v>
      </x:c>
      <x:c r="I1829" s="28" t="str">
        <x:v>Direct or strongly ADHD-related record retained for later screening; typically narrower treatment, biomarker, mechanistic, or single-comorbidity focus.</x:v>
      </x:c>
      <x:c r="J1829" s="38" t="e">
        <x:f>HYPERLINK("https://pubmed.ncbi.nlm.nih.gov/"&amp;C1829&amp;"/","Open PubMed")</x:f>
        <x:v>HYPERLINK is not implemented. linkLocation=https://pubmed.ncbi.nlm.nih.gov/42202452/, friendlyName=Open PubMed</x:v>
      </x:c>
    </x:row>
    <x:row r="1830">
      <x:c r="A1830" s="26" t="str">
        <x:v>PUBMED-42157178</x:v>
      </x:c>
      <x:c r="B1830" s="26" t="n">
        <x:v>2026</x:v>
      </x:c>
      <x:c r="C1830" s="26" t="str">
        <x:v>42157178</x:v>
      </x:c>
      <x:c r="D1830" s="28" t="str">
        <x:v>Latent class profiles of psychiatric comorbidity among substance-affected Nigerian adolescents: a population-based analysis.</x:v>
      </x:c>
      <x:c r="E1830" s="28" t="str">
        <x:v>Primary study - cross-sectional</x:v>
      </x:c>
      <x:c r="F1830" s="28" t="str">
        <x:v>Development &amp; presentation; Recognition &amp; diagnosis; Family &amp; education; Social &amp; structural; Environmental &amp; lifestyle; Treatment &amp; support; Life outcomes &amp; lived experience</x:v>
      </x:c>
      <x:c r="G1830" s="28" t="str">
        <x:v>Adolescence</x:v>
      </x:c>
      <x:c r="H1830" s="28" t="str">
        <x:v>Later specialized</x:v>
      </x:c>
      <x:c r="I1830" s="28" t="str">
        <x:v>Direct or strongly ADHD-related record retained for later screening; typically narrower treatment, biomarker, mechanistic, or single-comorbidity focus.</x:v>
      </x:c>
      <x:c r="J1830" s="38" t="e">
        <x:f>HYPERLINK("https://pubmed.ncbi.nlm.nih.gov/"&amp;C1830&amp;"/","Open PubMed")</x:f>
        <x:v>HYPERLINK is not implemented. linkLocation=https://pubmed.ncbi.nlm.nih.gov/42157178/, friendlyName=Open PubMed</x:v>
      </x:c>
    </x:row>
    <x:row r="1831">
      <x:c r="A1831" s="26" t="str">
        <x:v>PUBMED-42385671</x:v>
      </x:c>
      <x:c r="B1831" s="26" t="n">
        <x:v>2026</x:v>
      </x:c>
      <x:c r="C1831" s="26" t="str">
        <x:v>42385671</x:v>
      </x:c>
      <x:c r="D1831" s="28" t="str">
        <x:v>P50 sensory gating in children with ADHD, autism spectrum disorder, and neurotypicals: Within-session test-retest reliability and evaluation of methodologies.</x:v>
      </x:c>
      <x:c r="E1831" s="28" t="str">
        <x:v>Primary/contextual journal article</x:v>
      </x:c>
      <x:c r="F1831" s="28" t="str">
        <x:v>Development &amp; presentation; Social &amp; structural; Life outcomes &amp; lived experience</x:v>
      </x:c>
      <x:c r="G1831" s="28" t="str">
        <x:v>Childhood; Adolescence</x:v>
      </x:c>
      <x:c r="H1831" s="28" t="str">
        <x:v>Later specialized</x:v>
      </x:c>
      <x:c r="I1831" s="28" t="str">
        <x:v>Direct or strongly ADHD-related record retained for later screening; typically narrower treatment, biomarker, mechanistic, or single-comorbidity focus.</x:v>
      </x:c>
      <x:c r="J1831" s="38" t="e">
        <x:f>HYPERLINK("https://pubmed.ncbi.nlm.nih.gov/"&amp;C1831&amp;"/","Open PubMed")</x:f>
        <x:v>HYPERLINK is not implemented. linkLocation=https://pubmed.ncbi.nlm.nih.gov/42385671/, friendlyName=Open PubMed</x:v>
      </x:c>
    </x:row>
    <x:row r="1832">
      <x:c r="A1832" s="26" t="str">
        <x:v>PUBMED-42007310</x:v>
      </x:c>
      <x:c r="B1832" s="26" t="n">
        <x:v>2026</x:v>
      </x:c>
      <x:c r="C1832" s="26" t="str">
        <x:v>42007310</x:v>
      </x:c>
      <x:c r="D1832" s="28" t="str">
        <x:v>The Prevalence of Tic Disorders in Poland: Regional and Sex Differences.</x:v>
      </x:c>
      <x:c r="E1832" s="28" t="str">
        <x:v>Primary/contextual journal article</x:v>
      </x:c>
      <x:c r="F1832" s="28" t="str">
        <x:v>Development &amp; presentation; Recognition &amp; diagnosis; Family &amp; education; Social &amp; structural</x:v>
      </x:c>
      <x:c r="G1832" s="28" t="str">
        <x:v>Childhood; Adolescence; Adulthood</x:v>
      </x:c>
      <x:c r="H1832" s="28" t="str">
        <x:v>Exclude/incidental</x:v>
      </x:c>
      <x:c r="I1832" s="28" t="str">
        <x:v>ADHD appears peripheral or insufficiently aligned with the requested corpus scope based on accessible metadata/abstract.</x:v>
      </x:c>
      <x:c r="J1832" s="38" t="e">
        <x:f>HYPERLINK("https://pubmed.ncbi.nlm.nih.gov/"&amp;C1832&amp;"/","Open PubMed")</x:f>
        <x:v>HYPERLINK is not implemented. linkLocation=https://pubmed.ncbi.nlm.nih.gov/42007310/, friendlyName=Open PubMed</x:v>
      </x:c>
    </x:row>
    <x:row r="1833">
      <x:c r="A1833" s="26" t="str">
        <x:v>PUBMED-42251098</x:v>
      </x:c>
      <x:c r="B1833" s="26" t="n">
        <x:v>2026</x:v>
      </x:c>
      <x:c r="C1833" s="26" t="str">
        <x:v>42251098</x:v>
      </x:c>
      <x:c r="D1833" s="28" t="str">
        <x:v>Factors associated with cyberbullying and depression in cybervictimized adolescents and the role of internet gaming disorder.</x:v>
      </x:c>
      <x:c r="E1833" s="28" t="str">
        <x:v>Primary/contextual journal article</x:v>
      </x:c>
      <x:c r="F1833" s="28" t="str">
        <x:v>Development &amp; presentation; Recognition &amp; diagnosis; Social &amp; structural; Life outcomes &amp; lived experience; Historical &amp; contemporary context</x:v>
      </x:c>
      <x:c r="G1833" s="28" t="str">
        <x:v>Childhood; Adolescence</x:v>
      </x:c>
      <x:c r="H1833" s="28" t="str">
        <x:v>Exclude/incidental</x:v>
      </x:c>
      <x:c r="I1833" s="28" t="str">
        <x:v>ADHD appears peripheral or insufficiently aligned with the requested corpus scope based on accessible metadata/abstract.</x:v>
      </x:c>
      <x:c r="J1833" s="38" t="e">
        <x:f>HYPERLINK("https://pubmed.ncbi.nlm.nih.gov/"&amp;C1833&amp;"/","Open PubMed")</x:f>
        <x:v>HYPERLINK is not implemented. linkLocation=https://pubmed.ncbi.nlm.nih.gov/42251098/, friendlyName=Open PubMed</x:v>
      </x:c>
    </x:row>
    <x:row r="1834">
      <x:c r="A1834" s="26" t="str">
        <x:v>PUBMED-42678972</x:v>
      </x:c>
      <x:c r="B1834" s="26" t="n">
        <x:v>2026</x:v>
      </x:c>
      <x:c r="C1834" s="26" t="str">
        <x:v>42678972</x:v>
      </x:c>
      <x:c r="D1834" s="28" t="str">
        <x:v>Integrating socioeconomic context with multimodal EEG data for improved ADHD risk screening.</x:v>
      </x:c>
      <x:c r="E1834" s="28" t="str">
        <x:v>Primary/contextual journal article</x:v>
      </x:c>
      <x:c r="F1834" s="28" t="str">
        <x:v>Development &amp; presentation; Recognition &amp; diagnosis; Social &amp; structural; Environmental &amp; lifestyle; Treatment &amp; support</x:v>
      </x:c>
      <x:c r="G1834" s="28" t="str">
        <x:v>Not specified</x:v>
      </x:c>
      <x:c r="H1834" s="28" t="str">
        <x:v>Later specialized</x:v>
      </x:c>
      <x:c r="I1834" s="28" t="str">
        <x:v>Direct or strongly ADHD-related record retained for later screening; typically narrower treatment, biomarker, mechanistic, or single-comorbidity focus.</x:v>
      </x:c>
      <x:c r="J1834" s="38" t="e">
        <x:f>HYPERLINK("https://pubmed.ncbi.nlm.nih.gov/"&amp;C1834&amp;"/","Open PubMed")</x:f>
        <x:v>HYPERLINK is not implemented. linkLocation=https://pubmed.ncbi.nlm.nih.gov/42678972/, friendlyName=Open PubMed</x:v>
      </x:c>
    </x:row>
    <x:row r="1835">
      <x:c r="A1835" s="26" t="str">
        <x:v>PUBMED-42385952</x:v>
      </x:c>
      <x:c r="B1835" s="26" t="n">
        <x:v>2026</x:v>
      </x:c>
      <x:c r="C1835" s="26" t="str">
        <x:v>42385952</x:v>
      </x:c>
      <x:c r="D1835" s="28" t="str">
        <x:v>Understanding vulnerability through variability: A longitudinal twin study linking sex differences in neurodiversity, neurodevelopment and X-linked genetic mechanisms.</x:v>
      </x:c>
      <x:c r="E1835" s="28" t="str">
        <x:v>Primary study - cross-sectional</x:v>
      </x:c>
      <x:c r="F1835" s="28" t="str">
        <x:v>Development &amp; presentation; Recognition &amp; diagnosis; Social &amp; structural; Treatment &amp; support; Historical &amp; contemporary context</x:v>
      </x:c>
      <x:c r="G1835" s="28" t="str">
        <x:v>Childhood; Adolescence</x:v>
      </x:c>
      <x:c r="H1835" s="28" t="str">
        <x:v>Later specialized</x:v>
      </x:c>
      <x:c r="I1835" s="28" t="str">
        <x:v>Direct or strongly ADHD-related record retained for later screening; typically narrower treatment, biomarker, mechanistic, or single-comorbidity focus.</x:v>
      </x:c>
      <x:c r="J1835" s="38" t="e">
        <x:f>HYPERLINK("https://pubmed.ncbi.nlm.nih.gov/"&amp;C1835&amp;"/","Open PubMed")</x:f>
        <x:v>HYPERLINK is not implemented. linkLocation=https://pubmed.ncbi.nlm.nih.gov/42385952/, friendlyName=Open PubMed</x:v>
      </x:c>
    </x:row>
    <x:row r="1836">
      <x:c r="A1836" s="26" t="str">
        <x:v>PUBMED-42047306</x:v>
      </x:c>
      <x:c r="B1836" s="26" t="n">
        <x:v>2026</x:v>
      </x:c>
      <x:c r="C1836" s="26" t="str">
        <x:v>42047306</x:v>
      </x:c>
      <x:c r="D1836" s="28" t="str">
        <x:v>Effects of multilevel neuropsychological group intervention (EXAT) in children with executive functioning and attention deficits: a comparative study with typically developing controls.</x:v>
      </x:c>
      <x:c r="E1836" s="28" t="str">
        <x:v>Primary/contextual journal article</x:v>
      </x:c>
      <x:c r="F1836" s="28" t="str">
        <x:v>Development &amp; presentation; Recognition &amp; diagnosis; Family &amp; education; Social &amp; structural; Treatment &amp; support; Life outcomes &amp; lived experience</x:v>
      </x:c>
      <x:c r="G1836" s="28" t="str">
        <x:v>Childhood</x:v>
      </x:c>
      <x:c r="H1836" s="28" t="str">
        <x:v>Later specialized</x:v>
      </x:c>
      <x:c r="I1836" s="28" t="str">
        <x:v>Direct or strongly ADHD-related record retained for later screening; typically narrower treatment, biomarker, mechanistic, or single-comorbidity focus.</x:v>
      </x:c>
      <x:c r="J1836" s="38" t="e">
        <x:f>HYPERLINK("https://pubmed.ncbi.nlm.nih.gov/"&amp;C1836&amp;"/","Open PubMed")</x:f>
        <x:v>HYPERLINK is not implemented. linkLocation=https://pubmed.ncbi.nlm.nih.gov/42047306/, friendlyName=Open PubMed</x:v>
      </x:c>
    </x:row>
    <x:row r="1837">
      <x:c r="A1837" s="26" t="str">
        <x:v>PUBMED-42624816</x:v>
      </x:c>
      <x:c r="B1837" s="26" t="n">
        <x:v>2026</x:v>
      </x:c>
      <x:c r="C1837" s="26" t="str">
        <x:v>42624816</x:v>
      </x:c>
      <x:c r="D1837" s="28" t="str">
        <x:v>From prediction to decision: prediction-based decision rules and target trial emulation in ADHD.</x:v>
      </x:c>
      <x:c r="E1837" s="28" t="str">
        <x:v>Evidence synthesis - review</x:v>
      </x:c>
      <x:c r="F1837" s="28" t="str">
        <x:v>Development &amp; presentation; Recognition &amp; diagnosis; Social &amp; structural; Treatment &amp; support</x:v>
      </x:c>
      <x:c r="G1837" s="28" t="str">
        <x:v>Not specified</x:v>
      </x:c>
      <x:c r="H1837" s="28" t="str">
        <x:v>Later specialized</x:v>
      </x:c>
      <x:c r="I1837" s="28" t="str">
        <x:v>Direct or strongly ADHD-related record retained for later screening; typically narrower treatment, biomarker, mechanistic, or single-comorbidity focus.</x:v>
      </x:c>
      <x:c r="J1837" s="38" t="e">
        <x:f>HYPERLINK("https://pubmed.ncbi.nlm.nih.gov/"&amp;C1837&amp;"/","Open PubMed")</x:f>
        <x:v>HYPERLINK is not implemented. linkLocation=https://pubmed.ncbi.nlm.nih.gov/42624816/, friendlyName=Open PubMed</x:v>
      </x:c>
    </x:row>
    <x:row r="1838">
      <x:c r="A1838" s="26" t="str">
        <x:v>PUBMED-42412228</x:v>
      </x:c>
      <x:c r="B1838" s="26" t="n">
        <x:v>2026</x:v>
      </x:c>
      <x:c r="C1838" s="26" t="str">
        <x:v>42412228</x:v>
      </x:c>
      <x:c r="D1838" s="28" t="str">
        <x:v>The role and application of task-state fNIRS in identifying biomarkers in children and adolescents with ADHD: a systematic review.</x:v>
      </x:c>
      <x:c r="E1838" s="28" t="str">
        <x:v>Evidence synthesis - systematic review</x:v>
      </x:c>
      <x:c r="F1838" s="28" t="str">
        <x:v>Development &amp; presentation; Recognition &amp; diagnosis; Social &amp; structural; Treatment &amp; support</x:v>
      </x:c>
      <x:c r="G1838" s="28" t="str">
        <x:v>Childhood; Adolescence</x:v>
      </x:c>
      <x:c r="H1838" s="28" t="str">
        <x:v>Later specialized</x:v>
      </x:c>
      <x:c r="I1838" s="28" t="str">
        <x:v>Direct or strongly ADHD-related record retained for later screening; typically narrower treatment, biomarker, mechanistic, or single-comorbidity focus.</x:v>
      </x:c>
      <x:c r="J1838" s="38" t="e">
        <x:f>HYPERLINK("https://pubmed.ncbi.nlm.nih.gov/"&amp;C1838&amp;"/","Open PubMed")</x:f>
        <x:v>HYPERLINK is not implemented. linkLocation=https://pubmed.ncbi.nlm.nih.gov/42412228/, friendlyName=Open PubMed</x:v>
      </x:c>
    </x:row>
    <x:row r="1839">
      <x:c r="A1839" s="26" t="str">
        <x:v>PUBMED-42054973</x:v>
      </x:c>
      <x:c r="B1839" s="26" t="n">
        <x:v>2026</x:v>
      </x:c>
      <x:c r="C1839" s="26" t="str">
        <x:v>42054973</x:v>
      </x:c>
      <x:c r="D1839" s="28" t="str">
        <x:v>The interplay between executive function and learning disabilities: Developmental cognitive neuroscience perspectives on reading, math, and ADHD.</x:v>
      </x:c>
      <x:c r="E1839" s="28" t="str">
        <x:v>Evidence synthesis - review</x:v>
      </x:c>
      <x:c r="F1839" s="28" t="str">
        <x:v>Development &amp; presentation; Recognition &amp; diagnosis; Family &amp; education; Social &amp; structural; Treatment &amp; support</x:v>
      </x:c>
      <x:c r="G1839" s="28" t="str">
        <x:v>Not specified</x:v>
      </x:c>
      <x:c r="H1839" s="28" t="str">
        <x:v>Batch 1 core</x:v>
      </x:c>
      <x:c r="I1839" s="28" t="str">
        <x:v>Direct ADHD evidence synthesis/guideline with broad multi-topic relevance.</x:v>
      </x:c>
      <x:c r="J1839" s="38" t="e">
        <x:f>HYPERLINK("https://pubmed.ncbi.nlm.nih.gov/"&amp;C1839&amp;"/","Open PubMed")</x:f>
        <x:v>HYPERLINK is not implemented. linkLocation=https://pubmed.ncbi.nlm.nih.gov/42054973/, friendlyName=Open PubMed</x:v>
      </x:c>
    </x:row>
    <x:row r="1840">
      <x:c r="A1840" s="26" t="str">
        <x:v>PUBMED-42336634</x:v>
      </x:c>
      <x:c r="B1840" s="26" t="n">
        <x:v>2026</x:v>
      </x:c>
      <x:c r="C1840" s="26" t="str">
        <x:v>42336634</x:v>
      </x:c>
      <x:c r="D1840" s="28" t="str">
        <x:v>From early to fewer first births: ADHD and family formation among young adults.</x:v>
      </x:c>
      <x:c r="E1840" s="28" t="str">
        <x:v>Primary study - cohort</x:v>
      </x:c>
      <x:c r="F1840" s="28" t="str">
        <x:v>Development &amp; presentation; Recognition &amp; diagnosis; Family &amp; education; Social &amp; structural; Environmental &amp; lifestyle; Life outcomes &amp; lived experience; Historical &amp; contemporary context</x:v>
      </x:c>
      <x:c r="G1840" s="28" t="str">
        <x:v>Adolescence; Adulthood</x:v>
      </x:c>
      <x:c r="H1840" s="28" t="str">
        <x:v>Batch 1 core</x:v>
      </x:c>
      <x:c r="I1840" s="28" t="str">
        <x:v>Direct ADHD primary study on diagnosis, family/education, structural conditions, lived experience/outcomes, or environment/lifestyle.</x:v>
      </x:c>
      <x:c r="J1840" s="38" t="e">
        <x:f>HYPERLINK("https://pubmed.ncbi.nlm.nih.gov/"&amp;C1840&amp;"/","Open PubMed")</x:f>
        <x:v>HYPERLINK is not implemented. linkLocation=https://pubmed.ncbi.nlm.nih.gov/42336634/, friendlyName=Open PubMed</x:v>
      </x:c>
    </x:row>
    <x:row r="1841">
      <x:c r="A1841" s="26" t="str">
        <x:v>PUBMED-42343738</x:v>
      </x:c>
      <x:c r="B1841" s="26" t="n">
        <x:v>2026</x:v>
      </x:c>
      <x:c r="C1841" s="26" t="str">
        <x:v>42343738</x:v>
      </x:c>
      <x:c r="D1841" s="28" t="str">
        <x:v>ADHD, Subtypes and Cognitive Performance: WISC-V as a Support Tool for Diagnostic Assessment.</x:v>
      </x:c>
      <x:c r="E1841" s="28" t="str">
        <x:v>Primary/contextual journal article</x:v>
      </x:c>
      <x:c r="F1841" s="28" t="str">
        <x:v>Development &amp; presentation; Recognition &amp; diagnosis; Social &amp; structural; Life outcomes &amp; lived experience</x:v>
      </x:c>
      <x:c r="G1841" s="28" t="str">
        <x:v>Childhood; Adolescence</x:v>
      </x:c>
      <x:c r="H1841" s="28" t="str">
        <x:v>Later specialized</x:v>
      </x:c>
      <x:c r="I1841" s="28" t="str">
        <x:v>Direct or strongly ADHD-related record retained for later screening; typically narrower treatment, biomarker, mechanistic, or single-comorbidity focus.</x:v>
      </x:c>
      <x:c r="J1841" s="38" t="e">
        <x:f>HYPERLINK("https://pubmed.ncbi.nlm.nih.gov/"&amp;C1841&amp;"/","Open PubMed")</x:f>
        <x:v>HYPERLINK is not implemented. linkLocation=https://pubmed.ncbi.nlm.nih.gov/42343738/, friendlyName=Open PubMed</x:v>
      </x:c>
    </x:row>
    <x:row r="1842">
      <x:c r="A1842" s="26" t="str">
        <x:v>PUBMED-42250834</x:v>
      </x:c>
      <x:c r="B1842" s="26" t="n">
        <x:v>2026</x:v>
      </x:c>
      <x:c r="C1842" s="26" t="str">
        <x:v>42250834</x:v>
      </x:c>
      <x:c r="D1842" s="28" t="str">
        <x:v>Neural trajectories of gaming disorder accounting for psychopathology: Insights from the longitudinal ABCD study.</x:v>
      </x:c>
      <x:c r="E1842" s="28" t="str">
        <x:v>Primary/contextual journal article</x:v>
      </x:c>
      <x:c r="F1842" s="28" t="str">
        <x:v>Development &amp; presentation; Recognition &amp; diagnosis; Social &amp; structural; Treatment &amp; support; Life outcomes &amp; lived experience</x:v>
      </x:c>
      <x:c r="G1842" s="28" t="str">
        <x:v>Childhood; Adolescence</x:v>
      </x:c>
      <x:c r="H1842" s="28" t="str">
        <x:v>Later specialized</x:v>
      </x:c>
      <x:c r="I1842" s="28" t="str">
        <x:v>Direct or strongly ADHD-related record retained for later screening; typically narrower treatment, biomarker, mechanistic, or single-comorbidity focus.</x:v>
      </x:c>
      <x:c r="J1842" s="38" t="e">
        <x:f>HYPERLINK("https://pubmed.ncbi.nlm.nih.gov/"&amp;C1842&amp;"/","Open PubMed")</x:f>
        <x:v>HYPERLINK is not implemented. linkLocation=https://pubmed.ncbi.nlm.nih.gov/42250834/, friendlyName=Open PubMed</x:v>
      </x:c>
    </x:row>
    <x:row r="1843">
      <x:c r="A1843" s="26" t="str">
        <x:v>PUBMED-42050213</x:v>
      </x:c>
      <x:c r="B1843" s="26" t="n">
        <x:v>2026</x:v>
      </x:c>
      <x:c r="C1843" s="26" t="str">
        <x:v>42050213</x:v>
      </x:c>
      <x:c r="D1843" s="28" t="str">
        <x:v>Investigation of the emotional and psychosocial dimensions of girls diagnosed with ıdiopathic central precocious puberty.</x:v>
      </x:c>
      <x:c r="E1843" s="28" t="str">
        <x:v>Primary study - case-control</x:v>
      </x:c>
      <x:c r="F1843" s="28" t="str">
        <x:v>Development &amp; presentation; Recognition &amp; diagnosis; Family &amp; education; Social &amp; structural; Environmental &amp; lifestyle; Treatment &amp; support; Life outcomes &amp; lived experience</x:v>
      </x:c>
      <x:c r="G1843" s="28" t="str">
        <x:v>Childhood</x:v>
      </x:c>
      <x:c r="H1843" s="28" t="str">
        <x:v>Exclude/incidental</x:v>
      </x:c>
      <x:c r="I1843" s="28" t="str">
        <x:v>ADHD appears peripheral or insufficiently aligned with the requested corpus scope based on accessible metadata/abstract.</x:v>
      </x:c>
      <x:c r="J1843" s="38" t="e">
        <x:f>HYPERLINK("https://pubmed.ncbi.nlm.nih.gov/"&amp;C1843&amp;"/","Open PubMed")</x:f>
        <x:v>HYPERLINK is not implemented. linkLocation=https://pubmed.ncbi.nlm.nih.gov/42050213/, friendlyName=Open PubMed</x:v>
      </x:c>
    </x:row>
    <x:row r="1844">
      <x:c r="A1844" s="26" t="str">
        <x:v>PUBMED-42204944</x:v>
      </x:c>
      <x:c r="B1844" s="26" t="n">
        <x:v>2026</x:v>
      </x:c>
      <x:c r="C1844" s="26" t="str">
        <x:v>42204944</x:v>
      </x:c>
      <x:c r="D1844" s="28" t="str">
        <x:v>Regulators of Wnt Signaling Dkk-1 and Notum Are Elevated in Pediatric ADHD.</x:v>
      </x:c>
      <x:c r="E1844" s="28" t="str">
        <x:v>Primary/contextual journal article</x:v>
      </x:c>
      <x:c r="F1844" s="28" t="str">
        <x:v>Development &amp; presentation; Recognition &amp; diagnosis; Family &amp; education; Social &amp; structural; Life outcomes &amp; lived experience</x:v>
      </x:c>
      <x:c r="G1844" s="28" t="str">
        <x:v>Childhood; Adolescence</x:v>
      </x:c>
      <x:c r="H1844" s="28" t="str">
        <x:v>Later specialized</x:v>
      </x:c>
      <x:c r="I1844" s="28" t="str">
        <x:v>Direct or strongly ADHD-related record retained for later screening; typically narrower treatment, biomarker, mechanistic, or single-comorbidity focus.</x:v>
      </x:c>
      <x:c r="J1844" s="38" t="e">
        <x:f>HYPERLINK("https://pubmed.ncbi.nlm.nih.gov/"&amp;C1844&amp;"/","Open PubMed")</x:f>
        <x:v>HYPERLINK is not implemented. linkLocation=https://pubmed.ncbi.nlm.nih.gov/42204944/, friendlyName=Open PubMed</x:v>
      </x:c>
    </x:row>
    <x:row r="1845">
      <x:c r="A1845" s="26" t="str">
        <x:v>PUBMED-42548071</x:v>
      </x:c>
      <x:c r="B1845" s="26" t="n">
        <x:v>2026</x:v>
      </x:c>
      <x:c r="C1845" s="26" t="str">
        <x:v>42548071</x:v>
      </x:c>
      <x:c r="D1845" s="28" t="str">
        <x:v>Longitudinal associations among autism and ADHD traits, social maladjustment, and mental health in school-aged children.</x:v>
      </x:c>
      <x:c r="E1845" s="28" t="str">
        <x:v>Primary study - cohort</x:v>
      </x:c>
      <x:c r="F1845" s="28" t="str">
        <x:v>Development &amp; presentation; Family &amp; education; Social &amp; structural; Environmental &amp; lifestyle; Life outcomes &amp; lived experience</x:v>
      </x:c>
      <x:c r="G1845" s="28" t="str">
        <x:v>Childhood; Adolescence</x:v>
      </x:c>
      <x:c r="H1845" s="28" t="str">
        <x:v>Batch 1 core</x:v>
      </x:c>
      <x:c r="I1845" s="28" t="str">
        <x:v>Direct ADHD primary study on diagnosis, family/education, structural conditions, lived experience/outcomes, or environment/lifestyle.</x:v>
      </x:c>
      <x:c r="J1845" s="38" t="e">
        <x:f>HYPERLINK("https://pubmed.ncbi.nlm.nih.gov/"&amp;C1845&amp;"/","Open PubMed")</x:f>
        <x:v>HYPERLINK is not implemented. linkLocation=https://pubmed.ncbi.nlm.nih.gov/42548071/, friendlyName=Open PubMed</x:v>
      </x:c>
    </x:row>
    <x:row r="1846">
      <x:c r="A1846" s="26" t="str">
        <x:v>PUBMED-42398998</x:v>
      </x:c>
      <x:c r="B1846" s="26" t="n">
        <x:v>2026</x:v>
      </x:c>
      <x:c r="C1846" s="26" t="str">
        <x:v>42398998</x:v>
      </x:c>
      <x:c r="D1846" s="28" t="str">
        <x:v>ADHD and cardiometabolic risk profile in adults with type 2 diabetes: a longitudinal register-based study.</x:v>
      </x:c>
      <x:c r="E1846" s="28" t="str">
        <x:v>Primary study - cohort</x:v>
      </x:c>
      <x:c r="F1846" s="28" t="str">
        <x:v>Development &amp; presentation; Recognition &amp; diagnosis; Social &amp; structural; Environmental &amp; lifestyle; Treatment &amp; support; Life outcomes &amp; lived experience</x:v>
      </x:c>
      <x:c r="G1846" s="28" t="str">
        <x:v>Adolescence; Adulthood</x:v>
      </x:c>
      <x:c r="H1846" s="28" t="str">
        <x:v>Later specialized</x:v>
      </x:c>
      <x:c r="I1846" s="28" t="str">
        <x:v>Direct or strongly ADHD-related record retained for later screening; typically narrower treatment, biomarker, mechanistic, or single-comorbidity focus.</x:v>
      </x:c>
      <x:c r="J1846" s="38" t="e">
        <x:f>HYPERLINK("https://pubmed.ncbi.nlm.nih.gov/"&amp;C1846&amp;"/","Open PubMed")</x:f>
        <x:v>HYPERLINK is not implemented. linkLocation=https://pubmed.ncbi.nlm.nih.gov/42398998/, friendlyName=Open PubMed</x:v>
      </x:c>
    </x:row>
    <x:row r="1847">
      <x:c r="A1847" s="26" t="str">
        <x:v>PUBMED-42722922</x:v>
      </x:c>
      <x:c r="B1847" s="26" t="n">
        <x:v>2026</x:v>
      </x:c>
      <x:c r="C1847" s="26" t="str">
        <x:v>42722922</x:v>
      </x:c>
      <x:c r="D1847" s="28" t="str">
        <x:v>Anthropometric characteristics and nutrient intake among Korean children and adolescents with ADHD: analysis of KNHANES data, 2007-2021.</x:v>
      </x:c>
      <x:c r="E1847" s="28" t="str">
        <x:v>Primary/contextual journal article</x:v>
      </x:c>
      <x:c r="F1847" s="28" t="str">
        <x:v>Development &amp; presentation; Recognition &amp; diagnosis; Social &amp; structural; Environmental &amp; lifestyle</x:v>
      </x:c>
      <x:c r="G1847" s="28" t="str">
        <x:v>Childhood; Adolescence</x:v>
      </x:c>
      <x:c r="H1847" s="28" t="str">
        <x:v>Later specialized</x:v>
      </x:c>
      <x:c r="I1847" s="28" t="str">
        <x:v>Direct or strongly ADHD-related record retained for later screening; typically narrower treatment, biomarker, mechanistic, or single-comorbidity focus.</x:v>
      </x:c>
      <x:c r="J1847" s="38" t="e">
        <x:f>HYPERLINK("https://pubmed.ncbi.nlm.nih.gov/"&amp;C1847&amp;"/","Open PubMed")</x:f>
        <x:v>HYPERLINK is not implemented. linkLocation=https://pubmed.ncbi.nlm.nih.gov/42722922/, friendlyName=Open PubMed</x:v>
      </x:c>
    </x:row>
    <x:row r="1848">
      <x:c r="A1848" s="26" t="str">
        <x:v>PUBMED-42287593</x:v>
      </x:c>
      <x:c r="B1848" s="26" t="n">
        <x:v>2026</x:v>
      </x:c>
      <x:c r="C1848" s="26" t="str">
        <x:v>42287593</x:v>
      </x:c>
      <x:c r="D1848" s="28" t="str">
        <x:v>Caregiver Strain and Girls' ADHD, ODD, and Personality Pathology Symptoms: A One-Year Prospective Study.</x:v>
      </x:c>
      <x:c r="E1848" s="28" t="str">
        <x:v>Primary/contextual journal article</x:v>
      </x:c>
      <x:c r="F1848" s="28" t="str">
        <x:v>Development &amp; presentation; Family &amp; education; Social &amp; structural; Environmental &amp; lifestyle</x:v>
      </x:c>
      <x:c r="G1848" s="28" t="str">
        <x:v>Childhood; Adolescence</x:v>
      </x:c>
      <x:c r="H1848" s="28" t="str">
        <x:v>Later specialized</x:v>
      </x:c>
      <x:c r="I1848" s="28" t="str">
        <x:v>Direct or strongly ADHD-related record retained for later screening; typically narrower treatment, biomarker, mechanistic, or single-comorbidity focus.</x:v>
      </x:c>
      <x:c r="J1848" s="38" t="e">
        <x:f>HYPERLINK("https://pubmed.ncbi.nlm.nih.gov/"&amp;C1848&amp;"/","Open PubMed")</x:f>
        <x:v>HYPERLINK is not implemented. linkLocation=https://pubmed.ncbi.nlm.nih.gov/42287593/, friendlyName=Open PubMed</x:v>
      </x:c>
    </x:row>
    <x:row r="1849">
      <x:c r="A1849" s="26" t="str">
        <x:v>PUBMED-41941734</x:v>
      </x:c>
      <x:c r="B1849" s="26" t="n">
        <x:v>2026</x:v>
      </x:c>
      <x:c r="C1849" s="26" t="str">
        <x:v>41941734</x:v>
      </x:c>
      <x:c r="D1849" s="28" t="str">
        <x:v>In adults with ADHD, atomoxetine, methylphenidate, and CBT reduce symptom severity and the drugs are less tolerable vs. control at 12 wk.</x:v>
      </x:c>
      <x:c r="E1849" s="28" t="str">
        <x:v>Primary/contextual journal article</x:v>
      </x:c>
      <x:c r="F1849" s="28" t="str">
        <x:v>Development &amp; presentation; Social &amp; structural; Treatment &amp; support</x:v>
      </x:c>
      <x:c r="G1849" s="28" t="str">
        <x:v>Adulthood</x:v>
      </x:c>
      <x:c r="H1849" s="28" t="str">
        <x:v>Later specialized</x:v>
      </x:c>
      <x:c r="I1849" s="28" t="str">
        <x:v>Direct or strongly ADHD-related record retained for later screening; typically narrower treatment, biomarker, mechanistic, or single-comorbidity focus.</x:v>
      </x:c>
      <x:c r="J1849" s="38" t="e">
        <x:f>HYPERLINK("https://pubmed.ncbi.nlm.nih.gov/"&amp;C1849&amp;"/","Open PubMed")</x:f>
        <x:v>HYPERLINK is not implemented. linkLocation=https://pubmed.ncbi.nlm.nih.gov/41941734/, friendlyName=Open PubMed</x:v>
      </x:c>
    </x:row>
    <x:row r="1850">
      <x:c r="A1850" s="26" t="str">
        <x:v>PUBMED-42047475</x:v>
      </x:c>
      <x:c r="B1850" s="26" t="n">
        <x:v>2026</x:v>
      </x:c>
      <x:c r="C1850" s="26" t="str">
        <x:v>42047475</x:v>
      </x:c>
      <x:c r="D1850" s="28" t="str">
        <x:v>Atomoxetine and the risk of mania: a case report on bipolar disorder in an ADHD patient and its dilemmas.</x:v>
      </x:c>
      <x:c r="E1850" s="28" t="str">
        <x:v>Primary/contextual journal article</x:v>
      </x:c>
      <x:c r="F1850" s="28" t="str">
        <x:v>Development &amp; presentation; Recognition &amp; diagnosis; Social &amp; structural; Environmental &amp; lifestyle; Treatment &amp; support; Life outcomes &amp; lived experience</x:v>
      </x:c>
      <x:c r="G1850" s="28" t="str">
        <x:v>Childhood; Adulthood</x:v>
      </x:c>
      <x:c r="H1850" s="28" t="str">
        <x:v>Later specialized</x:v>
      </x:c>
      <x:c r="I1850" s="28" t="str">
        <x:v>Direct or strongly ADHD-related record retained for later screening; typically narrower treatment, biomarker, mechanistic, or single-comorbidity focus.</x:v>
      </x:c>
      <x:c r="J1850" s="38" t="e">
        <x:f>HYPERLINK("https://pubmed.ncbi.nlm.nih.gov/"&amp;C1850&amp;"/","Open PubMed")</x:f>
        <x:v>HYPERLINK is not implemented. linkLocation=https://pubmed.ncbi.nlm.nih.gov/42047475/, friendlyName=Open PubMed</x:v>
      </x:c>
    </x:row>
    <x:row r="1851">
      <x:c r="A1851" s="26" t="str">
        <x:v>PUBMED-42092521</x:v>
      </x:c>
      <x:c r="B1851" s="26" t="n">
        <x:v>2026</x:v>
      </x:c>
      <x:c r="C1851" s="26" t="str">
        <x:v>42092521</x:v>
      </x:c>
      <x:c r="D1851" s="28" t="str">
        <x:v>Acute elevation of anandamide and 2-AG levels modulates defensive behavior in a sex- and strain-dependent manner in an animal model of attention-deficit/hyperactivity disorder.</x:v>
      </x:c>
      <x:c r="E1851" s="28" t="str">
        <x:v>Primary/contextual journal article</x:v>
      </x:c>
      <x:c r="F1851" s="28" t="str">
        <x:v>Development &amp; presentation; Recognition &amp; diagnosis; Social &amp; structural; Treatment &amp; support; Life outcomes &amp; lived experience</x:v>
      </x:c>
      <x:c r="G1851" s="28" t="str">
        <x:v>Not specified</x:v>
      </x:c>
      <x:c r="H1851" s="28" t="str">
        <x:v>Exclude/incidental</x:v>
      </x:c>
      <x:c r="I1851" s="28" t="str">
        <x:v>Animal-only record; retained outside the human-focused core corpus.</x:v>
      </x:c>
      <x:c r="J1851" s="38" t="e">
        <x:f>HYPERLINK("https://pubmed.ncbi.nlm.nih.gov/"&amp;C1851&amp;"/","Open PubMed")</x:f>
        <x:v>HYPERLINK is not implemented. linkLocation=https://pubmed.ncbi.nlm.nih.gov/42092521/, friendlyName=Open PubMed</x:v>
      </x:c>
    </x:row>
    <x:row r="1852">
      <x:c r="A1852" s="26" t="str">
        <x:v>PUBMED-42744466</x:v>
      </x:c>
      <x:c r="B1852" s="26" t="n">
        <x:v>2026</x:v>
      </x:c>
      <x:c r="C1852" s="26" t="str">
        <x:v>42744466</x:v>
      </x:c>
      <x:c r="D1852" s="28" t="str">
        <x:v>ADHD in children and adolescents and risk of emergency department visits for injuries.</x:v>
      </x:c>
      <x:c r="E1852" s="28" t="str">
        <x:v>Primary study - cohort</x:v>
      </x:c>
      <x:c r="F1852" s="28" t="str">
        <x:v>Development &amp; presentation; Recognition &amp; diagnosis; Family &amp; education; Social &amp; structural</x:v>
      </x:c>
      <x:c r="G1852" s="28" t="str">
        <x:v>Childhood; Adolescence</x:v>
      </x:c>
      <x:c r="H1852" s="28" t="str">
        <x:v>Later specialized</x:v>
      </x:c>
      <x:c r="I1852" s="28" t="str">
        <x:v>Direct or strongly ADHD-related record retained for later screening; typically narrower treatment, biomarker, mechanistic, or single-comorbidity focus.</x:v>
      </x:c>
      <x:c r="J1852" s="38" t="e">
        <x:f>HYPERLINK("https://pubmed.ncbi.nlm.nih.gov/"&amp;C1852&amp;"/","Open PubMed")</x:f>
        <x:v>HYPERLINK is not implemented. linkLocation=https://pubmed.ncbi.nlm.nih.gov/42744466/, friendlyName=Open PubMed</x:v>
      </x:c>
    </x:row>
    <x:row r="1853">
      <x:c r="A1853" s="26" t="str">
        <x:v>PUBMED-42113108</x:v>
      </x:c>
      <x:c r="B1853" s="26" t="n">
        <x:v>2026</x:v>
      </x:c>
      <x:c r="C1853" s="26" t="str">
        <x:v>42113108</x:v>
      </x:c>
      <x:c r="D1853" s="28" t="str">
        <x:v>Beyond a single predictor: Is there a synergistic effect of autistic and attention-deficit/hyperactivity disorder traits on creativity? Commentary on Taylor et al. (2025).</x:v>
      </x:c>
      <x:c r="E1853" s="28" t="str">
        <x:v>Contextual - editorial/comment</x:v>
      </x:c>
      <x:c r="F1853" s="28" t="str">
        <x:v>Development &amp; presentation; Recognition &amp; diagnosis; Social &amp; structural; Life outcomes &amp; lived experience</x:v>
      </x:c>
      <x:c r="G1853" s="28" t="str">
        <x:v>Not specified</x:v>
      </x:c>
      <x:c r="H1853" s="28" t="str">
        <x:v>Later specialized</x:v>
      </x:c>
      <x:c r="I1853" s="28" t="str">
        <x:v>Direct or strongly ADHD-related record retained for later screening; typically narrower treatment, biomarker, mechanistic, or single-comorbidity focus.</x:v>
      </x:c>
      <x:c r="J1853" s="38" t="e">
        <x:f>HYPERLINK("https://pubmed.ncbi.nlm.nih.gov/"&amp;C1853&amp;"/","Open PubMed")</x:f>
        <x:v>HYPERLINK is not implemented. linkLocation=https://pubmed.ncbi.nlm.nih.gov/42113108/, friendlyName=Open PubMed</x:v>
      </x:c>
    </x:row>
    <x:row r="1854">
      <x:c r="A1854" s="26" t="str">
        <x:v>PUBMED-42289665</x:v>
      </x:c>
      <x:c r="B1854" s="26" t="n">
        <x:v>2026</x:v>
      </x:c>
      <x:c r="C1854" s="26" t="str">
        <x:v>42289665</x:v>
      </x:c>
      <x:c r="D1854" s="28" t="str">
        <x:v>Comparative effectiveness of 12-week open- and closed-skill exercises on executive function in children with ADHD and developmental dyslexia: a randomized controlled trial.</x:v>
      </x:c>
      <x:c r="E1854" s="28" t="str">
        <x:v>Primary study - randomized controlled trial</x:v>
      </x:c>
      <x:c r="F1854" s="28" t="str">
        <x:v>Development &amp; presentation; Social &amp; structural; Environmental &amp; lifestyle; Treatment &amp; support; Life outcomes &amp; lived experience</x:v>
      </x:c>
      <x:c r="G1854" s="28" t="str">
        <x:v>Childhood</x:v>
      </x:c>
      <x:c r="H1854" s="28" t="str">
        <x:v>Later specialized</x:v>
      </x:c>
      <x:c r="I1854" s="28" t="str">
        <x:v>Direct or strongly ADHD-related record retained for later screening; typically narrower treatment, biomarker, mechanistic, or single-comorbidity focus.</x:v>
      </x:c>
      <x:c r="J1854" s="38" t="e">
        <x:f>HYPERLINK("https://pubmed.ncbi.nlm.nih.gov/"&amp;C1854&amp;"/","Open PubMed")</x:f>
        <x:v>HYPERLINK is not implemented. linkLocation=https://pubmed.ncbi.nlm.nih.gov/42289665/, friendlyName=Open PubMed</x:v>
      </x:c>
    </x:row>
    <x:row r="1855">
      <x:c r="A1855" s="26" t="str">
        <x:v>PUBMED-42286090</x:v>
      </x:c>
      <x:c r="B1855" s="26" t="n">
        <x:v>2026</x:v>
      </x:c>
      <x:c r="C1855" s="26" t="str">
        <x:v>42286090</x:v>
      </x:c>
      <x:c r="D1855" s="28" t="str">
        <x:v>ADHD medications and preadolescent brain structure: patterns of cortical attenuation from the ABCD study.</x:v>
      </x:c>
      <x:c r="E1855" s="28" t="str">
        <x:v>Primary/contextual journal article</x:v>
      </x:c>
      <x:c r="F1855" s="28" t="str">
        <x:v>Development &amp; presentation; Recognition &amp; diagnosis; Social &amp; structural; Treatment &amp; support</x:v>
      </x:c>
      <x:c r="G1855" s="28" t="str">
        <x:v>Childhood</x:v>
      </x:c>
      <x:c r="H1855" s="28" t="str">
        <x:v>Later specialized</x:v>
      </x:c>
      <x:c r="I1855" s="28" t="str">
        <x:v>Direct or strongly ADHD-related record retained for later screening; typically narrower treatment, biomarker, mechanistic, or single-comorbidity focus.</x:v>
      </x:c>
      <x:c r="J1855" s="38" t="e">
        <x:f>HYPERLINK("https://pubmed.ncbi.nlm.nih.gov/"&amp;C1855&amp;"/","Open PubMed")</x:f>
        <x:v>HYPERLINK is not implemented. linkLocation=https://pubmed.ncbi.nlm.nih.gov/42286090/, friendlyName=Open PubMed</x:v>
      </x:c>
    </x:row>
    <x:row r="1856">
      <x:c r="A1856" s="26" t="str">
        <x:v>PUBMED-42669614</x:v>
      </x:c>
      <x:c r="B1856" s="26" t="n">
        <x:v>2026</x:v>
      </x:c>
      <x:c r="C1856" s="26" t="str">
        <x:v>42669614</x:v>
      </x:c>
      <x:c r="D1856" s="28" t="str">
        <x:v>Regional Variation in ADHD Treatment and Diagnosis Among Children and Adolescents in Denmark.</x:v>
      </x:c>
      <x:c r="E1856" s="28" t="str">
        <x:v>Primary study - cross-sectional</x:v>
      </x:c>
      <x:c r="F1856" s="28" t="str">
        <x:v>Development &amp; presentation; Recognition &amp; diagnosis; Family &amp; education; Social &amp; structural; Treatment &amp; support; Life outcomes &amp; lived experience</x:v>
      </x:c>
      <x:c r="G1856" s="28" t="str">
        <x:v>Childhood; Adolescence</x:v>
      </x:c>
      <x:c r="H1856" s="28" t="str">
        <x:v>Batch 1 core</x:v>
      </x:c>
      <x:c r="I1856" s="28" t="str">
        <x:v>Direct ADHD primary study on diagnosis, family/education, structural conditions, lived experience/outcomes, or environment/lifestyle.</x:v>
      </x:c>
      <x:c r="J1856" s="38" t="e">
        <x:f>HYPERLINK("https://pubmed.ncbi.nlm.nih.gov/"&amp;C1856&amp;"/","Open PubMed")</x:f>
        <x:v>HYPERLINK is not implemented. linkLocation=https://pubmed.ncbi.nlm.nih.gov/42669614/, friendlyName=Open PubMed</x:v>
      </x:c>
    </x:row>
    <x:row r="1857">
      <x:c r="A1857" s="26" t="str">
        <x:v>PUBMED-42026817</x:v>
      </x:c>
      <x:c r="B1857" s="26" t="n">
        <x:v>2026</x:v>
      </x:c>
      <x:c r="C1857" s="26" t="str">
        <x:v>42026817</x:v>
      </x:c>
      <x:c r="D1857" s="28" t="str">
        <x:v>Associations between ADHD Symptoms and Psychiatric Symptoms in Children: Effects of Functional Impairment and Temperament.</x:v>
      </x:c>
      <x:c r="E1857" s="28" t="str">
        <x:v>Primary study - cohort</x:v>
      </x:c>
      <x:c r="F1857" s="28" t="str">
        <x:v>Development &amp; presentation; Recognition &amp; diagnosis; Family &amp; education; Social &amp; structural</x:v>
      </x:c>
      <x:c r="G1857" s="28" t="str">
        <x:v>Childhood</x:v>
      </x:c>
      <x:c r="H1857" s="28" t="str">
        <x:v>Later specialized</x:v>
      </x:c>
      <x:c r="I1857" s="28" t="str">
        <x:v>Direct or strongly ADHD-related record retained for later screening; typically narrower treatment, biomarker, mechanistic, or single-comorbidity focus.</x:v>
      </x:c>
      <x:c r="J1857" s="38" t="e">
        <x:f>HYPERLINK("https://pubmed.ncbi.nlm.nih.gov/"&amp;C1857&amp;"/","Open PubMed")</x:f>
        <x:v>HYPERLINK is not implemented. linkLocation=https://pubmed.ncbi.nlm.nih.gov/42026817/, friendlyName=Open PubMed</x:v>
      </x:c>
    </x:row>
    <x:row r="1858">
      <x:c r="A1858" s="26" t="str">
        <x:v>PUBMED-42542106</x:v>
      </x:c>
      <x:c r="B1858" s="26" t="n">
        <x:v>2026</x:v>
      </x:c>
      <x:c r="C1858" s="26" t="str">
        <x:v>42542106</x:v>
      </x:c>
      <x:c r="D1858" s="28" t="str">
        <x:v>The effect of sex on sleep neurophysiology in typical and altered neurodevelopment.</x:v>
      </x:c>
      <x:c r="E1858" s="28" t="str">
        <x:v>Primary study - cohort</x:v>
      </x:c>
      <x:c r="F1858" s="28" t="str">
        <x:v>Development &amp; presentation; Recognition &amp; diagnosis; Family &amp; education; Social &amp; structural; Environmental &amp; lifestyle</x:v>
      </x:c>
      <x:c r="G1858" s="28" t="str">
        <x:v>Childhood; Adolescence; Adulthood</x:v>
      </x:c>
      <x:c r="H1858" s="28" t="str">
        <x:v>Later specialized</x:v>
      </x:c>
      <x:c r="I1858" s="28" t="str">
        <x:v>Direct or strongly ADHD-related record retained for later screening; typically narrower treatment, biomarker, mechanistic, or single-comorbidity focus.</x:v>
      </x:c>
      <x:c r="J1858" s="38" t="e">
        <x:f>HYPERLINK("https://pubmed.ncbi.nlm.nih.gov/"&amp;C1858&amp;"/","Open PubMed")</x:f>
        <x:v>HYPERLINK is not implemented. linkLocation=https://pubmed.ncbi.nlm.nih.gov/42542106/, friendlyName=Open PubMed</x:v>
      </x:c>
    </x:row>
    <x:row r="1859">
      <x:c r="A1859" s="26" t="str">
        <x:v>PUBMED-42717329</x:v>
      </x:c>
      <x:c r="B1859" s="26" t="n">
        <x:v>2026</x:v>
      </x:c>
      <x:c r="C1859" s="26" t="str">
        <x:v>42717329</x:v>
      </x:c>
      <x:c r="D1859" s="28" t="str">
        <x:v>Transdiagnostic child mental health trajectories in Japan: protocol for a nationwide web‑based open cohort study.</x:v>
      </x:c>
      <x:c r="E1859" s="28" t="str">
        <x:v>Primary study - cohort</x:v>
      </x:c>
      <x:c r="F1859" s="28" t="str">
        <x:v>Development &amp; presentation; Recognition &amp; diagnosis; Family &amp; education; Social &amp; structural; Environmental &amp; lifestyle; Life outcomes &amp; lived experience; Historical &amp; contemporary context</x:v>
      </x:c>
      <x:c r="G1859" s="28" t="str">
        <x:v>Childhood; Adolescence</x:v>
      </x:c>
      <x:c r="H1859" s="28" t="str">
        <x:v>Exclude/incidental</x:v>
      </x:c>
      <x:c r="I1859" s="28" t="str">
        <x:v>ADHD appears peripheral or insufficiently aligned with the requested corpus scope based on accessible metadata/abstract.</x:v>
      </x:c>
      <x:c r="J1859" s="38" t="e">
        <x:f>HYPERLINK("https://pubmed.ncbi.nlm.nih.gov/"&amp;C1859&amp;"/","Open PubMed")</x:f>
        <x:v>HYPERLINK is not implemented. linkLocation=https://pubmed.ncbi.nlm.nih.gov/42717329/, friendlyName=Open PubMed</x:v>
      </x:c>
    </x:row>
    <x:row r="1860">
      <x:c r="A1860" s="26" t="str">
        <x:v>PUBMED-42521366</x:v>
      </x:c>
      <x:c r="B1860" s="26" t="n">
        <x:v>2026</x:v>
      </x:c>
      <x:c r="C1860" s="26" t="str">
        <x:v>42521366</x:v>
      </x:c>
      <x:c r="D1860" s="28" t="str">
        <x:v>School-based organizational skills training for upper elementary students: Subgroup and mediating effects.</x:v>
      </x:c>
      <x:c r="E1860" s="28" t="str">
        <x:v>Primary study - randomized controlled trial</x:v>
      </x:c>
      <x:c r="F1860" s="28" t="str">
        <x:v>Development &amp; presentation; Recognition &amp; diagnosis; Family &amp; education; Social &amp; structural; Treatment &amp; support</x:v>
      </x:c>
      <x:c r="G1860" s="28" t="str">
        <x:v>Childhood</x:v>
      </x:c>
      <x:c r="H1860" s="28" t="str">
        <x:v>Later specialized</x:v>
      </x:c>
      <x:c r="I1860" s="28" t="str">
        <x:v>Direct or strongly ADHD-related record retained for later screening; typically narrower treatment, biomarker, mechanistic, or single-comorbidity focus.</x:v>
      </x:c>
      <x:c r="J1860" s="38" t="e">
        <x:f>HYPERLINK("https://pubmed.ncbi.nlm.nih.gov/"&amp;C1860&amp;"/","Open PubMed")</x:f>
        <x:v>HYPERLINK is not implemented. linkLocation=https://pubmed.ncbi.nlm.nih.gov/42521366/, friendlyName=Open PubMed</x:v>
      </x:c>
    </x:row>
    <x:row r="1861">
      <x:c r="A1861" s="26" t="str">
        <x:v>PUBMED-42421291</x:v>
      </x:c>
      <x:c r="B1861" s="26" t="n">
        <x:v>2026</x:v>
      </x:c>
      <x:c r="C1861" s="26" t="str">
        <x:v>42421291</x:v>
      </x:c>
      <x:c r="D1861" s="28" t="str">
        <x:v>Cognitive-Functional Intervention for Adults With ADHD (Cog-Fun-A): An Extreme Case Series Analysis.</x:v>
      </x:c>
      <x:c r="E1861" s="28" t="str">
        <x:v>Primary/contextual journal article</x:v>
      </x:c>
      <x:c r="F1861" s="28" t="str">
        <x:v>Development &amp; presentation; Recognition &amp; diagnosis; Social &amp; structural; Environmental &amp; lifestyle; Treatment &amp; support; Life outcomes &amp; lived experience</x:v>
      </x:c>
      <x:c r="G1861" s="28" t="str">
        <x:v>Adulthood</x:v>
      </x:c>
      <x:c r="H1861" s="28" t="str">
        <x:v>Later specialized</x:v>
      </x:c>
      <x:c r="I1861" s="28" t="str">
        <x:v>Direct or strongly ADHD-related record retained for later screening; typically narrower treatment, biomarker, mechanistic, or single-comorbidity focus.</x:v>
      </x:c>
      <x:c r="J1861" s="38" t="e">
        <x:f>HYPERLINK("https://pubmed.ncbi.nlm.nih.gov/"&amp;C1861&amp;"/","Open PubMed")</x:f>
        <x:v>HYPERLINK is not implemented. linkLocation=https://pubmed.ncbi.nlm.nih.gov/42421291/, friendlyName=Open PubMed</x:v>
      </x:c>
    </x:row>
    <x:row r="1862">
      <x:c r="A1862" s="26" t="str">
        <x:v>PUBMED-42713675</x:v>
      </x:c>
      <x:c r="B1862" s="26" t="n">
        <x:v>2026</x:v>
      </x:c>
      <x:c r="C1862" s="26" t="str">
        <x:v>42713675</x:v>
      </x:c>
      <x:c r="D1862" s="28" t="str">
        <x:v>Association of betel quid chewing with specific major psychiatric disorders in Taiwan Biobank-NHIRD linked data.</x:v>
      </x:c>
      <x:c r="E1862" s="28" t="str">
        <x:v>Primary/contextual journal article</x:v>
      </x:c>
      <x:c r="F1862" s="28" t="str">
        <x:v>Development &amp; presentation; Recognition &amp; diagnosis; Family &amp; education; Social &amp; structural; Environmental &amp; lifestyle; Treatment &amp; support; Life outcomes &amp; lived experience</x:v>
      </x:c>
      <x:c r="G1862" s="28" t="str">
        <x:v>Adulthood</x:v>
      </x:c>
      <x:c r="H1862" s="28" t="str">
        <x:v>Exclude/incidental</x:v>
      </x:c>
      <x:c r="I1862" s="28" t="str">
        <x:v>ADHD appears peripheral or insufficiently aligned with the requested corpus scope based on accessible metadata/abstract.</x:v>
      </x:c>
      <x:c r="J1862" s="38" t="e">
        <x:f>HYPERLINK("https://pubmed.ncbi.nlm.nih.gov/"&amp;C1862&amp;"/","Open PubMed")</x:f>
        <x:v>HYPERLINK is not implemented. linkLocation=https://pubmed.ncbi.nlm.nih.gov/42713675/, friendlyName=Open PubMed</x:v>
      </x:c>
    </x:row>
    <x:row r="1863">
      <x:c r="A1863" s="26" t="str">
        <x:v>PUBMED-42051128</x:v>
      </x:c>
      <x:c r="B1863" s="26" t="n">
        <x:v>2026</x:v>
      </x:c>
      <x:c r="C1863" s="26" t="str">
        <x:v>42051128</x:v>
      </x:c>
      <x:c r="D1863" s="28" t="str">
        <x:v>Internet Habits, Problematic Internet Use, and Online Risk Practices Among Adolescents With ADHD in Spain.</x:v>
      </x:c>
      <x:c r="E1863" s="28" t="str">
        <x:v>Primary study - cross-sectional</x:v>
      </x:c>
      <x:c r="F1863" s="28" t="str">
        <x:v>Development &amp; presentation; Family &amp; education; Social &amp; structural; Environmental &amp; lifestyle; Historical &amp; contemporary context</x:v>
      </x:c>
      <x:c r="G1863" s="28" t="str">
        <x:v>Childhood; Adolescence</x:v>
      </x:c>
      <x:c r="H1863" s="28" t="str">
        <x:v>Later specialized</x:v>
      </x:c>
      <x:c r="I1863" s="28" t="str">
        <x:v>Direct or strongly ADHD-related record retained for later screening; typically narrower treatment, biomarker, mechanistic, or single-comorbidity focus.</x:v>
      </x:c>
      <x:c r="J1863" s="38" t="e">
        <x:f>HYPERLINK("https://pubmed.ncbi.nlm.nih.gov/"&amp;C1863&amp;"/","Open PubMed")</x:f>
        <x:v>HYPERLINK is not implemented. linkLocation=https://pubmed.ncbi.nlm.nih.gov/42051128/, friendlyName=Open PubMed</x:v>
      </x:c>
    </x:row>
    <x:row r="1864">
      <x:c r="A1864" s="26" t="str">
        <x:v>PUBMED-42106613</x:v>
      </x:c>
      <x:c r="B1864" s="26" t="n">
        <x:v>2026</x:v>
      </x:c>
      <x:c r="C1864" s="26" t="str">
        <x:v>42106613</x:v>
      </x:c>
      <x:c r="D1864" s="28" t="str">
        <x:v>Decreased attention in 10- and 14-month-olds with neurofibromatosis type 1 and association with later ADHD traits.</x:v>
      </x:c>
      <x:c r="E1864" s="28" t="str">
        <x:v>Primary study - cohort</x:v>
      </x:c>
      <x:c r="F1864" s="28" t="str">
        <x:v>Development &amp; presentation; Recognition &amp; diagnosis; Family &amp; education; Social &amp; structural; Historical &amp; contemporary context</x:v>
      </x:c>
      <x:c r="G1864" s="28" t="str">
        <x:v>Childhood</x:v>
      </x:c>
      <x:c r="H1864" s="28" t="str">
        <x:v>Later specialized</x:v>
      </x:c>
      <x:c r="I1864" s="28" t="str">
        <x:v>Direct or strongly ADHD-related record retained for later screening; typically narrower treatment, biomarker, mechanistic, or single-comorbidity focus.</x:v>
      </x:c>
      <x:c r="J1864" s="38" t="e">
        <x:f>HYPERLINK("https://pubmed.ncbi.nlm.nih.gov/"&amp;C1864&amp;"/","Open PubMed")</x:f>
        <x:v>HYPERLINK is not implemented. linkLocation=https://pubmed.ncbi.nlm.nih.gov/42106613/, friendlyName=Open PubMed</x:v>
      </x:c>
    </x:row>
    <x:row r="1865">
      <x:c r="A1865" s="26" t="str">
        <x:v>PUBMED-42086155</x:v>
      </x:c>
      <x:c r="B1865" s="26" t="n">
        <x:v>2026</x:v>
      </x:c>
      <x:c r="C1865" s="26" t="str">
        <x:v>42086155</x:v>
      </x:c>
      <x:c r="D1865" s="28" t="str">
        <x:v>Systematic review of virtual reality therapy in the treatment of visual dysfunction in children with ADHD and dyslexia.</x:v>
      </x:c>
      <x:c r="E1865" s="28" t="str">
        <x:v>Evidence synthesis - systematic review</x:v>
      </x:c>
      <x:c r="F1865" s="28" t="str">
        <x:v>Development &amp; presentation; Family &amp; education; Social &amp; structural; Environmental &amp; lifestyle; Treatment &amp; support; Life outcomes &amp; lived experience</x:v>
      </x:c>
      <x:c r="G1865" s="28" t="str">
        <x:v>Childhood</x:v>
      </x:c>
      <x:c r="H1865" s="28" t="str">
        <x:v>Batch 1 core</x:v>
      </x:c>
      <x:c r="I1865" s="28" t="str">
        <x:v>Direct ADHD evidence synthesis/guideline with broad multi-topic relevance.</x:v>
      </x:c>
      <x:c r="J1865" s="38" t="e">
        <x:f>HYPERLINK("https://pubmed.ncbi.nlm.nih.gov/"&amp;C1865&amp;"/","Open PubMed")</x:f>
        <x:v>HYPERLINK is not implemented. linkLocation=https://pubmed.ncbi.nlm.nih.gov/42086155/, friendlyName=Open PubMed</x:v>
      </x:c>
    </x:row>
    <x:row r="1866">
      <x:c r="A1866" s="26" t="str">
        <x:v>PUBMED-42474092</x:v>
      </x:c>
      <x:c r="B1866" s="26" t="n">
        <x:v>2026</x:v>
      </x:c>
      <x:c r="C1866" s="26" t="str">
        <x:v>42474092</x:v>
      </x:c>
      <x:c r="D1866" s="28" t="str">
        <x:v>Developmental origins of ADHD: sex-specific influences of early life unpredictability on symptom profiles.</x:v>
      </x:c>
      <x:c r="E1866" s="28" t="str">
        <x:v>Primary study - cohort</x:v>
      </x:c>
      <x:c r="F1866" s="28" t="str">
        <x:v>Development &amp; presentation; Recognition &amp; diagnosis; Family &amp; education; Social &amp; structural; Environmental &amp; lifestyle; Treatment &amp; support; Life outcomes &amp; lived experience</x:v>
      </x:c>
      <x:c r="G1866" s="28" t="str">
        <x:v>Childhood; Adolescence</x:v>
      </x:c>
      <x:c r="H1866" s="28" t="str">
        <x:v>Later specialized</x:v>
      </x:c>
      <x:c r="I1866" s="28" t="str">
        <x:v>Direct or strongly ADHD-related record retained for later screening; typically narrower treatment, biomarker, mechanistic, or single-comorbidity focus.</x:v>
      </x:c>
      <x:c r="J1866" s="38" t="e">
        <x:f>HYPERLINK("https://pubmed.ncbi.nlm.nih.gov/"&amp;C1866&amp;"/","Open PubMed")</x:f>
        <x:v>HYPERLINK is not implemented. linkLocation=https://pubmed.ncbi.nlm.nih.gov/42474092/, friendlyName=Open PubMed</x:v>
      </x:c>
    </x:row>
    <x:row r="1867">
      <x:c r="A1867" s="26" t="str">
        <x:v>PUBMED-42277724</x:v>
      </x:c>
      <x:c r="B1867" s="26" t="n">
        <x:v>2026</x:v>
      </x:c>
      <x:c r="C1867" s="26" t="str">
        <x:v>42277724</x:v>
      </x:c>
      <x:c r="D1867" s="28" t="str">
        <x:v>Impulsivity facets and internet gaming disorder symptoms in male adolescents with ADHD: an exploratory cross-sectional study from Turkiye.</x:v>
      </x:c>
      <x:c r="E1867" s="28" t="str">
        <x:v>Primary study - cross-sectional</x:v>
      </x:c>
      <x:c r="F1867" s="28" t="str">
        <x:v>Development &amp; presentation; Recognition &amp; diagnosis; Family &amp; education; Treatment &amp; support; Life outcomes &amp; lived experience; Historical &amp; contemporary context</x:v>
      </x:c>
      <x:c r="G1867" s="28" t="str">
        <x:v>Childhood; Adolescence</x:v>
      </x:c>
      <x:c r="H1867" s="28" t="str">
        <x:v>Later specialized</x:v>
      </x:c>
      <x:c r="I1867" s="28" t="str">
        <x:v>Direct or strongly ADHD-related record retained for later screening; typically narrower treatment, biomarker, mechanistic, or single-comorbidity focus.</x:v>
      </x:c>
      <x:c r="J1867" s="38" t="e">
        <x:f>HYPERLINK("https://pubmed.ncbi.nlm.nih.gov/"&amp;C1867&amp;"/","Open PubMed")</x:f>
        <x:v>HYPERLINK is not implemented. linkLocation=https://pubmed.ncbi.nlm.nih.gov/42277724/, friendlyName=Open PubMed</x:v>
      </x:c>
    </x:row>
    <x:row r="1868">
      <x:c r="A1868" s="26" t="str">
        <x:v>PUBMED-42357820</x:v>
      </x:c>
      <x:c r="B1868" s="26" t="n">
        <x:v>2026</x:v>
      </x:c>
      <x:c r="C1868" s="26" t="str">
        <x:v>42357820</x:v>
      </x:c>
      <x:c r="D1868" s="28" t="str">
        <x:v>Neuropsychiatric Features, ADHD and Cognitive Disengagement Syndrome in Children and Adolescents With Celiac Disease: A Controlled Study.</x:v>
      </x:c>
      <x:c r="E1868" s="28" t="str">
        <x:v>Primary/contextual journal article</x:v>
      </x:c>
      <x:c r="F1868" s="28" t="str">
        <x:v>Development &amp; presentation; Recognition &amp; diagnosis; Social &amp; structural; Life outcomes &amp; lived experience</x:v>
      </x:c>
      <x:c r="G1868" s="28" t="str">
        <x:v>Childhood; Adolescence</x:v>
      </x:c>
      <x:c r="H1868" s="28" t="str">
        <x:v>Later specialized</x:v>
      </x:c>
      <x:c r="I1868" s="28" t="str">
        <x:v>Direct or strongly ADHD-related record retained for later screening; typically narrower treatment, biomarker, mechanistic, or single-comorbidity focus.</x:v>
      </x:c>
      <x:c r="J1868" s="38" t="e">
        <x:f>HYPERLINK("https://pubmed.ncbi.nlm.nih.gov/"&amp;C1868&amp;"/","Open PubMed")</x:f>
        <x:v>HYPERLINK is not implemented. linkLocation=https://pubmed.ncbi.nlm.nih.gov/42357820/, friendlyName=Open PubMed</x:v>
      </x:c>
    </x:row>
    <x:row r="1869">
      <x:c r="A1869" s="26" t="str">
        <x:v>PUBMED-42212584</x:v>
      </x:c>
      <x:c r="B1869" s="26" t="n">
        <x:v>2026</x:v>
      </x:c>
      <x:c r="C1869" s="26" t="str">
        <x:v>42212584</x:v>
      </x:c>
      <x:c r="D1869" s="28" t="str">
        <x:v>Clinical, social, and motility factors influencing transanal irrigation response in pediatric patients.</x:v>
      </x:c>
      <x:c r="E1869" s="28" t="str">
        <x:v>Primary/contextual journal article</x:v>
      </x:c>
      <x:c r="F1869" s="28" t="str">
        <x:v>Development &amp; presentation; Recognition &amp; diagnosis; Family &amp; education; Social &amp; structural; Treatment &amp; support; Life outcomes &amp; lived experience</x:v>
      </x:c>
      <x:c r="G1869" s="28" t="str">
        <x:v>Childhood; Adolescence</x:v>
      </x:c>
      <x:c r="H1869" s="28" t="str">
        <x:v>Later specialized</x:v>
      </x:c>
      <x:c r="I1869" s="28" t="str">
        <x:v>Direct or strongly ADHD-related record retained for later screening; typically narrower treatment, biomarker, mechanistic, or single-comorbidity focus.</x:v>
      </x:c>
      <x:c r="J1869" s="38" t="e">
        <x:f>HYPERLINK("https://pubmed.ncbi.nlm.nih.gov/"&amp;C1869&amp;"/","Open PubMed")</x:f>
        <x:v>HYPERLINK is not implemented. linkLocation=https://pubmed.ncbi.nlm.nih.gov/42212584/, friendlyName=Open PubMed</x:v>
      </x:c>
    </x:row>
    <x:row r="1870">
      <x:c r="A1870" s="26" t="str">
        <x:v>PUBMED-42754774</x:v>
      </x:c>
      <x:c r="B1870" s="26" t="n">
        <x:v>2026</x:v>
      </x:c>
      <x:c r="C1870" s="26" t="str">
        <x:v>42754774</x:v>
      </x:c>
      <x:c r="D1870" s="28" t="str">
        <x:v>Is methylphenidate truly cardiac-safe? Insight from biventricular speckle tracking echocardiography in pediatric patients with attention deficit hyperactivity disorder.</x:v>
      </x:c>
      <x:c r="E1870" s="28" t="str">
        <x:v>Primary study - case-control</x:v>
      </x:c>
      <x:c r="F1870" s="28" t="str">
        <x:v>Development &amp; presentation; Recognition &amp; diagnosis; Social &amp; structural; Treatment &amp; support</x:v>
      </x:c>
      <x:c r="G1870" s="28" t="str">
        <x:v>Childhood; Adolescence</x:v>
      </x:c>
      <x:c r="H1870" s="28" t="str">
        <x:v>Later specialized</x:v>
      </x:c>
      <x:c r="I1870" s="28" t="str">
        <x:v>Direct or strongly ADHD-related record retained for later screening; typically narrower treatment, biomarker, mechanistic, or single-comorbidity focus.</x:v>
      </x:c>
      <x:c r="J1870" s="38" t="e">
        <x:f>HYPERLINK("https://pubmed.ncbi.nlm.nih.gov/"&amp;C1870&amp;"/","Open PubMed")</x:f>
        <x:v>HYPERLINK is not implemented. linkLocation=https://pubmed.ncbi.nlm.nih.gov/42754774/, friendlyName=Open PubMed</x:v>
      </x:c>
    </x:row>
    <x:row r="1871">
      <x:c r="A1871" s="26" t="str">
        <x:v>PUBMED-42081928</x:v>
      </x:c>
      <x:c r="B1871" s="26" t="n">
        <x:v>2026</x:v>
      </x:c>
      <x:c r="C1871" s="26" t="str">
        <x:v>42081928</x:v>
      </x:c>
      <x:c r="D1871" s="28" t="str">
        <x:v>Neurochemical impact of psychostimulants: Longitudinal MRI analysis of brain iron content in children with ADHD.</x:v>
      </x:c>
      <x:c r="E1871" s="28" t="str">
        <x:v>Primary/contextual journal article</x:v>
      </x:c>
      <x:c r="F1871" s="28" t="str">
        <x:v>Development &amp; presentation; Recognition &amp; diagnosis; Family &amp; education; Social &amp; structural; Treatment &amp; support</x:v>
      </x:c>
      <x:c r="G1871" s="28" t="str">
        <x:v>Childhood; Adolescence</x:v>
      </x:c>
      <x:c r="H1871" s="28" t="str">
        <x:v>Later specialized</x:v>
      </x:c>
      <x:c r="I1871" s="28" t="str">
        <x:v>Direct or strongly ADHD-related record retained for later screening; typically narrower treatment, biomarker, mechanistic, or single-comorbidity focus.</x:v>
      </x:c>
      <x:c r="J1871" s="38" t="e">
        <x:f>HYPERLINK("https://pubmed.ncbi.nlm.nih.gov/"&amp;C1871&amp;"/","Open PubMed")</x:f>
        <x:v>HYPERLINK is not implemented. linkLocation=https://pubmed.ncbi.nlm.nih.gov/42081928/, friendlyName=Open PubMed</x:v>
      </x:c>
    </x:row>
    <x:row r="1872">
      <x:c r="A1872" s="26" t="str">
        <x:v>PUBMED-42346977</x:v>
      </x:c>
      <x:c r="B1872" s="26" t="n">
        <x:v>2026</x:v>
      </x:c>
      <x:c r="C1872" s="26" t="str">
        <x:v>42346977</x:v>
      </x:c>
      <x:c r="D1872" s="28" t="str">
        <x:v>[Postoperative serotonin syndrome in a patient with attention-deficit/hyperactivity disorder and treatment-resistant depression].</x:v>
      </x:c>
      <x:c r="E1872" s="28" t="str">
        <x:v>Primary/contextual journal article</x:v>
      </x:c>
      <x:c r="F1872" s="28" t="str">
        <x:v>Development &amp; presentation; Recognition &amp; diagnosis; Social &amp; structural; Environmental &amp; lifestyle; Treatment &amp; support</x:v>
      </x:c>
      <x:c r="G1872" s="28" t="str">
        <x:v>Not specified</x:v>
      </x:c>
      <x:c r="H1872" s="28" t="str">
        <x:v>Later specialized</x:v>
      </x:c>
      <x:c r="I1872" s="28" t="str">
        <x:v>Direct or strongly ADHD-related record retained for later screening; typically narrower treatment, biomarker, mechanistic, or single-comorbidity focus.</x:v>
      </x:c>
      <x:c r="J1872" s="38" t="e">
        <x:f>HYPERLINK("https://pubmed.ncbi.nlm.nih.gov/"&amp;C1872&amp;"/","Open PubMed")</x:f>
        <x:v>HYPERLINK is not implemented. linkLocation=https://pubmed.ncbi.nlm.nih.gov/42346977/, friendlyName=Open PubMed</x:v>
      </x:c>
    </x:row>
    <x:row r="1873">
      <x:c r="A1873" s="26" t="str">
        <x:v>PUBMED-42150075</x:v>
      </x:c>
      <x:c r="B1873" s="26" t="n">
        <x:v>2026</x:v>
      </x:c>
      <x:c r="C1873" s="26" t="str">
        <x:v>42150075</x:v>
      </x:c>
      <x:c r="D1873" s="28" t="str">
        <x:v>Attention problems and cortical maturation in a large longitudinal sample of youths: The importance of accounting for sex differences.</x:v>
      </x:c>
      <x:c r="E1873" s="28" t="str">
        <x:v>Primary study - cohort</x:v>
      </x:c>
      <x:c r="F1873" s="28" t="str">
        <x:v>Development &amp; presentation; Recognition &amp; diagnosis; Family &amp; education; Social &amp; structural</x:v>
      </x:c>
      <x:c r="G1873" s="28" t="str">
        <x:v>Childhood; Adolescence</x:v>
      </x:c>
      <x:c r="H1873" s="28" t="str">
        <x:v>Later specialized</x:v>
      </x:c>
      <x:c r="I1873" s="28" t="str">
        <x:v>Direct or strongly ADHD-related record retained for later screening; typically narrower treatment, biomarker, mechanistic, or single-comorbidity focus.</x:v>
      </x:c>
      <x:c r="J1873" s="38" t="e">
        <x:f>HYPERLINK("https://pubmed.ncbi.nlm.nih.gov/"&amp;C1873&amp;"/","Open PubMed")</x:f>
        <x:v>HYPERLINK is not implemented. linkLocation=https://pubmed.ncbi.nlm.nih.gov/42150075/, friendlyName=Open PubMed</x:v>
      </x:c>
    </x:row>
    <x:row r="1874">
      <x:c r="A1874" s="26" t="str">
        <x:v>PUBMED-42265849</x:v>
      </x:c>
      <x:c r="B1874" s="26" t="n">
        <x:v>2026</x:v>
      </x:c>
      <x:c r="C1874" s="26" t="str">
        <x:v>42265849</x:v>
      </x:c>
      <x:c r="D1874" s="28" t="str">
        <x:v>The Distinct Role of Family History and Polygenic Risk Scores of Psychiatric Disorders on Lithium Response in Bipolar Disorder.</x:v>
      </x:c>
      <x:c r="E1874" s="28" t="str">
        <x:v>Primary/contextual journal article</x:v>
      </x:c>
      <x:c r="F1874" s="28" t="str">
        <x:v>Development &amp; presentation; Family &amp; education; Social &amp; structural; Environmental &amp; lifestyle; Treatment &amp; support; Life outcomes &amp; lived experience; Historical &amp; contemporary context</x:v>
      </x:c>
      <x:c r="G1874" s="28" t="str">
        <x:v>Adulthood</x:v>
      </x:c>
      <x:c r="H1874" s="28" t="str">
        <x:v>Later specialized</x:v>
      </x:c>
      <x:c r="I1874" s="28" t="str">
        <x:v>Direct or strongly ADHD-related record retained for later screening; typically narrower treatment, biomarker, mechanistic, or single-comorbidity focus.</x:v>
      </x:c>
      <x:c r="J1874" s="38" t="e">
        <x:f>HYPERLINK("https://pubmed.ncbi.nlm.nih.gov/"&amp;C1874&amp;"/","Open PubMed")</x:f>
        <x:v>HYPERLINK is not implemented. linkLocation=https://pubmed.ncbi.nlm.nih.gov/42265849/, friendlyName=Open PubMed</x:v>
      </x:c>
    </x:row>
    <x:row r="1875">
      <x:c r="A1875" s="26" t="str">
        <x:v>PUBMED-42208491</x:v>
      </x:c>
      <x:c r="B1875" s="26" t="n">
        <x:v>2026</x:v>
      </x:c>
      <x:c r="C1875" s="26" t="str">
        <x:v>42208491</x:v>
      </x:c>
      <x:c r="D1875" s="28" t="str">
        <x:v>Association of bedtime and sleep duration with attention problems in children aged 6-7 years: A large-scale cross-sectional study in Shenzhen, China.</x:v>
      </x:c>
      <x:c r="E1875" s="28" t="str">
        <x:v>Primary study - cohort</x:v>
      </x:c>
      <x:c r="F1875" s="28" t="str">
        <x:v>Development &amp; presentation; Family &amp; education; Environmental &amp; lifestyle</x:v>
      </x:c>
      <x:c r="G1875" s="28" t="str">
        <x:v>Childhood</x:v>
      </x:c>
      <x:c r="H1875" s="28" t="str">
        <x:v>Later specialized</x:v>
      </x:c>
      <x:c r="I1875" s="28" t="str">
        <x:v>Direct or strongly ADHD-related record retained for later screening; typically narrower treatment, biomarker, mechanistic, or single-comorbidity focus.</x:v>
      </x:c>
      <x:c r="J1875" s="38" t="e">
        <x:f>HYPERLINK("https://pubmed.ncbi.nlm.nih.gov/"&amp;C1875&amp;"/","Open PubMed")</x:f>
        <x:v>HYPERLINK is not implemented. linkLocation=https://pubmed.ncbi.nlm.nih.gov/42208491/, friendlyName=Open PubMed</x:v>
      </x:c>
    </x:row>
    <x:row r="1876">
      <x:c r="A1876" s="26" t="str">
        <x:v>PUBMED-42114554</x:v>
      </x:c>
      <x:c r="B1876" s="26" t="n">
        <x:v>2026</x:v>
      </x:c>
      <x:c r="C1876" s="26" t="str">
        <x:v>42114554</x:v>
      </x:c>
      <x:c r="D1876" s="28" t="str">
        <x:v>Gated edge-node interaction graph convolutional network for ADHD classification.</x:v>
      </x:c>
      <x:c r="E1876" s="28" t="str">
        <x:v>Primary/contextual journal article</x:v>
      </x:c>
      <x:c r="F1876" s="28" t="str">
        <x:v>Development &amp; presentation; Recognition &amp; diagnosis; Social &amp; structural</x:v>
      </x:c>
      <x:c r="G1876" s="28" t="str">
        <x:v>Not specified</x:v>
      </x:c>
      <x:c r="H1876" s="28" t="str">
        <x:v>Later specialized</x:v>
      </x:c>
      <x:c r="I1876" s="28" t="str">
        <x:v>Direct or strongly ADHD-related record retained for later screening; typically narrower treatment, biomarker, mechanistic, or single-comorbidity focus.</x:v>
      </x:c>
      <x:c r="J1876" s="38" t="e">
        <x:f>HYPERLINK("https://pubmed.ncbi.nlm.nih.gov/"&amp;C1876&amp;"/","Open PubMed")</x:f>
        <x:v>HYPERLINK is not implemented. linkLocation=https://pubmed.ncbi.nlm.nih.gov/42114554/, friendlyName=Open PubMed</x:v>
      </x:c>
    </x:row>
    <x:row r="1877">
      <x:c r="A1877" s="26" t="str">
        <x:v>PUBMED-42309546</x:v>
      </x:c>
      <x:c r="B1877" s="26" t="n">
        <x:v>2026</x:v>
      </x:c>
      <x:c r="C1877" s="26" t="str">
        <x:v>42309546</x:v>
      </x:c>
      <x:c r="D1877" s="28" t="str">
        <x:v>Vipr2 Gene Expression Is Upregulated in the Nucleus Accumbens of Spontaneous Hypertensive Rats During Early Life.</x:v>
      </x:c>
      <x:c r="E1877" s="28" t="str">
        <x:v>Primary/contextual journal article</x:v>
      </x:c>
      <x:c r="F1877" s="28" t="str">
        <x:v>Development &amp; presentation; Social &amp; structural</x:v>
      </x:c>
      <x:c r="G1877" s="28" t="str">
        <x:v>Not specified</x:v>
      </x:c>
      <x:c r="H1877" s="28" t="str">
        <x:v>Exclude/incidental</x:v>
      </x:c>
      <x:c r="I1877" s="28" t="str">
        <x:v>Animal-only record; retained outside the human-focused core corpus.</x:v>
      </x:c>
      <x:c r="J1877" s="38" t="e">
        <x:f>HYPERLINK("https://pubmed.ncbi.nlm.nih.gov/"&amp;C1877&amp;"/","Open PubMed")</x:f>
        <x:v>HYPERLINK is not implemented. linkLocation=https://pubmed.ncbi.nlm.nih.gov/42309546/, friendlyName=Open PubMed</x:v>
      </x:c>
    </x:row>
    <x:row r="1878">
      <x:c r="A1878" s="26" t="str">
        <x:v>PUBMED-42152117</x:v>
      </x:c>
      <x:c r="B1878" s="26" t="n">
        <x:v>2026</x:v>
      </x:c>
      <x:c r="C1878" s="26" t="str">
        <x:v>42152117</x:v>
      </x:c>
      <x:c r="D1878" s="28" t="str">
        <x:v>Cross-training digital therapeutics for pediatric ADHD: study protocol for a randomized controlled trial.</x:v>
      </x:c>
      <x:c r="E1878" s="28" t="str">
        <x:v>Primary study - clinical trial</x:v>
      </x:c>
      <x:c r="F1878" s="28" t="str">
        <x:v>Development &amp; presentation; Recognition &amp; diagnosis; Family &amp; education; Social &amp; structural; Treatment &amp; support; Life outcomes &amp; lived experience</x:v>
      </x:c>
      <x:c r="G1878" s="28" t="str">
        <x:v>Childhood</x:v>
      </x:c>
      <x:c r="H1878" s="28" t="str">
        <x:v>Later specialized</x:v>
      </x:c>
      <x:c r="I1878" s="28" t="str">
        <x:v>Direct or strongly ADHD-related record retained for later screening; typically narrower treatment, biomarker, mechanistic, or single-comorbidity focus.</x:v>
      </x:c>
      <x:c r="J1878" s="38" t="e">
        <x:f>HYPERLINK("https://pubmed.ncbi.nlm.nih.gov/"&amp;C1878&amp;"/","Open PubMed")</x:f>
        <x:v>HYPERLINK is not implemented. linkLocation=https://pubmed.ncbi.nlm.nih.gov/42152117/, friendlyName=Open PubMed</x:v>
      </x:c>
    </x:row>
    <x:row r="1879">
      <x:c r="A1879" s="26" t="str">
        <x:v>PUBMED-42580290</x:v>
      </x:c>
      <x:c r="B1879" s="26" t="n">
        <x:v>2026</x:v>
      </x:c>
      <x:c r="C1879" s="26" t="str">
        <x:v>42580290</x:v>
      </x:c>
      <x:c r="D1879" s="28" t="str">
        <x:v>The mental health-cannabis nexus: Patterns of use among U.S. adults with depression, anxiety, and ADHD.</x:v>
      </x:c>
      <x:c r="E1879" s="28" t="str">
        <x:v>Primary study - cross-sectional</x:v>
      </x:c>
      <x:c r="F1879" s="28" t="str">
        <x:v>Development &amp; presentation; Recognition &amp; diagnosis; Social &amp; structural; Environmental &amp; lifestyle; Treatment &amp; support; Life outcomes &amp; lived experience</x:v>
      </x:c>
      <x:c r="G1879" s="28" t="str">
        <x:v>Adolescence; Adulthood</x:v>
      </x:c>
      <x:c r="H1879" s="28" t="str">
        <x:v>Later specialized</x:v>
      </x:c>
      <x:c r="I1879" s="28" t="str">
        <x:v>Direct or strongly ADHD-related record retained for later screening; typically narrower treatment, biomarker, mechanistic, or single-comorbidity focus.</x:v>
      </x:c>
      <x:c r="J1879" s="38" t="e">
        <x:f>HYPERLINK("https://pubmed.ncbi.nlm.nih.gov/"&amp;C1879&amp;"/","Open PubMed")</x:f>
        <x:v>HYPERLINK is not implemented. linkLocation=https://pubmed.ncbi.nlm.nih.gov/42580290/, friendlyName=Open PubMed</x:v>
      </x:c>
    </x:row>
    <x:row r="1880">
      <x:c r="A1880" s="26" t="str">
        <x:v>PUBMED-42547783</x:v>
      </x:c>
      <x:c r="B1880" s="26" t="n">
        <x:v>2026</x:v>
      </x:c>
      <x:c r="C1880" s="26" t="str">
        <x:v>42547783</x:v>
      </x:c>
      <x:c r="D1880" s="28" t="str">
        <x:v>Linking sensory processing patterns and somatosensory thresholds to behavioural and emotional symptoms in adolescents with ADHD.</x:v>
      </x:c>
      <x:c r="E1880" s="28" t="str">
        <x:v>Primary study - cohort</x:v>
      </x:c>
      <x:c r="F1880" s="28" t="str">
        <x:v>Development &amp; presentation; Recognition &amp; diagnosis; Social &amp; structural</x:v>
      </x:c>
      <x:c r="G1880" s="28" t="str">
        <x:v>Adolescence; Adulthood</x:v>
      </x:c>
      <x:c r="H1880" s="28" t="str">
        <x:v>Later specialized</x:v>
      </x:c>
      <x:c r="I1880" s="28" t="str">
        <x:v>Direct or strongly ADHD-related record retained for later screening; typically narrower treatment, biomarker, mechanistic, or single-comorbidity focus.</x:v>
      </x:c>
      <x:c r="J1880" s="38" t="e">
        <x:f>HYPERLINK("https://pubmed.ncbi.nlm.nih.gov/"&amp;C1880&amp;"/","Open PubMed")</x:f>
        <x:v>HYPERLINK is not implemented. linkLocation=https://pubmed.ncbi.nlm.nih.gov/42547783/, friendlyName=Open PubMed</x:v>
      </x:c>
    </x:row>
    <x:row r="1881">
      <x:c r="A1881" s="26" t="str">
        <x:v>PUBMED-42070196</x:v>
      </x:c>
      <x:c r="B1881" s="26" t="n">
        <x:v>2026</x:v>
      </x:c>
      <x:c r="C1881" s="26" t="str">
        <x:v>42070196</x:v>
      </x:c>
      <x:c r="D1881" s="28" t="str">
        <x:v>Association between child ADHD and caregivers' mental health and health-related quality of life: results from a population-based study.</x:v>
      </x:c>
      <x:c r="E1881" s="28" t="str">
        <x:v>Primary study - cross-sectional</x:v>
      </x:c>
      <x:c r="F1881" s="28" t="str">
        <x:v>Development &amp; presentation; Recognition &amp; diagnosis; Family &amp; education; Social &amp; structural; Environmental &amp; lifestyle; Life outcomes &amp; lived experience</x:v>
      </x:c>
      <x:c r="G1881" s="28" t="str">
        <x:v>Childhood; Adulthood</x:v>
      </x:c>
      <x:c r="H1881" s="28" t="str">
        <x:v>Batch 1 core</x:v>
      </x:c>
      <x:c r="I1881" s="28" t="str">
        <x:v>Direct ADHD primary study on diagnosis, family/education, structural conditions, lived experience/outcomes, or environment/lifestyle.</x:v>
      </x:c>
      <x:c r="J1881" s="38" t="e">
        <x:f>HYPERLINK("https://pubmed.ncbi.nlm.nih.gov/"&amp;C1881&amp;"/","Open PubMed")</x:f>
        <x:v>HYPERLINK is not implemented. linkLocation=https://pubmed.ncbi.nlm.nih.gov/42070196/, friendlyName=Open PubMed</x:v>
      </x:c>
    </x:row>
    <x:row r="1882">
      <x:c r="A1882" s="26" t="str">
        <x:v>PUBMED-42070363</x:v>
      </x:c>
      <x:c r="B1882" s="26" t="n">
        <x:v>2026</x:v>
      </x:c>
      <x:c r="C1882" s="26" t="str">
        <x:v>42070363</x:v>
      </x:c>
      <x:c r="D1882" s="28" t="str">
        <x:v>Is the Structure of ADHD stable across adulthood? Insights from the CAARS 2.</x:v>
      </x:c>
      <x:c r="E1882" s="28" t="str">
        <x:v>Primary/contextual journal article</x:v>
      </x:c>
      <x:c r="F1882" s="28" t="str">
        <x:v>Development &amp; presentation; Recognition &amp; diagnosis; Social &amp; structural; Treatment &amp; support</x:v>
      </x:c>
      <x:c r="G1882" s="28" t="str">
        <x:v>Adolescence; Adulthood</x:v>
      </x:c>
      <x:c r="H1882" s="28" t="str">
        <x:v>Later specialized</x:v>
      </x:c>
      <x:c r="I1882" s="28" t="str">
        <x:v>Direct or strongly ADHD-related record retained for later screening; typically narrower treatment, biomarker, mechanistic, or single-comorbidity focus.</x:v>
      </x:c>
      <x:c r="J1882" s="38" t="e">
        <x:f>HYPERLINK("https://pubmed.ncbi.nlm.nih.gov/"&amp;C1882&amp;"/","Open PubMed")</x:f>
        <x:v>HYPERLINK is not implemented. linkLocation=https://pubmed.ncbi.nlm.nih.gov/42070363/, friendlyName=Open PubMed</x:v>
      </x:c>
    </x:row>
    <x:row r="1883">
      <x:c r="A1883" s="26" t="str">
        <x:v>PUBMED-42365682</x:v>
      </x:c>
      <x:c r="B1883" s="26" t="n">
        <x:v>2026</x:v>
      </x:c>
      <x:c r="C1883" s="26" t="str">
        <x:v>42365682</x:v>
      </x:c>
      <x:c r="D1883" s="28" t="str">
        <x:v>Growing up with ADHD: findings from an 18-year longitudinal follow-up study of adults with childhood ADHD, their siblings, and controls.</x:v>
      </x:c>
      <x:c r="E1883" s="28" t="str">
        <x:v>Primary/contextual journal article</x:v>
      </x:c>
      <x:c r="F1883" s="28" t="str">
        <x:v>Development &amp; presentation; Recognition &amp; diagnosis; Family &amp; education; Treatment &amp; support; Life outcomes &amp; lived experience</x:v>
      </x:c>
      <x:c r="G1883" s="28" t="str">
        <x:v>Childhood; Adulthood</x:v>
      </x:c>
      <x:c r="H1883" s="28" t="str">
        <x:v>Later specialized</x:v>
      </x:c>
      <x:c r="I1883" s="28" t="str">
        <x:v>Direct or strongly ADHD-related record retained for later screening; typically narrower treatment, biomarker, mechanistic, or single-comorbidity focus.</x:v>
      </x:c>
      <x:c r="J1883" s="38" t="e">
        <x:f>HYPERLINK("https://pubmed.ncbi.nlm.nih.gov/"&amp;C1883&amp;"/","Open PubMed")</x:f>
        <x:v>HYPERLINK is not implemented. linkLocation=https://pubmed.ncbi.nlm.nih.gov/42365682/, friendlyName=Open PubMed</x:v>
      </x:c>
    </x:row>
    <x:row r="1884">
      <x:c r="A1884" s="26" t="str">
        <x:v>PUBMED-42371374</x:v>
      </x:c>
      <x:c r="B1884" s="26" t="n">
        <x:v>2026</x:v>
      </x:c>
      <x:c r="C1884" s="26" t="str">
        <x:v>42371374</x:v>
      </x:c>
      <x:c r="D1884" s="28" t="str">
        <x:v>Direct and Indirect Genetic Effects on Child ADHD Traits in Early and Mid-Childhood: Trio Genome-Wide Complex Trait Analyses in a Large Norwegian Birth Registry Cohort.</x:v>
      </x:c>
      <x:c r="E1884" s="28" t="str">
        <x:v>Primary study - cohort</x:v>
      </x:c>
      <x:c r="F1884" s="28" t="str">
        <x:v>Development &amp; presentation; Family &amp; education; Social &amp; structural; Environmental &amp; lifestyle</x:v>
      </x:c>
      <x:c r="G1884" s="28" t="str">
        <x:v>Childhood</x:v>
      </x:c>
      <x:c r="H1884" s="28" t="str">
        <x:v>Later specialized</x:v>
      </x:c>
      <x:c r="I1884" s="28" t="str">
        <x:v>Direct or strongly ADHD-related record retained for later screening; typically narrower treatment, biomarker, mechanistic, or single-comorbidity focus.</x:v>
      </x:c>
      <x:c r="J1884" s="38" t="e">
        <x:f>HYPERLINK("https://pubmed.ncbi.nlm.nih.gov/"&amp;C1884&amp;"/","Open PubMed")</x:f>
        <x:v>HYPERLINK is not implemented. linkLocation=https://pubmed.ncbi.nlm.nih.gov/42371374/, friendlyName=Open PubMed</x:v>
      </x:c>
    </x:row>
    <x:row r="1885">
      <x:c r="A1885" s="26" t="str">
        <x:v>PUBMED-42113180</x:v>
      </x:c>
      <x:c r="B1885" s="26" t="n">
        <x:v>2026</x:v>
      </x:c>
      <x:c r="C1885" s="26" t="str">
        <x:v>42113180</x:v>
      </x:c>
      <x:c r="D1885" s="28" t="str">
        <x:v>Effects of stimulant medication on neuropsychological functioning in college students without ADHD.</x:v>
      </x:c>
      <x:c r="E1885" s="28" t="str">
        <x:v>Primary study - randomized controlled trial</x:v>
      </x:c>
      <x:c r="F1885" s="28" t="str">
        <x:v>Development &amp; presentation; Social &amp; structural; Treatment &amp; support; Life outcomes &amp; lived experience</x:v>
      </x:c>
      <x:c r="G1885" s="28" t="str">
        <x:v>Adolescence; Adulthood</x:v>
      </x:c>
      <x:c r="H1885" s="28" t="str">
        <x:v>Later specialized</x:v>
      </x:c>
      <x:c r="I1885" s="28" t="str">
        <x:v>Direct or strongly ADHD-related record retained for later screening; typically narrower treatment, biomarker, mechanistic, or single-comorbidity focus.</x:v>
      </x:c>
      <x:c r="J1885" s="38" t="e">
        <x:f>HYPERLINK("https://pubmed.ncbi.nlm.nih.gov/"&amp;C1885&amp;"/","Open PubMed")</x:f>
        <x:v>HYPERLINK is not implemented. linkLocation=https://pubmed.ncbi.nlm.nih.gov/42113180/, friendlyName=Open PubMed</x:v>
      </x:c>
    </x:row>
    <x:row r="1886">
      <x:c r="A1886" s="26" t="str">
        <x:v>PUBMED-42363461</x:v>
      </x:c>
      <x:c r="B1886" s="26" t="n">
        <x:v>2026</x:v>
      </x:c>
      <x:c r="C1886" s="26" t="str">
        <x:v>42363461</x:v>
      </x:c>
      <x:c r="D1886" s="28" t="str">
        <x:v>Genetically predicted childhood traits and parental health and risk of pediatric psychiatric disorders: A 2-sample Mendelian randomization study.</x:v>
      </x:c>
      <x:c r="E1886" s="28" t="str">
        <x:v>Primary/contextual journal article</x:v>
      </x:c>
      <x:c r="F1886" s="28" t="str">
        <x:v>Development &amp; presentation; Family &amp; education; Social &amp; structural; Environmental &amp; lifestyle; Treatment &amp; support; Life outcomes &amp; lived experience</x:v>
      </x:c>
      <x:c r="G1886" s="28" t="str">
        <x:v>Childhood; Adolescence</x:v>
      </x:c>
      <x:c r="H1886" s="28" t="str">
        <x:v>Later specialized</x:v>
      </x:c>
      <x:c r="I1886" s="28" t="str">
        <x:v>Direct or strongly ADHD-related record retained for later screening; typically narrower treatment, biomarker, mechanistic, or single-comorbidity focus.</x:v>
      </x:c>
      <x:c r="J1886" s="38" t="e">
        <x:f>HYPERLINK("https://pubmed.ncbi.nlm.nih.gov/"&amp;C1886&amp;"/","Open PubMed")</x:f>
        <x:v>HYPERLINK is not implemented. linkLocation=https://pubmed.ncbi.nlm.nih.gov/42363461/, friendlyName=Open PubMed</x:v>
      </x:c>
    </x:row>
    <x:row r="1887">
      <x:c r="A1887" s="26" t="str">
        <x:v>PUBMED-42142506</x:v>
      </x:c>
      <x:c r="B1887" s="26" t="n">
        <x:v>2026</x:v>
      </x:c>
      <x:c r="C1887" s="26" t="str">
        <x:v>42142506</x:v>
      </x:c>
      <x:c r="D1887" s="28" t="str">
        <x:v>Effects of a novel individualized digital cognitive training on ADHD characteristics, quality of life, and cognitive functioning in adults with ADHD: A randomized controlled trial.</x:v>
      </x:c>
      <x:c r="E1887" s="28" t="str">
        <x:v>Primary study - randomized controlled trial</x:v>
      </x:c>
      <x:c r="F1887" s="28" t="str">
        <x:v>Development &amp; presentation; Recognition &amp; diagnosis; Social &amp; structural; Environmental &amp; lifestyle; Treatment &amp; support; Life outcomes &amp; lived experience</x:v>
      </x:c>
      <x:c r="G1887" s="28" t="str">
        <x:v>Adulthood</x:v>
      </x:c>
      <x:c r="H1887" s="28" t="str">
        <x:v>Later specialized</x:v>
      </x:c>
      <x:c r="I1887" s="28" t="str">
        <x:v>Direct or strongly ADHD-related record retained for later screening; typically narrower treatment, biomarker, mechanistic, or single-comorbidity focus.</x:v>
      </x:c>
      <x:c r="J1887" s="38" t="e">
        <x:f>HYPERLINK("https://pubmed.ncbi.nlm.nih.gov/"&amp;C1887&amp;"/","Open PubMed")</x:f>
        <x:v>HYPERLINK is not implemented. linkLocation=https://pubmed.ncbi.nlm.nih.gov/42142506/, friendlyName=Open PubMed</x:v>
      </x:c>
    </x:row>
    <x:row r="1888">
      <x:c r="A1888" s="26" t="str">
        <x:v>PUBMED-42126326</x:v>
      </x:c>
      <x:c r="B1888" s="26" t="n">
        <x:v>2026</x:v>
      </x:c>
      <x:c r="C1888" s="26" t="str">
        <x:v>42126326</x:v>
      </x:c>
      <x:c r="D1888" s="28" t="str">
        <x:v>Comorbid Psychological Diagnoses in Children With Single-Sided Deafness Who Received or Are Under Consideration for Cochlear Implantation.</x:v>
      </x:c>
      <x:c r="E1888" s="28" t="str">
        <x:v>Primary/contextual journal article</x:v>
      </x:c>
      <x:c r="F1888" s="28" t="str">
        <x:v>Development &amp; presentation; Recognition &amp; diagnosis; Family &amp; education; Social &amp; structural; Treatment &amp; support</x:v>
      </x:c>
      <x:c r="G1888" s="28" t="str">
        <x:v>Childhood; Adolescence</x:v>
      </x:c>
      <x:c r="H1888" s="28" t="str">
        <x:v>Exclude/incidental</x:v>
      </x:c>
      <x:c r="I1888" s="28" t="str">
        <x:v>ADHD appears peripheral or insufficiently aligned with the requested corpus scope based on accessible metadata/abstract.</x:v>
      </x:c>
      <x:c r="J1888" s="38" t="e">
        <x:f>HYPERLINK("https://pubmed.ncbi.nlm.nih.gov/"&amp;C1888&amp;"/","Open PubMed")</x:f>
        <x:v>HYPERLINK is not implemented. linkLocation=https://pubmed.ncbi.nlm.nih.gov/42126326/, friendlyName=Open PubMed</x:v>
      </x:c>
    </x:row>
    <x:row r="1889">
      <x:c r="A1889" s="26" t="str">
        <x:v>PUBMED-42262412</x:v>
      </x:c>
      <x:c r="B1889" s="26" t="n">
        <x:v>2026</x:v>
      </x:c>
      <x:c r="C1889" s="26" t="str">
        <x:v>42262412</x:v>
      </x:c>
      <x:c r="D1889" s="28" t="str">
        <x:v>Adolescents' Strategies to Manage Mental Health Challenges In and After the Pandemic: Two Mixed-Methods Studies.</x:v>
      </x:c>
      <x:c r="E1889" s="28" t="str">
        <x:v>Primary/contextual journal article</x:v>
      </x:c>
      <x:c r="F1889" s="28" t="str">
        <x:v>Development &amp; presentation; Social &amp; structural; Historical &amp; contemporary context</x:v>
      </x:c>
      <x:c r="G1889" s="28" t="str">
        <x:v>Adolescence; Adulthood</x:v>
      </x:c>
      <x:c r="H1889" s="28" t="str">
        <x:v>Exclude/incidental</x:v>
      </x:c>
      <x:c r="I1889" s="28" t="str">
        <x:v>ADHD appears peripheral or insufficiently aligned with the requested corpus scope based on accessible metadata/abstract.</x:v>
      </x:c>
      <x:c r="J1889" s="38" t="e">
        <x:f>HYPERLINK("https://pubmed.ncbi.nlm.nih.gov/"&amp;C1889&amp;"/","Open PubMed")</x:f>
        <x:v>HYPERLINK is not implemented. linkLocation=https://pubmed.ncbi.nlm.nih.gov/42262412/, friendlyName=Open PubMed</x:v>
      </x:c>
    </x:row>
    <x:row r="1890">
      <x:c r="A1890" s="26" t="str">
        <x:v>PUBMED-42650042</x:v>
      </x:c>
      <x:c r="B1890" s="26" t="n">
        <x:v>2026</x:v>
      </x:c>
      <x:c r="C1890" s="26" t="str">
        <x:v>42650042</x:v>
      </x:c>
      <x:c r="D1890" s="28" t="str">
        <x:v>Deciphering the Role of LNX2 as a Potential Contributor to Neurodevelopmental Disorders.</x:v>
      </x:c>
      <x:c r="E1890" s="28" t="str">
        <x:v>Primary/contextual journal article</x:v>
      </x:c>
      <x:c r="F1890" s="28" t="str">
        <x:v>Development &amp; presentation; Family &amp; education; Social &amp; structural; Life outcomes &amp; lived experience</x:v>
      </x:c>
      <x:c r="G1890" s="28" t="str">
        <x:v>Childhood</x:v>
      </x:c>
      <x:c r="H1890" s="28" t="str">
        <x:v>Later specialized</x:v>
      </x:c>
      <x:c r="I1890" s="28" t="str">
        <x:v>Direct or strongly ADHD-related record retained for later screening; typically narrower treatment, biomarker, mechanistic, or single-comorbidity focus.</x:v>
      </x:c>
      <x:c r="J1890" s="38" t="e">
        <x:f>HYPERLINK("https://pubmed.ncbi.nlm.nih.gov/"&amp;C1890&amp;"/","Open PubMed")</x:f>
        <x:v>HYPERLINK is not implemented. linkLocation=https://pubmed.ncbi.nlm.nih.gov/42650042/, friendlyName=Open PubMed</x:v>
      </x:c>
    </x:row>
    <x:row r="1891">
      <x:c r="A1891" s="26" t="str">
        <x:v>PUBMED-42350829</x:v>
      </x:c>
      <x:c r="B1891" s="26" t="n">
        <x:v>2026</x:v>
      </x:c>
      <x:c r="C1891" s="26" t="str">
        <x:v>42350829</x:v>
      </x:c>
      <x:c r="D1891" s="28" t="str">
        <x:v>Electrocortical Indices of Default Mode Network-Related Activity in ADHD and Modulation Through Mindfulness-Based Cognitive Therapy.</x:v>
      </x:c>
      <x:c r="E1891" s="28" t="str">
        <x:v>Primary study - randomized controlled trial</x:v>
      </x:c>
      <x:c r="F1891" s="28" t="str">
        <x:v>Development &amp; presentation; Social &amp; structural; Treatment &amp; support; Life outcomes &amp; lived experience</x:v>
      </x:c>
      <x:c r="G1891" s="28" t="str">
        <x:v>Adolescence</x:v>
      </x:c>
      <x:c r="H1891" s="28" t="str">
        <x:v>Later specialized</x:v>
      </x:c>
      <x:c r="I1891" s="28" t="str">
        <x:v>Direct or strongly ADHD-related record retained for later screening; typically narrower treatment, biomarker, mechanistic, or single-comorbidity focus.</x:v>
      </x:c>
      <x:c r="J1891" s="38" t="e">
        <x:f>HYPERLINK("https://pubmed.ncbi.nlm.nih.gov/"&amp;C1891&amp;"/","Open PubMed")</x:f>
        <x:v>HYPERLINK is not implemented. linkLocation=https://pubmed.ncbi.nlm.nih.gov/42350829/, friendlyName=Open PubMed</x:v>
      </x:c>
    </x:row>
    <x:row r="1892">
      <x:c r="A1892" s="26" t="str">
        <x:v>PUBMED-42401020</x:v>
      </x:c>
      <x:c r="B1892" s="26" t="n">
        <x:v>2026</x:v>
      </x:c>
      <x:c r="C1892" s="26" t="str">
        <x:v>42401020</x:v>
      </x:c>
      <x:c r="D1892" s="28" t="str">
        <x:v>Joint trajectories of ADHD and autistic traits in preschoolers linked to prenatal phthalate exposure: insights from the cord blood metabolome.</x:v>
      </x:c>
      <x:c r="E1892" s="28" t="str">
        <x:v>Primary/contextual journal article</x:v>
      </x:c>
      <x:c r="F1892" s="28" t="str">
        <x:v>Development &amp; presentation; Recognition &amp; diagnosis; Family &amp; education; Social &amp; structural; Environmental &amp; lifestyle; Life outcomes &amp; lived experience</x:v>
      </x:c>
      <x:c r="G1892" s="28" t="str">
        <x:v>Childhood</x:v>
      </x:c>
      <x:c r="H1892" s="28" t="str">
        <x:v>Later specialized</x:v>
      </x:c>
      <x:c r="I1892" s="28" t="str">
        <x:v>Direct or strongly ADHD-related record retained for later screening; typically narrower treatment, biomarker, mechanistic, or single-comorbidity focus.</x:v>
      </x:c>
      <x:c r="J1892" s="38" t="e">
        <x:f>HYPERLINK("https://pubmed.ncbi.nlm.nih.gov/"&amp;C1892&amp;"/","Open PubMed")</x:f>
        <x:v>HYPERLINK is not implemented. linkLocation=https://pubmed.ncbi.nlm.nih.gov/42401020/, friendlyName=Open PubMed</x:v>
      </x:c>
    </x:row>
    <x:row r="1893">
      <x:c r="A1893" s="26" t="str">
        <x:v>PUBMED-42228911</x:v>
      </x:c>
      <x:c r="B1893" s="26" t="n">
        <x:v>2026</x:v>
      </x:c>
      <x:c r="C1893" s="26" t="str">
        <x:v>42228911</x:v>
      </x:c>
      <x:c r="D1893" s="28" t="str">
        <x:v>Conners Continuous Performance Test-3 performance in a sample of veterans assessed for attention-deficit/hyperactivity disorder: evidence of questionable diagnostic utility.</x:v>
      </x:c>
      <x:c r="E1893" s="28" t="str">
        <x:v>Primary/contextual journal article</x:v>
      </x:c>
      <x:c r="F1893" s="28" t="str">
        <x:v>Development &amp; presentation; Recognition &amp; diagnosis; Social &amp; structural; Treatment &amp; support</x:v>
      </x:c>
      <x:c r="G1893" s="28" t="str">
        <x:v>Adulthood</x:v>
      </x:c>
      <x:c r="H1893" s="28" t="str">
        <x:v>Later specialized</x:v>
      </x:c>
      <x:c r="I1893" s="28" t="str">
        <x:v>Direct or strongly ADHD-related record retained for later screening; typically narrower treatment, biomarker, mechanistic, or single-comorbidity focus.</x:v>
      </x:c>
      <x:c r="J1893" s="38" t="e">
        <x:f>HYPERLINK("https://pubmed.ncbi.nlm.nih.gov/"&amp;C1893&amp;"/","Open PubMed")</x:f>
        <x:v>HYPERLINK is not implemented. linkLocation=https://pubmed.ncbi.nlm.nih.gov/42228911/, friendlyName=Open PubMed</x:v>
      </x:c>
    </x:row>
    <x:row r="1894">
      <x:c r="A1894" s="26" t="str">
        <x:v>PUBMED-42321759</x:v>
      </x:c>
      <x:c r="B1894" s="26" t="n">
        <x:v>2026</x:v>
      </x:c>
      <x:c r="C1894" s="26" t="str">
        <x:v>42321759</x:v>
      </x:c>
      <x:c r="D1894" s="28" t="str">
        <x:v>Exploring central sensitization symptoms in children with ADHD and their parents: a case-control study.</x:v>
      </x:c>
      <x:c r="E1894" s="28" t="str">
        <x:v>Primary study - case-control</x:v>
      </x:c>
      <x:c r="F1894" s="28" t="str">
        <x:v>Development &amp; presentation; Recognition &amp; diagnosis; Family &amp; education; Social &amp; structural; Life outcomes &amp; lived experience</x:v>
      </x:c>
      <x:c r="G1894" s="28" t="str">
        <x:v>Childhood; Adolescence; Adulthood</x:v>
      </x:c>
      <x:c r="H1894" s="28" t="str">
        <x:v>Batch 1 core</x:v>
      </x:c>
      <x:c r="I1894" s="28" t="str">
        <x:v>Direct ADHD primary study on diagnosis, family/education, structural conditions, lived experience/outcomes, or environment/lifestyle.</x:v>
      </x:c>
      <x:c r="J1894" s="38" t="e">
        <x:f>HYPERLINK("https://pubmed.ncbi.nlm.nih.gov/"&amp;C1894&amp;"/","Open PubMed")</x:f>
        <x:v>HYPERLINK is not implemented. linkLocation=https://pubmed.ncbi.nlm.nih.gov/42321759/, friendlyName=Open PubMed</x:v>
      </x:c>
    </x:row>
    <x:row r="1895">
      <x:c r="A1895" s="26" t="str">
        <x:v>PUBMED-42433086</x:v>
      </x:c>
      <x:c r="B1895" s="26" t="n">
        <x:v>2026</x:v>
      </x:c>
      <x:c r="C1895" s="26" t="str">
        <x:v>42433086</x:v>
      </x:c>
      <x:c r="D1895" s="28" t="str">
        <x:v>Adverse Childhood Experiences and Social Determinants of Health Phenotypes Among Individuals Seeking Neuropsychological Evaluation for Attention-Deficit/Hyperactivity Disorder: A Latent Profile Analysis.</x:v>
      </x:c>
      <x:c r="E1895" s="28" t="str">
        <x:v>Primary/contextual journal article</x:v>
      </x:c>
      <x:c r="F1895" s="28" t="str">
        <x:v>Development &amp; presentation; Recognition &amp; diagnosis; Family &amp; education; Social &amp; structural; Environmental &amp; lifestyle; Treatment &amp; support</x:v>
      </x:c>
      <x:c r="G1895" s="28" t="str">
        <x:v>Childhood; Adulthood</x:v>
      </x:c>
      <x:c r="H1895" s="28" t="str">
        <x:v>Later specialized</x:v>
      </x:c>
      <x:c r="I1895" s="28" t="str">
        <x:v>Direct or strongly ADHD-related record retained for later screening; typically narrower treatment, biomarker, mechanistic, or single-comorbidity focus.</x:v>
      </x:c>
      <x:c r="J1895" s="38" t="e">
        <x:f>HYPERLINK("https://pubmed.ncbi.nlm.nih.gov/"&amp;C1895&amp;"/","Open PubMed")</x:f>
        <x:v>HYPERLINK is not implemented. linkLocation=https://pubmed.ncbi.nlm.nih.gov/42433086/, friendlyName=Open PubMed</x:v>
      </x:c>
    </x:row>
    <x:row r="1896">
      <x:c r="A1896" s="26" t="str">
        <x:v>PUBMED-42501447</x:v>
      </x:c>
      <x:c r="B1896" s="26" t="n">
        <x:v>2026</x:v>
      </x:c>
      <x:c r="C1896" s="26" t="str">
        <x:v>42501447</x:v>
      </x:c>
      <x:c r="D1896" s="28" t="str">
        <x:v>WISC-V cognitive profiles in ADHD, SLD, and ADHD-SLD comorbidity: Overlap, dimensional associations, and limited discriminative utility.</x:v>
      </x:c>
      <x:c r="E1896" s="28" t="str">
        <x:v>Primary study - case-control</x:v>
      </x:c>
      <x:c r="F1896" s="28" t="str">
        <x:v>Development &amp; presentation; Recognition &amp; diagnosis; Social &amp; structural</x:v>
      </x:c>
      <x:c r="G1896" s="28" t="str">
        <x:v>Childhood; Adolescence</x:v>
      </x:c>
      <x:c r="H1896" s="28" t="str">
        <x:v>Later specialized</x:v>
      </x:c>
      <x:c r="I1896" s="28" t="str">
        <x:v>Direct or strongly ADHD-related record retained for later screening; typically narrower treatment, biomarker, mechanistic, or single-comorbidity focus.</x:v>
      </x:c>
      <x:c r="J1896" s="38" t="e">
        <x:f>HYPERLINK("https://pubmed.ncbi.nlm.nih.gov/"&amp;C1896&amp;"/","Open PubMed")</x:f>
        <x:v>HYPERLINK is not implemented. linkLocation=https://pubmed.ncbi.nlm.nih.gov/42501447/, friendlyName=Open PubMed</x:v>
      </x:c>
    </x:row>
    <x:row r="1897">
      <x:c r="A1897" s="26" t="str">
        <x:v>PUBMED-42392069</x:v>
      </x:c>
      <x:c r="B1897" s="26" t="n">
        <x:v>2026</x:v>
      </x:c>
      <x:c r="C1897" s="26" t="str">
        <x:v>42392069</x:v>
      </x:c>
      <x:c r="D1897" s="28" t="str">
        <x:v>Sub-second fluctuations between top-down and bottom-up modes distinguish diverse human brain states.</x:v>
      </x:c>
      <x:c r="E1897" s="28" t="str">
        <x:v>Primary/contextual journal article</x:v>
      </x:c>
      <x:c r="F1897" s="28" t="str">
        <x:v>Development &amp; presentation; Social &amp; structural; Environmental &amp; lifestyle; Life outcomes &amp; lived experience</x:v>
      </x:c>
      <x:c r="G1897" s="28" t="str">
        <x:v>Not specified</x:v>
      </x:c>
      <x:c r="H1897" s="28" t="str">
        <x:v>Later specialized</x:v>
      </x:c>
      <x:c r="I1897" s="28" t="str">
        <x:v>Direct or strongly ADHD-related record retained for later screening; typically narrower treatment, biomarker, mechanistic, or single-comorbidity focus.</x:v>
      </x:c>
      <x:c r="J1897" s="38" t="e">
        <x:f>HYPERLINK("https://pubmed.ncbi.nlm.nih.gov/"&amp;C1897&amp;"/","Open PubMed")</x:f>
        <x:v>HYPERLINK is not implemented. linkLocation=https://pubmed.ncbi.nlm.nih.gov/42392069/, friendlyName=Open PubMed</x:v>
      </x:c>
    </x:row>
    <x:row r="1898">
      <x:c r="A1898" s="26" t="str">
        <x:v>PUBMED-42001626</x:v>
      </x:c>
      <x:c r="B1898" s="26" t="n">
        <x:v>2026</x:v>
      </x:c>
      <x:c r="C1898" s="26" t="str">
        <x:v>42001626</x:v>
      </x:c>
      <x:c r="D1898" s="28" t="str">
        <x:v>Comorbidity-aware transfer learning for neuro-developmental disorder diagnosis.</x:v>
      </x:c>
      <x:c r="E1898" s="28" t="str">
        <x:v>Primary/contextual journal article</x:v>
      </x:c>
      <x:c r="F1898" s="28" t="str">
        <x:v>Development &amp; presentation; Recognition &amp; diagnosis; Social &amp; structural; Life outcomes &amp; lived experience</x:v>
      </x:c>
      <x:c r="G1898" s="28" t="str">
        <x:v>Not specified</x:v>
      </x:c>
      <x:c r="H1898" s="28" t="str">
        <x:v>Exclude/incidental</x:v>
      </x:c>
      <x:c r="I1898" s="28" t="str">
        <x:v>ADHD appears peripheral or insufficiently aligned with the requested corpus scope based on accessible metadata/abstract.</x:v>
      </x:c>
      <x:c r="J1898" s="38" t="e">
        <x:f>HYPERLINK("https://pubmed.ncbi.nlm.nih.gov/"&amp;C1898&amp;"/","Open PubMed")</x:f>
        <x:v>HYPERLINK is not implemented. linkLocation=https://pubmed.ncbi.nlm.nih.gov/42001626/, friendlyName=Open PubMed</x:v>
      </x:c>
    </x:row>
    <x:row r="1899">
      <x:c r="A1899" s="26" t="str">
        <x:v>PUBMED-42048504</x:v>
      </x:c>
      <x:c r="B1899" s="26" t="n">
        <x:v>2026</x:v>
      </x:c>
      <x:c r="C1899" s="26" t="str">
        <x:v>42048504</x:v>
      </x:c>
      <x:c r="D1899" s="28" t="str">
        <x:v>Effective interventions used by preschool teachers to develop executive functions in preschoolers with attention difficulties.</x:v>
      </x:c>
      <x:c r="E1899" s="28" t="str">
        <x:v>Primary study - qualitative</x:v>
      </x:c>
      <x:c r="F1899" s="28" t="str">
        <x:v>Development &amp; presentation; Family &amp; education; Social &amp; structural; Treatment &amp; support; Life outcomes &amp; lived experience</x:v>
      </x:c>
      <x:c r="G1899" s="28" t="str">
        <x:v>Childhood</x:v>
      </x:c>
      <x:c r="H1899" s="28" t="str">
        <x:v>Later specialized</x:v>
      </x:c>
      <x:c r="I1899" s="28" t="str">
        <x:v>Direct or strongly ADHD-related record retained for later screening; typically narrower treatment, biomarker, mechanistic, or single-comorbidity focus.</x:v>
      </x:c>
      <x:c r="J1899" s="38" t="e">
        <x:f>HYPERLINK("https://pubmed.ncbi.nlm.nih.gov/"&amp;C1899&amp;"/","Open PubMed")</x:f>
        <x:v>HYPERLINK is not implemented. linkLocation=https://pubmed.ncbi.nlm.nih.gov/42048504/, friendlyName=Open PubMed</x:v>
      </x:c>
    </x:row>
    <x:row r="1900">
      <x:c r="A1900" s="26" t="str">
        <x:v>PUBMED-42098712</x:v>
      </x:c>
      <x:c r="B1900" s="26" t="n">
        <x:v>2026</x:v>
      </x:c>
      <x:c r="C1900" s="26" t="str">
        <x:v>42098712</x:v>
      </x:c>
      <x:c r="D1900" s="28" t="str">
        <x:v>Discovery of urinary metabolite biomarkers of psychiatric disorders using two-sample Mendelian randomization.</x:v>
      </x:c>
      <x:c r="E1900" s="28" t="str">
        <x:v>Primary study - cohort</x:v>
      </x:c>
      <x:c r="F1900" s="28" t="str">
        <x:v>Development &amp; presentation; Recognition &amp; diagnosis; Social &amp; structural</x:v>
      </x:c>
      <x:c r="G1900" s="28" t="str">
        <x:v>Not specified</x:v>
      </x:c>
      <x:c r="H1900" s="28" t="str">
        <x:v>Exclude/incidental</x:v>
      </x:c>
      <x:c r="I1900" s="28" t="str">
        <x:v>ADHD appears peripheral or insufficiently aligned with the requested corpus scope based on accessible metadata/abstract.</x:v>
      </x:c>
      <x:c r="J1900" s="38" t="e">
        <x:f>HYPERLINK("https://pubmed.ncbi.nlm.nih.gov/"&amp;C1900&amp;"/","Open PubMed")</x:f>
        <x:v>HYPERLINK is not implemented. linkLocation=https://pubmed.ncbi.nlm.nih.gov/42098712/, friendlyName=Open PubMed</x:v>
      </x:c>
    </x:row>
    <x:row r="1901">
      <x:c r="A1901" s="26" t="str">
        <x:v>PUBMED-42262942</x:v>
      </x:c>
      <x:c r="B1901" s="26" t="n">
        <x:v>2026</x:v>
      </x:c>
      <x:c r="C1901" s="26" t="str">
        <x:v>42262942</x:v>
      </x:c>
      <x:c r="D1901" s="28" t="str">
        <x:v>Brain Connectivity Mediates Heartbeat-Evoked Potential Alterations Between Children With ADHD and Comorbid ADHD-ASD.</x:v>
      </x:c>
      <x:c r="E1901" s="28" t="str">
        <x:v>Primary study - cohort</x:v>
      </x:c>
      <x:c r="F1901" s="28" t="str">
        <x:v>Development &amp; presentation; Recognition &amp; diagnosis; Social &amp; structural</x:v>
      </x:c>
      <x:c r="G1901" s="28" t="str">
        <x:v>Childhood</x:v>
      </x:c>
      <x:c r="H1901" s="28" t="str">
        <x:v>Later specialized</x:v>
      </x:c>
      <x:c r="I1901" s="28" t="str">
        <x:v>Direct or strongly ADHD-related record retained for later screening; typically narrower treatment, biomarker, mechanistic, or single-comorbidity focus.</x:v>
      </x:c>
      <x:c r="J1901" s="38" t="e">
        <x:f>HYPERLINK("https://pubmed.ncbi.nlm.nih.gov/"&amp;C1901&amp;"/","Open PubMed")</x:f>
        <x:v>HYPERLINK is not implemented. linkLocation=https://pubmed.ncbi.nlm.nih.gov/42262942/, friendlyName=Open PubMed</x:v>
      </x:c>
    </x:row>
    <x:row r="1902">
      <x:c r="A1902" s="26" t="str">
        <x:v>PUBMED-42044620</x:v>
      </x:c>
      <x:c r="B1902" s="26" t="n">
        <x:v>2026</x:v>
      </x:c>
      <x:c r="C1902" s="26" t="str">
        <x:v>42044620</x:v>
      </x:c>
      <x:c r="D1902" s="28" t="str">
        <x:v>Sequential comparison of frequency modulations is more difficult for children and adolescents with ADHD.</x:v>
      </x:c>
      <x:c r="E1902" s="28" t="str">
        <x:v>Primary study - case-control</x:v>
      </x:c>
      <x:c r="F1902" s="28" t="str">
        <x:v>Development &amp; presentation; Recognition &amp; diagnosis; Social &amp; structural; Treatment &amp; support</x:v>
      </x:c>
      <x:c r="G1902" s="28" t="str">
        <x:v>Childhood; Adolescence</x:v>
      </x:c>
      <x:c r="H1902" s="28" t="str">
        <x:v>Later specialized</x:v>
      </x:c>
      <x:c r="I1902" s="28" t="str">
        <x:v>Direct or strongly ADHD-related record retained for later screening; typically narrower treatment, biomarker, mechanistic, or single-comorbidity focus.</x:v>
      </x:c>
      <x:c r="J1902" s="38" t="e">
        <x:f>HYPERLINK("https://pubmed.ncbi.nlm.nih.gov/"&amp;C1902&amp;"/","Open PubMed")</x:f>
        <x:v>HYPERLINK is not implemented. linkLocation=https://pubmed.ncbi.nlm.nih.gov/42044620/, friendlyName=Open PubMed</x:v>
      </x:c>
    </x:row>
    <x:row r="1903">
      <x:c r="A1903" s="26" t="str">
        <x:v>PUBMED-42184469</x:v>
      </x:c>
      <x:c r="B1903" s="26" t="n">
        <x:v>2026</x:v>
      </x:c>
      <x:c r="C1903" s="26" t="str">
        <x:v>42184469</x:v>
      </x:c>
      <x:c r="D1903" s="28" t="str">
        <x:v>Altered temporal organization of neural response dynamics during attention processing differentiates ADHD subtypes in children.</x:v>
      </x:c>
      <x:c r="E1903" s="28" t="str">
        <x:v>Primary/contextual journal article</x:v>
      </x:c>
      <x:c r="F1903" s="28" t="str">
        <x:v>Development &amp; presentation; Social &amp; structural; Treatment &amp; support</x:v>
      </x:c>
      <x:c r="G1903" s="28" t="str">
        <x:v>Childhood; Adolescence</x:v>
      </x:c>
      <x:c r="H1903" s="28" t="str">
        <x:v>Later specialized</x:v>
      </x:c>
      <x:c r="I1903" s="28" t="str">
        <x:v>Direct or strongly ADHD-related record retained for later screening; typically narrower treatment, biomarker, mechanistic, or single-comorbidity focus.</x:v>
      </x:c>
      <x:c r="J1903" s="38" t="e">
        <x:f>HYPERLINK("https://pubmed.ncbi.nlm.nih.gov/"&amp;C1903&amp;"/","Open PubMed")</x:f>
        <x:v>HYPERLINK is not implemented. linkLocation=https://pubmed.ncbi.nlm.nih.gov/42184469/, friendlyName=Open PubMed</x:v>
      </x:c>
    </x:row>
    <x:row r="1904">
      <x:c r="A1904" s="26" t="str">
        <x:v>PUBMED-41933478</x:v>
      </x:c>
      <x:c r="B1904" s="26" t="n">
        <x:v>2026</x:v>
      </x:c>
      <x:c r="C1904" s="26" t="str">
        <x:v>41933478</x:v>
      </x:c>
      <x:c r="D1904" s="28" t="str">
        <x:v>Grief, Relief, and Belief: A Social Media Study on Late Identification of Neurodivergence.</x:v>
      </x:c>
      <x:c r="E1904" s="28" t="str">
        <x:v>Primary study - qualitative</x:v>
      </x:c>
      <x:c r="F1904" s="28" t="str">
        <x:v>Development &amp; presentation; Recognition &amp; diagnosis; Environmental &amp; lifestyle; Life outcomes &amp; lived experience; Historical &amp; contemporary context</x:v>
      </x:c>
      <x:c r="G1904" s="28" t="str">
        <x:v>Adulthood</x:v>
      </x:c>
      <x:c r="H1904" s="28" t="str">
        <x:v>Later specialized</x:v>
      </x:c>
      <x:c r="I1904" s="28" t="str">
        <x:v>Direct or strongly ADHD-related record retained for later screening; typically narrower treatment, biomarker, mechanistic, or single-comorbidity focus.</x:v>
      </x:c>
      <x:c r="J1904" s="38" t="e">
        <x:f>HYPERLINK("https://pubmed.ncbi.nlm.nih.gov/"&amp;C1904&amp;"/","Open PubMed")</x:f>
        <x:v>HYPERLINK is not implemented. linkLocation=https://pubmed.ncbi.nlm.nih.gov/41933478/, friendlyName=Open PubMed</x:v>
      </x:c>
    </x:row>
    <x:row r="1905">
      <x:c r="A1905" s="26" t="str">
        <x:v>PUBMED-41968283</x:v>
      </x:c>
      <x:c r="B1905" s="26" t="n">
        <x:v>2026</x:v>
      </x:c>
      <x:c r="C1905" s="26" t="str">
        <x:v>41968283</x:v>
      </x:c>
      <x:c r="D1905" s="28" t="str">
        <x:v>Disordered Eating Behaviors Among U.S. Children With Neuropsychiatric Conditions: A Nationally Representative Study.</x:v>
      </x:c>
      <x:c r="E1905" s="28" t="str">
        <x:v>Primary/contextual journal article</x:v>
      </x:c>
      <x:c r="F1905" s="28" t="str">
        <x:v>Development &amp; presentation; Recognition &amp; diagnosis; Family &amp; education; Social &amp; structural; Environmental &amp; lifestyle; Treatment &amp; support</x:v>
      </x:c>
      <x:c r="G1905" s="28" t="str">
        <x:v>Childhood; Adolescence</x:v>
      </x:c>
      <x:c r="H1905" s="28" t="str">
        <x:v>Later specialized</x:v>
      </x:c>
      <x:c r="I1905" s="28" t="str">
        <x:v>Direct or strongly ADHD-related record retained for later screening; typically narrower treatment, biomarker, mechanistic, or single-comorbidity focus.</x:v>
      </x:c>
      <x:c r="J1905" s="38" t="e">
        <x:f>HYPERLINK("https://pubmed.ncbi.nlm.nih.gov/"&amp;C1905&amp;"/","Open PubMed")</x:f>
        <x:v>HYPERLINK is not implemented. linkLocation=https://pubmed.ncbi.nlm.nih.gov/41968283/, friendlyName=Open PubMed</x:v>
      </x:c>
    </x:row>
    <x:row r="1906">
      <x:c r="A1906" s="26" t="str">
        <x:v>PUBMED-42691943</x:v>
      </x:c>
      <x:c r="B1906" s="26" t="n">
        <x:v>2026</x:v>
      </x:c>
      <x:c r="C1906" s="26" t="str">
        <x:v>42691943</x:v>
      </x:c>
      <x:c r="D1906" s="28" t="str">
        <x:v>Childhood white matter organization predicts adolescent internalizing problems among youth with and without ADHD.</x:v>
      </x:c>
      <x:c r="E1906" s="28" t="str">
        <x:v>Primary/contextual journal article</x:v>
      </x:c>
      <x:c r="F1906" s="28" t="str">
        <x:v>Development &amp; presentation; Recognition &amp; diagnosis; Family &amp; education; Social &amp; structural; Treatment &amp; support; Life outcomes &amp; lived experience</x:v>
      </x:c>
      <x:c r="G1906" s="28" t="str">
        <x:v>Childhood; Adolescence</x:v>
      </x:c>
      <x:c r="H1906" s="28" t="str">
        <x:v>Later specialized</x:v>
      </x:c>
      <x:c r="I1906" s="28" t="str">
        <x:v>Direct or strongly ADHD-related record retained for later screening; typically narrower treatment, biomarker, mechanistic, or single-comorbidity focus.</x:v>
      </x:c>
      <x:c r="J1906" s="38" t="e">
        <x:f>HYPERLINK("https://pubmed.ncbi.nlm.nih.gov/"&amp;C1906&amp;"/","Open PubMed")</x:f>
        <x:v>HYPERLINK is not implemented. linkLocation=https://pubmed.ncbi.nlm.nih.gov/42691943/, friendlyName=Open PubMed</x:v>
      </x:c>
    </x:row>
    <x:row r="1907">
      <x:c r="A1907" s="26" t="str">
        <x:v>PUBMED-42249890</x:v>
      </x:c>
      <x:c r="B1907" s="26" t="n">
        <x:v>2026</x:v>
      </x:c>
      <x:c r="C1907" s="26" t="str">
        <x:v>42249890</x:v>
      </x:c>
      <x:c r="D1907" s="28" t="str">
        <x:v>Cognitive disengagement syndrome has a contributory role in the association between inattention and eveningness chronotype in children and adolescents with ADHD.</x:v>
      </x:c>
      <x:c r="E1907" s="28" t="str">
        <x:v>Primary/contextual journal article</x:v>
      </x:c>
      <x:c r="F1907" s="28" t="str">
        <x:v>Development &amp; presentation; Recognition &amp; diagnosis; Family &amp; education; Social &amp; structural; Environmental &amp; lifestyle; Treatment &amp; support</x:v>
      </x:c>
      <x:c r="G1907" s="28" t="str">
        <x:v>Childhood; Adolescence</x:v>
      </x:c>
      <x:c r="H1907" s="28" t="str">
        <x:v>Later specialized</x:v>
      </x:c>
      <x:c r="I1907" s="28" t="str">
        <x:v>Direct or strongly ADHD-related record retained for later screening; typically narrower treatment, biomarker, mechanistic, or single-comorbidity focus.</x:v>
      </x:c>
      <x:c r="J1907" s="38" t="e">
        <x:f>HYPERLINK("https://pubmed.ncbi.nlm.nih.gov/"&amp;C1907&amp;"/","Open PubMed")</x:f>
        <x:v>HYPERLINK is not implemented. linkLocation=https://pubmed.ncbi.nlm.nih.gov/42249890/, friendlyName=Open PubMed</x:v>
      </x:c>
    </x:row>
    <x:row r="1908">
      <x:c r="A1908" s="26" t="str">
        <x:v>PUBMED-42314032</x:v>
      </x:c>
      <x:c r="B1908" s="26" t="n">
        <x:v>2026</x:v>
      </x:c>
      <x:c r="C1908" s="26" t="str">
        <x:v>42314032</x:v>
      </x:c>
      <x:c r="D1908" s="28" t="str">
        <x:v>Parent Profiles as Predictors of Emotion Dysregulation in Adolescence: Comparing Youth With and Without ADHD.</x:v>
      </x:c>
      <x:c r="E1908" s="28" t="str">
        <x:v>Primary/contextual journal article</x:v>
      </x:c>
      <x:c r="F1908" s="28" t="str">
        <x:v>Development &amp; presentation; Recognition &amp; diagnosis; Family &amp; education; Social &amp; structural; Life outcomes &amp; lived experience; Historical &amp; contemporary context</x:v>
      </x:c>
      <x:c r="G1908" s="28" t="str">
        <x:v>Childhood; Adolescence</x:v>
      </x:c>
      <x:c r="H1908" s="28" t="str">
        <x:v>Later specialized</x:v>
      </x:c>
      <x:c r="I1908" s="28" t="str">
        <x:v>Direct or strongly ADHD-related record retained for later screening; typically narrower treatment, biomarker, mechanistic, or single-comorbidity focus.</x:v>
      </x:c>
      <x:c r="J1908" s="38" t="e">
        <x:f>HYPERLINK("https://pubmed.ncbi.nlm.nih.gov/"&amp;C1908&amp;"/","Open PubMed")</x:f>
        <x:v>HYPERLINK is not implemented. linkLocation=https://pubmed.ncbi.nlm.nih.gov/42314032/, friendlyName=Open PubMed</x:v>
      </x:c>
    </x:row>
    <x:row r="1909">
      <x:c r="A1909" s="26" t="str">
        <x:v>PUBMED-42594791</x:v>
      </x:c>
      <x:c r="B1909" s="26" t="n">
        <x:v>2026</x:v>
      </x:c>
      <x:c r="C1909" s="26" t="str">
        <x:v>42594791</x:v>
      </x:c>
      <x:c r="D1909" s="28" t="str">
        <x:v>The effect of tDCS on emotion-related risk-taking behavior and delay discounting in adults with ADHD.</x:v>
      </x:c>
      <x:c r="E1909" s="28" t="str">
        <x:v>Primary study - randomized controlled trial</x:v>
      </x:c>
      <x:c r="F1909" s="28" t="str">
        <x:v>Development &amp; presentation; Treatment &amp; support</x:v>
      </x:c>
      <x:c r="G1909" s="28" t="str">
        <x:v>Adulthood</x:v>
      </x:c>
      <x:c r="H1909" s="28" t="str">
        <x:v>Later specialized</x:v>
      </x:c>
      <x:c r="I1909" s="28" t="str">
        <x:v>Direct or strongly ADHD-related record retained for later screening; typically narrower treatment, biomarker, mechanistic, or single-comorbidity focus.</x:v>
      </x:c>
      <x:c r="J1909" s="38" t="e">
        <x:f>HYPERLINK("https://pubmed.ncbi.nlm.nih.gov/"&amp;C1909&amp;"/","Open PubMed")</x:f>
        <x:v>HYPERLINK is not implemented. linkLocation=https://pubmed.ncbi.nlm.nih.gov/42594791/, friendlyName=Open PubMed</x:v>
      </x:c>
    </x:row>
    <x:row r="1910">
      <x:c r="A1910" s="26" t="str">
        <x:v>PUBMED-42743170</x:v>
      </x:c>
      <x:c r="B1910" s="26" t="n">
        <x:v>2026</x:v>
      </x:c>
      <x:c r="C1910" s="26" t="str">
        <x:v>42743170</x:v>
      </x:c>
      <x:c r="D1910" s="28" t="str">
        <x:v>Differences in resilience, hope, and sense of coherence among adolescents with ADHD/DCD, co-occurring ADHD and DCD, and typically developing adolescents.</x:v>
      </x:c>
      <x:c r="E1910" s="28" t="str">
        <x:v>Primary/contextual journal article</x:v>
      </x:c>
      <x:c r="F1910" s="28" t="str">
        <x:v>Development &amp; presentation; Recognition &amp; diagnosis; Social &amp; structural</x:v>
      </x:c>
      <x:c r="G1910" s="28" t="str">
        <x:v>Childhood; Adolescence</x:v>
      </x:c>
      <x:c r="H1910" s="28" t="str">
        <x:v>Later specialized</x:v>
      </x:c>
      <x:c r="I1910" s="28" t="str">
        <x:v>Direct or strongly ADHD-related record retained for later screening; typically narrower treatment, biomarker, mechanistic, or single-comorbidity focus.</x:v>
      </x:c>
      <x:c r="J1910" s="38" t="e">
        <x:f>HYPERLINK("https://pubmed.ncbi.nlm.nih.gov/"&amp;C1910&amp;"/","Open PubMed")</x:f>
        <x:v>HYPERLINK is not implemented. linkLocation=https://pubmed.ncbi.nlm.nih.gov/42743170/, friendlyName=Open PubMed</x:v>
      </x:c>
    </x:row>
    <x:row r="1911">
      <x:c r="A1911" s="26" t="str">
        <x:v>PUBMED-42661613</x:v>
      </x:c>
      <x:c r="B1911" s="26" t="n">
        <x:v>2026</x:v>
      </x:c>
      <x:c r="C1911" s="26" t="str">
        <x:v>42661613</x:v>
      </x:c>
      <x:c r="D1911" s="28" t="str">
        <x:v>ADHD-anchored partitioning of non-small cell lung cancer genetic covariance identifies CLPTM1L and suggestive innate-immune signals.</x:v>
      </x:c>
      <x:c r="E1911" s="28" t="str">
        <x:v>Primary/contextual journal article</x:v>
      </x:c>
      <x:c r="F1911" s="28" t="str">
        <x:v>Development &amp; presentation; Recognition &amp; diagnosis; Social &amp; structural; Environmental &amp; lifestyle; Treatment &amp; support</x:v>
      </x:c>
      <x:c r="G1911" s="28" t="str">
        <x:v>Not specified</x:v>
      </x:c>
      <x:c r="H1911" s="28" t="str">
        <x:v>Later specialized</x:v>
      </x:c>
      <x:c r="I1911" s="28" t="str">
        <x:v>Direct or strongly ADHD-related record retained for later screening; typically narrower treatment, biomarker, mechanistic, or single-comorbidity focus.</x:v>
      </x:c>
      <x:c r="J1911" s="38" t="e">
        <x:f>HYPERLINK("https://pubmed.ncbi.nlm.nih.gov/"&amp;C1911&amp;"/","Open PubMed")</x:f>
        <x:v>HYPERLINK is not implemented. linkLocation=https://pubmed.ncbi.nlm.nih.gov/42661613/, friendlyName=Open PubMed</x:v>
      </x:c>
    </x:row>
    <x:row r="1912">
      <x:c r="A1912" s="26" t="str">
        <x:v>PUBMED-42334100</x:v>
      </x:c>
      <x:c r="B1912" s="26" t="n">
        <x:v>2026</x:v>
      </x:c>
      <x:c r="C1912" s="26" t="str">
        <x:v>42334100</x:v>
      </x:c>
      <x:c r="D1912" s="28" t="str">
        <x:v>Stigmatising Attitudes Towards People With Depression, Bipolar Disorder, Borderline Personality, ADHD and Early and Long-Term/Untreated Schizophrenia: Representative Survey of Australian Adults.</x:v>
      </x:c>
      <x:c r="E1912" s="28" t="str">
        <x:v>Primary study - cross-sectional</x:v>
      </x:c>
      <x:c r="F1912" s="28" t="str">
        <x:v>Development &amp; presentation; Family &amp; education; Social &amp; structural; Treatment &amp; support; Life outcomes &amp; lived experience; Historical &amp; contemporary context</x:v>
      </x:c>
      <x:c r="G1912" s="28" t="str">
        <x:v>Adolescence; Adulthood</x:v>
      </x:c>
      <x:c r="H1912" s="28" t="str">
        <x:v>Batch 1 core</x:v>
      </x:c>
      <x:c r="I1912" s="28" t="str">
        <x:v>Direct ADHD primary study on diagnosis, family/education, structural conditions, lived experience/outcomes, or environment/lifestyle.</x:v>
      </x:c>
      <x:c r="J1912" s="38" t="e">
        <x:f>HYPERLINK("https://pubmed.ncbi.nlm.nih.gov/"&amp;C1912&amp;"/","Open PubMed")</x:f>
        <x:v>HYPERLINK is not implemented. linkLocation=https://pubmed.ncbi.nlm.nih.gov/42334100/, friendlyName=Open PubMed</x:v>
      </x:c>
    </x:row>
    <x:row r="1913">
      <x:c r="A1913" s="26" t="str">
        <x:v>PUBMED-42178670</x:v>
      </x:c>
      <x:c r="B1913" s="26" t="n">
        <x:v>2026</x:v>
      </x:c>
      <x:c r="C1913" s="26" t="str">
        <x:v>42178670</x:v>
      </x:c>
      <x:c r="D1913" s="28" t="str">
        <x:v>Parental Knowledge and Recognition of Preschool Manifestations of ADHD in Preterm Children: A Cross-Sectional Study.</x:v>
      </x:c>
      <x:c r="E1913" s="28" t="str">
        <x:v>Primary study - cross-sectional</x:v>
      </x:c>
      <x:c r="F1913" s="28" t="str">
        <x:v>Development &amp; presentation; Recognition &amp; diagnosis; Family &amp; education; Social &amp; structural; Environmental &amp; lifestyle; Life outcomes &amp; lived experience; Historical &amp; contemporary context</x:v>
      </x:c>
      <x:c r="G1913" s="28" t="str">
        <x:v>Childhood; Adulthood</x:v>
      </x:c>
      <x:c r="H1913" s="28" t="str">
        <x:v>Batch 1 core</x:v>
      </x:c>
      <x:c r="I1913" s="28" t="str">
        <x:v>Direct ADHD primary study on diagnosis, family/education, structural conditions, lived experience/outcomes, or environment/lifestyle.</x:v>
      </x:c>
      <x:c r="J1913" s="38" t="e">
        <x:f>HYPERLINK("https://pubmed.ncbi.nlm.nih.gov/"&amp;C1913&amp;"/","Open PubMed")</x:f>
        <x:v>HYPERLINK is not implemented. linkLocation=https://pubmed.ncbi.nlm.nih.gov/42178670/, friendlyName=Open PubMed</x:v>
      </x:c>
    </x:row>
    <x:row r="1914">
      <x:c r="A1914" s="26" t="str">
        <x:v>PUBMED-42288104</x:v>
      </x:c>
      <x:c r="B1914" s="26" t="n">
        <x:v>2026</x:v>
      </x:c>
      <x:c r="C1914" s="26" t="str">
        <x:v>42288104</x:v>
      </x:c>
      <x:c r="D1914" s="28" t="str">
        <x:v>Subjective memory complaints in adults with epilepsy reflect affective and attentional processes rather than objective memory performance.</x:v>
      </x:c>
      <x:c r="E1914" s="28" t="str">
        <x:v>Primary/contextual journal article</x:v>
      </x:c>
      <x:c r="F1914" s="28" t="str">
        <x:v>Development &amp; presentation; Recognition &amp; diagnosis; Social &amp; structural; Life outcomes &amp; lived experience</x:v>
      </x:c>
      <x:c r="G1914" s="28" t="str">
        <x:v>Adolescence; Adulthood</x:v>
      </x:c>
      <x:c r="H1914" s="28" t="str">
        <x:v>Later specialized</x:v>
      </x:c>
      <x:c r="I1914" s="28" t="str">
        <x:v>Direct or strongly ADHD-related record retained for later screening; typically narrower treatment, biomarker, mechanistic, or single-comorbidity focus.</x:v>
      </x:c>
      <x:c r="J1914" s="38" t="e">
        <x:f>HYPERLINK("https://pubmed.ncbi.nlm.nih.gov/"&amp;C1914&amp;"/","Open PubMed")</x:f>
        <x:v>HYPERLINK is not implemented. linkLocation=https://pubmed.ncbi.nlm.nih.gov/42288104/, friendlyName=Open PubMed</x:v>
      </x:c>
    </x:row>
    <x:row r="1915">
      <x:c r="A1915" s="26" t="str">
        <x:v>PUBMED-42086172</x:v>
      </x:c>
      <x:c r="B1915" s="26" t="n">
        <x:v>2026</x:v>
      </x:c>
      <x:c r="C1915" s="26" t="str">
        <x:v>42086172</x:v>
      </x:c>
      <x:c r="D1915" s="28" t="str">
        <x:v>Altered pre-stimulus alpha dynamics index sustained attention difficulties in ADHD.</x:v>
      </x:c>
      <x:c r="E1915" s="28" t="str">
        <x:v>Primary/contextual journal article</x:v>
      </x:c>
      <x:c r="F1915" s="28" t="str">
        <x:v>Development &amp; presentation; Social &amp; structural; Treatment &amp; support</x:v>
      </x:c>
      <x:c r="G1915" s="28" t="str">
        <x:v>Adulthood</x:v>
      </x:c>
      <x:c r="H1915" s="28" t="str">
        <x:v>Later specialized</x:v>
      </x:c>
      <x:c r="I1915" s="28" t="str">
        <x:v>Direct or strongly ADHD-related record retained for later screening; typically narrower treatment, biomarker, mechanistic, or single-comorbidity focus.</x:v>
      </x:c>
      <x:c r="J1915" s="38" t="e">
        <x:f>HYPERLINK("https://pubmed.ncbi.nlm.nih.gov/"&amp;C1915&amp;"/","Open PubMed")</x:f>
        <x:v>HYPERLINK is not implemented. linkLocation=https://pubmed.ncbi.nlm.nih.gov/42086172/, friendlyName=Open PubMed</x:v>
      </x:c>
    </x:row>
    <x:row r="1916">
      <x:c r="A1916" s="26" t="str">
        <x:v>PUBMED-42726695</x:v>
      </x:c>
      <x:c r="B1916" s="26" t="n">
        <x:v>2026</x:v>
      </x:c>
      <x:c r="C1916" s="26" t="str">
        <x:v>42726695</x:v>
      </x:c>
      <x:c r="D1916" s="28" t="str">
        <x:v>What Provider Frequently Asked Questions Miss: Evaluating Unmet Attention-Deficit/Hyperactivity Disorder Information Needs Through Comparison of Online Community Posts Using Large Language Model-Assisted Semantic Analysis in a Mixed Methods Study.</x:v>
      </x:c>
      <x:c r="E1916" s="28" t="str">
        <x:v>Primary/contextual journal article</x:v>
      </x:c>
      <x:c r="F1916" s="28" t="str">
        <x:v>Development &amp; presentation; Recognition &amp; diagnosis; Family &amp; education; Social &amp; structural; Environmental &amp; lifestyle; Treatment &amp; support; Life outcomes &amp; lived experience; Historical &amp; contemporary context</x:v>
      </x:c>
      <x:c r="G1916" s="28" t="str">
        <x:v>Not specified</x:v>
      </x:c>
      <x:c r="H1916" s="28" t="str">
        <x:v>Later specialized</x:v>
      </x:c>
      <x:c r="I1916" s="28" t="str">
        <x:v>Direct or strongly ADHD-related record retained for later screening; typically narrower treatment, biomarker, mechanistic, or single-comorbidity focus.</x:v>
      </x:c>
      <x:c r="J1916" s="38" t="e">
        <x:f>HYPERLINK("https://pubmed.ncbi.nlm.nih.gov/"&amp;C1916&amp;"/","Open PubMed")</x:f>
        <x:v>HYPERLINK is not implemented. linkLocation=https://pubmed.ncbi.nlm.nih.gov/42726695/, friendlyName=Open PubMed</x:v>
      </x:c>
    </x:row>
    <x:row r="1917">
      <x:c r="A1917" s="26" t="str">
        <x:v>PUBMED-42475558</x:v>
      </x:c>
      <x:c r="B1917" s="26" t="n">
        <x:v>2026</x:v>
      </x:c>
      <x:c r="C1917" s="26" t="str">
        <x:v>42475558</x:v>
      </x:c>
      <x:c r="D1917" s="28" t="str">
        <x:v>When children shape their families: Evocative effects analysis of 40,000 trios from the Norwegian Mother, Father and Child Cohort Study.</x:v>
      </x:c>
      <x:c r="E1917" s="28" t="str">
        <x:v>Primary study - cohort</x:v>
      </x:c>
      <x:c r="F1917" s="28" t="str">
        <x:v>Development &amp; presentation; Family &amp; education; Social &amp; structural; Environmental &amp; lifestyle; Life outcomes &amp; lived experience</x:v>
      </x:c>
      <x:c r="G1917" s="28" t="str">
        <x:v>Childhood</x:v>
      </x:c>
      <x:c r="H1917" s="28" t="str">
        <x:v>Exclude/incidental</x:v>
      </x:c>
      <x:c r="I1917" s="28" t="str">
        <x:v>ADHD appears peripheral or insufficiently aligned with the requested corpus scope based on accessible metadata/abstract.</x:v>
      </x:c>
      <x:c r="J1917" s="38" t="e">
        <x:f>HYPERLINK("https://pubmed.ncbi.nlm.nih.gov/"&amp;C1917&amp;"/","Open PubMed")</x:f>
        <x:v>HYPERLINK is not implemented. linkLocation=https://pubmed.ncbi.nlm.nih.gov/42475558/, friendlyName=Open PubMed</x:v>
      </x:c>
    </x:row>
    <x:row r="1918">
      <x:c r="A1918" s="26" t="str">
        <x:v>PUBMED-42530992</x:v>
      </x:c>
      <x:c r="B1918" s="26" t="n">
        <x:v>2026</x:v>
      </x:c>
      <x:c r="C1918" s="26" t="str">
        <x:v>42530992</x:v>
      </x:c>
      <x:c r="D1918" s="28" t="str">
        <x:v>Does noncredible reporting moderate the relationship of executive functioning ratings to executive functioning tests, psychological symptoms, or functional impairment in adults seeking assessment for attention-deficit/hyperactivity disorder?</x:v>
      </x:c>
      <x:c r="E1918" s="28" t="str">
        <x:v>Primary/contextual journal article</x:v>
      </x:c>
      <x:c r="F1918" s="28" t="str">
        <x:v>Development &amp; presentation; Recognition &amp; diagnosis; Family &amp; education; Social &amp; structural; Environmental &amp; lifestyle; Treatment &amp; support; Life outcomes &amp; lived experience</x:v>
      </x:c>
      <x:c r="G1918" s="28" t="str">
        <x:v>Adolescence; Adulthood</x:v>
      </x:c>
      <x:c r="H1918" s="28" t="str">
        <x:v>Later specialized</x:v>
      </x:c>
      <x:c r="I1918" s="28" t="str">
        <x:v>Direct or strongly ADHD-related record retained for later screening; typically narrower treatment, biomarker, mechanistic, or single-comorbidity focus.</x:v>
      </x:c>
      <x:c r="J1918" s="38" t="e">
        <x:f>HYPERLINK("https://pubmed.ncbi.nlm.nih.gov/"&amp;C1918&amp;"/","Open PubMed")</x:f>
        <x:v>HYPERLINK is not implemented. linkLocation=https://pubmed.ncbi.nlm.nih.gov/42530992/, friendlyName=Open PubMed</x:v>
      </x:c>
    </x:row>
    <x:row r="1919">
      <x:c r="A1919" s="26" t="str">
        <x:v>PUBMED-42634126</x:v>
      </x:c>
      <x:c r="B1919" s="26" t="n">
        <x:v>2026</x:v>
      </x:c>
      <x:c r="C1919" s="26" t="str">
        <x:v>42634126</x:v>
      </x:c>
      <x:c r="D1919" s="28" t="str">
        <x:v>Real-World Evidence on Short-Term Weight Changes Following Methylphenidate Use in Pediatric Population: A Retrospective Study Using Common Data Model.</x:v>
      </x:c>
      <x:c r="E1919" s="28" t="str">
        <x:v>Primary study - cohort</x:v>
      </x:c>
      <x:c r="F1919" s="28" t="str">
        <x:v>Development &amp; presentation; Recognition &amp; diagnosis; Family &amp; education; Social &amp; structural; Treatment &amp; support; Life outcomes &amp; lived experience</x:v>
      </x:c>
      <x:c r="G1919" s="28" t="str">
        <x:v>Childhood; Adolescence</x:v>
      </x:c>
      <x:c r="H1919" s="28" t="str">
        <x:v>Exclude/incidental</x:v>
      </x:c>
      <x:c r="I1919" s="28" t="str">
        <x:v>ADHD appears peripheral or insufficiently aligned with the requested corpus scope based on accessible metadata/abstract.</x:v>
      </x:c>
      <x:c r="J1919" s="38" t="e">
        <x:f>HYPERLINK("https://pubmed.ncbi.nlm.nih.gov/"&amp;C1919&amp;"/","Open PubMed")</x:f>
        <x:v>HYPERLINK is not implemented. linkLocation=https://pubmed.ncbi.nlm.nih.gov/42634126/, friendlyName=Open PubMed</x:v>
      </x:c>
    </x:row>
    <x:row r="1920">
      <x:c r="A1920" s="26" t="str">
        <x:v>PUBMED-42496781</x:v>
      </x:c>
      <x:c r="B1920" s="26" t="n">
        <x:v>2026</x:v>
      </x:c>
      <x:c r="C1920" s="26" t="str">
        <x:v>42496781</x:v>
      </x:c>
      <x:c r="D1920" s="28" t="str">
        <x:v>ADHD and Student Grades in Children from the ABCD Study(®): A Twin and Siblings Study.</x:v>
      </x:c>
      <x:c r="E1920" s="28" t="str">
        <x:v>Primary/contextual journal article</x:v>
      </x:c>
      <x:c r="F1920" s="28" t="str">
        <x:v>Development &amp; presentation; Family &amp; education; Social &amp; structural; Life outcomes &amp; lived experience</x:v>
      </x:c>
      <x:c r="G1920" s="28" t="str">
        <x:v>Childhood; Adolescence</x:v>
      </x:c>
      <x:c r="H1920" s="28" t="str">
        <x:v>Later specialized</x:v>
      </x:c>
      <x:c r="I1920" s="28" t="str">
        <x:v>Direct or strongly ADHD-related record retained for later screening; typically narrower treatment, biomarker, mechanistic, or single-comorbidity focus.</x:v>
      </x:c>
      <x:c r="J1920" s="38" t="e">
        <x:f>HYPERLINK("https://pubmed.ncbi.nlm.nih.gov/"&amp;C1920&amp;"/","Open PubMed")</x:f>
        <x:v>HYPERLINK is not implemented. linkLocation=https://pubmed.ncbi.nlm.nih.gov/42496781/, friendlyName=Open PubMed</x:v>
      </x:c>
    </x:row>
    <x:row r="1921">
      <x:c r="A1921" s="26" t="str">
        <x:v>PUBMED-42437387</x:v>
      </x:c>
      <x:c r="B1921" s="26" t="n">
        <x:v>2026</x:v>
      </x:c>
      <x:c r="C1921" s="26" t="str">
        <x:v>42437387</x:v>
      </x:c>
      <x:c r="D1921" s="28" t="str">
        <x:v>Differences between early-diagnosed and late-diagnosed ADHD: a follow-up study of former adolescent psychiatric inpatients.</x:v>
      </x:c>
      <x:c r="E1921" s="28" t="str">
        <x:v>Primary/contextual journal article</x:v>
      </x:c>
      <x:c r="F1921" s="28" t="str">
        <x:v>Development &amp; presentation; Recognition &amp; diagnosis; Family &amp; education; Social &amp; structural; Life outcomes &amp; lived experience</x:v>
      </x:c>
      <x:c r="G1921" s="28" t="str">
        <x:v>Adolescence</x:v>
      </x:c>
      <x:c r="H1921" s="28" t="str">
        <x:v>Later specialized</x:v>
      </x:c>
      <x:c r="I1921" s="28" t="str">
        <x:v>Direct or strongly ADHD-related record retained for later screening; typically narrower treatment, biomarker, mechanistic, or single-comorbidity focus.</x:v>
      </x:c>
      <x:c r="J1921" s="38" t="e">
        <x:f>HYPERLINK("https://pubmed.ncbi.nlm.nih.gov/"&amp;C1921&amp;"/","Open PubMed")</x:f>
        <x:v>HYPERLINK is not implemented. linkLocation=https://pubmed.ncbi.nlm.nih.gov/42437387/, friendlyName=Open PubMed</x:v>
      </x:c>
    </x:row>
    <x:row r="1922">
      <x:c r="A1922" s="26" t="str">
        <x:v>PUBMED-42343461</x:v>
      </x:c>
      <x:c r="B1922" s="26" t="n">
        <x:v>2026</x:v>
      </x:c>
      <x:c r="C1922" s="26" t="str">
        <x:v>42343461</x:v>
      </x:c>
      <x:c r="D1922" s="28" t="str">
        <x:v>Lead exposure and risk of ADHD and conduct disorders in children: evidence from a retrospective cohort in Philadelphia, PA.</x:v>
      </x:c>
      <x:c r="E1922" s="28" t="str">
        <x:v>Primary study - cohort</x:v>
      </x:c>
      <x:c r="F1922" s="28" t="str">
        <x:v>Development &amp; presentation; Recognition &amp; diagnosis; Family &amp; education; Social &amp; structural; Environmental &amp; lifestyle; Treatment &amp; support; Life outcomes &amp; lived experience</x:v>
      </x:c>
      <x:c r="G1922" s="28" t="str">
        <x:v>Childhood</x:v>
      </x:c>
      <x:c r="H1922" s="28" t="str">
        <x:v>Later specialized</x:v>
      </x:c>
      <x:c r="I1922" s="28" t="str">
        <x:v>Direct or strongly ADHD-related record retained for later screening; typically narrower treatment, biomarker, mechanistic, or single-comorbidity focus.</x:v>
      </x:c>
      <x:c r="J1922" s="38" t="e">
        <x:f>HYPERLINK("https://pubmed.ncbi.nlm.nih.gov/"&amp;C1922&amp;"/","Open PubMed")</x:f>
        <x:v>HYPERLINK is not implemented. linkLocation=https://pubmed.ncbi.nlm.nih.gov/42343461/, friendlyName=Open PubMed</x:v>
      </x:c>
    </x:row>
    <x:row r="1923">
      <x:c r="A1923" s="26" t="str">
        <x:v>PUBMED-41965484</x:v>
      </x:c>
      <x:c r="B1923" s="26" t="n">
        <x:v>2026</x:v>
      </x:c>
      <x:c r="C1923" s="26" t="str">
        <x:v>41965484</x:v>
      </x:c>
      <x:c r="D1923" s="28" t="str">
        <x:v>Cultivating Strengths: Extracurricular Activity Participation in Relation to Psychological Wellbeing and Social Functioning in Adolescents with and without ADHD.</x:v>
      </x:c>
      <x:c r="E1923" s="28" t="str">
        <x:v>Primary/contextual journal article</x:v>
      </x:c>
      <x:c r="F1923" s="28" t="str">
        <x:v>Development &amp; presentation; Family &amp; education; Social &amp; structural; Life outcomes &amp; lived experience</x:v>
      </x:c>
      <x:c r="G1923" s="28" t="str">
        <x:v>Adolescence</x:v>
      </x:c>
      <x:c r="H1923" s="28" t="str">
        <x:v>Later specialized</x:v>
      </x:c>
      <x:c r="I1923" s="28" t="str">
        <x:v>Direct or strongly ADHD-related record retained for later screening; typically narrower treatment, biomarker, mechanistic, or single-comorbidity focus.</x:v>
      </x:c>
      <x:c r="J1923" s="38" t="e">
        <x:f>HYPERLINK("https://pubmed.ncbi.nlm.nih.gov/"&amp;C1923&amp;"/","Open PubMed")</x:f>
        <x:v>HYPERLINK is not implemented. linkLocation=https://pubmed.ncbi.nlm.nih.gov/41965484/, friendlyName=Open PubMed</x:v>
      </x:c>
    </x:row>
    <x:row r="1924">
      <x:c r="A1924" s="26" t="str">
        <x:v>PUBMED-42126953</x:v>
      </x:c>
      <x:c r="B1924" s="26" t="n">
        <x:v>2026</x:v>
      </x:c>
      <x:c r="C1924" s="26" t="str">
        <x:v>42126953</x:v>
      </x:c>
      <x:c r="D1924" s="28" t="str">
        <x:v>Academic Performance Pressure and Methylphenidate Consumption: Insights From Wastewater-Based Epidemiology.</x:v>
      </x:c>
      <x:c r="E1924" s="28" t="str">
        <x:v>Primary/contextual journal article</x:v>
      </x:c>
      <x:c r="F1924" s="28" t="str">
        <x:v>Development &amp; presentation; Recognition &amp; diagnosis; Family &amp; education; Social &amp; structural; Treatment &amp; support</x:v>
      </x:c>
      <x:c r="G1924" s="28" t="str">
        <x:v>Not specified</x:v>
      </x:c>
      <x:c r="H1924" s="28" t="str">
        <x:v>Exclude/incidental</x:v>
      </x:c>
      <x:c r="I1924" s="28" t="str">
        <x:v>ADHD appears peripheral or insufficiently aligned with the requested corpus scope based on accessible metadata/abstract.</x:v>
      </x:c>
      <x:c r="J1924" s="38" t="e">
        <x:f>HYPERLINK("https://pubmed.ncbi.nlm.nih.gov/"&amp;C1924&amp;"/","Open PubMed")</x:f>
        <x:v>HYPERLINK is not implemented. linkLocation=https://pubmed.ncbi.nlm.nih.gov/42126953/, friendlyName=Open PubMed</x:v>
      </x:c>
    </x:row>
    <x:row r="1925">
      <x:c r="A1925" s="26" t="str">
        <x:v>PUBMED-42288221</x:v>
      </x:c>
      <x:c r="B1925" s="26" t="n">
        <x:v>2026</x:v>
      </x:c>
      <x:c r="C1925" s="26" t="str">
        <x:v>42288221</x:v>
      </x:c>
      <x:c r="D1925" s="28" t="str">
        <x:v>Modulation of prefrontal NMDA receptors reveals pharmacogenetic differences between SHR and SLA16 rat strains.</x:v>
      </x:c>
      <x:c r="E1925" s="28" t="str">
        <x:v>Primary/contextual journal article</x:v>
      </x:c>
      <x:c r="F1925" s="28" t="str">
        <x:v>Development &amp; presentation; Recognition &amp; diagnosis; Social &amp; structural; Treatment &amp; support</x:v>
      </x:c>
      <x:c r="G1925" s="28" t="str">
        <x:v>Not specified</x:v>
      </x:c>
      <x:c r="H1925" s="28" t="str">
        <x:v>Exclude/incidental</x:v>
      </x:c>
      <x:c r="I1925" s="28" t="str">
        <x:v>Animal-only record; retained outside the human-focused core corpus.</x:v>
      </x:c>
      <x:c r="J1925" s="38" t="e">
        <x:f>HYPERLINK("https://pubmed.ncbi.nlm.nih.gov/"&amp;C1925&amp;"/","Open PubMed")</x:f>
        <x:v>HYPERLINK is not implemented. linkLocation=https://pubmed.ncbi.nlm.nih.gov/42288221/, friendlyName=Open PubMed</x:v>
      </x:c>
    </x:row>
    <x:row r="1926">
      <x:c r="A1926" s="26" t="str">
        <x:v>PUBMED-42431671</x:v>
      </x:c>
      <x:c r="B1926" s="26" t="n">
        <x:v>2026</x:v>
      </x:c>
      <x:c r="C1926" s="26" t="str">
        <x:v>42431671</x:v>
      </x:c>
      <x:c r="D1926" s="28" t="str">
        <x:v>Effects of open- versus closed-skill exercise combined with mindfulness training on inhibitory control in children with ADHD: protocol for a three-arm randomised controlled trial with fMRI.</x:v>
      </x:c>
      <x:c r="E1926" s="28" t="str">
        <x:v>Primary study - clinical trial</x:v>
      </x:c>
      <x:c r="F1926" s="28" t="str">
        <x:v>Development &amp; presentation; Family &amp; education; Environmental &amp; lifestyle; Treatment &amp; support; Life outcomes &amp; lived experience</x:v>
      </x:c>
      <x:c r="G1926" s="28" t="str">
        <x:v>Childhood</x:v>
      </x:c>
      <x:c r="H1926" s="28" t="str">
        <x:v>Later specialized</x:v>
      </x:c>
      <x:c r="I1926" s="28" t="str">
        <x:v>Direct or strongly ADHD-related record retained for later screening; typically narrower treatment, biomarker, mechanistic, or single-comorbidity focus.</x:v>
      </x:c>
      <x:c r="J1926" s="38" t="e">
        <x:f>HYPERLINK("https://pubmed.ncbi.nlm.nih.gov/"&amp;C1926&amp;"/","Open PubMed")</x:f>
        <x:v>HYPERLINK is not implemented. linkLocation=https://pubmed.ncbi.nlm.nih.gov/42431671/, friendlyName=Open PubMed</x:v>
      </x:c>
    </x:row>
    <x:row r="1927">
      <x:c r="A1927" s="26" t="str">
        <x:v>PUBMED-42097272</x:v>
      </x:c>
      <x:c r="B1927" s="26" t="n">
        <x:v>2026</x:v>
      </x:c>
      <x:c r="C1927" s="26" t="str">
        <x:v>42097272</x:v>
      </x:c>
      <x:c r="D1927" s="28" t="str">
        <x:v>Astrocytic extracellular matrix proteins in ADHD: The role of Thrombospondin-1, Sparc, and Sparcl-1.</x:v>
      </x:c>
      <x:c r="E1927" s="28" t="str">
        <x:v>Primary/contextual journal article</x:v>
      </x:c>
      <x:c r="F1927" s="28" t="str">
        <x:v>Development &amp; presentation; Recognition &amp; diagnosis; Family &amp; education; Social &amp; structural; Treatment &amp; support; Life outcomes &amp; lived experience</x:v>
      </x:c>
      <x:c r="G1927" s="28" t="str">
        <x:v>Childhood</x:v>
      </x:c>
      <x:c r="H1927" s="28" t="str">
        <x:v>Later specialized</x:v>
      </x:c>
      <x:c r="I1927" s="28" t="str">
        <x:v>Direct or strongly ADHD-related record retained for later screening; typically narrower treatment, biomarker, mechanistic, or single-comorbidity focus.</x:v>
      </x:c>
      <x:c r="J1927" s="38" t="e">
        <x:f>HYPERLINK("https://pubmed.ncbi.nlm.nih.gov/"&amp;C1927&amp;"/","Open PubMed")</x:f>
        <x:v>HYPERLINK is not implemented. linkLocation=https://pubmed.ncbi.nlm.nih.gov/42097272/, friendlyName=Open PubMed</x:v>
      </x:c>
    </x:row>
    <x:row r="1928">
      <x:c r="A1928" s="26" t="str">
        <x:v>PUBMED-42411788</x:v>
      </x:c>
      <x:c r="B1928" s="26" t="n">
        <x:v>2026</x:v>
      </x:c>
      <x:c r="C1928" s="26" t="str">
        <x:v>42411788</x:v>
      </x:c>
      <x:c r="D1928" s="28" t="str">
        <x:v>ADHD Individuals' Positivity About Their Condition Varies by Their Levels of Hyperactivity/Impulsivity Versus Inattention Symptoms.</x:v>
      </x:c>
      <x:c r="E1928" s="28" t="str">
        <x:v>Primary study - qualitative</x:v>
      </x:c>
      <x:c r="F1928" s="28" t="str">
        <x:v>Development &amp; presentation; Recognition &amp; diagnosis; Social &amp; structural; Life outcomes &amp; lived experience; Historical &amp; contemporary context</x:v>
      </x:c>
      <x:c r="G1928" s="28" t="str">
        <x:v>Adolescence; Adulthood</x:v>
      </x:c>
      <x:c r="H1928" s="28" t="str">
        <x:v>Later specialized</x:v>
      </x:c>
      <x:c r="I1928" s="28" t="str">
        <x:v>Direct or strongly ADHD-related record retained for later screening; typically narrower treatment, biomarker, mechanistic, or single-comorbidity focus.</x:v>
      </x:c>
      <x:c r="J1928" s="38" t="e">
        <x:f>HYPERLINK("https://pubmed.ncbi.nlm.nih.gov/"&amp;C1928&amp;"/","Open PubMed")</x:f>
        <x:v>HYPERLINK is not implemented. linkLocation=https://pubmed.ncbi.nlm.nih.gov/42411788/, friendlyName=Open PubMed</x:v>
      </x:c>
    </x:row>
    <x:row r="1929">
      <x:c r="A1929" s="26" t="str">
        <x:v>PUBMED-42663758</x:v>
      </x:c>
      <x:c r="B1929" s="26" t="n">
        <x:v>2026</x:v>
      </x:c>
      <x:c r="C1929" s="26" t="str">
        <x:v>42663758</x:v>
      </x:c>
      <x:c r="D1929" s="28" t="str">
        <x:v>Measurement Equivalence of an ADHD Screening Tool Across Diverse Racial and Ethnic Children.</x:v>
      </x:c>
      <x:c r="E1929" s="28" t="str">
        <x:v>Primary/contextual journal article</x:v>
      </x:c>
      <x:c r="F1929" s="28" t="str">
        <x:v>Development &amp; presentation; Recognition &amp; diagnosis; Family &amp; education; Social &amp; structural</x:v>
      </x:c>
      <x:c r="G1929" s="28" t="str">
        <x:v>Childhood; Adolescence</x:v>
      </x:c>
      <x:c r="H1929" s="28" t="str">
        <x:v>Later specialized</x:v>
      </x:c>
      <x:c r="I1929" s="28" t="str">
        <x:v>Direct or strongly ADHD-related record retained for later screening; typically narrower treatment, biomarker, mechanistic, or single-comorbidity focus.</x:v>
      </x:c>
      <x:c r="J1929" s="38" t="e">
        <x:f>HYPERLINK("https://pubmed.ncbi.nlm.nih.gov/"&amp;C1929&amp;"/","Open PubMed")</x:f>
        <x:v>HYPERLINK is not implemented. linkLocation=https://pubmed.ncbi.nlm.nih.gov/42663758/, friendlyName=Open PubMed</x:v>
      </x:c>
    </x:row>
    <x:row r="1930">
      <x:c r="A1930" s="26" t="str">
        <x:v>PUBMED-42330190</x:v>
      </x:c>
      <x:c r="B1930" s="26" t="n">
        <x:v>2026</x:v>
      </x:c>
      <x:c r="C1930" s="26" t="str">
        <x:v>42330190</x:v>
      </x:c>
      <x:c r="D1930" s="28" t="str">
        <x:v>Face-To-Face Vs. Online Behavioral Parent Training for Young Children with ADHD: Child and Parent Outcomes.</x:v>
      </x:c>
      <x:c r="E1930" s="28" t="str">
        <x:v>Primary study - randomized controlled trial</x:v>
      </x:c>
      <x:c r="F1930" s="28" t="str">
        <x:v>Development &amp; presentation; Recognition &amp; diagnosis; Family &amp; education; Social &amp; structural; Treatment &amp; support; Life outcomes &amp; lived experience; Historical &amp; contemporary context</x:v>
      </x:c>
      <x:c r="G1930" s="28" t="str">
        <x:v>Childhood</x:v>
      </x:c>
      <x:c r="H1930" s="28" t="str">
        <x:v>Later specialized</x:v>
      </x:c>
      <x:c r="I1930" s="28" t="str">
        <x:v>Direct or strongly ADHD-related record retained for later screening; typically narrower treatment, biomarker, mechanistic, or single-comorbidity focus.</x:v>
      </x:c>
      <x:c r="J1930" s="38" t="e">
        <x:f>HYPERLINK("https://pubmed.ncbi.nlm.nih.gov/"&amp;C1930&amp;"/","Open PubMed")</x:f>
        <x:v>HYPERLINK is not implemented. linkLocation=https://pubmed.ncbi.nlm.nih.gov/42330190/, friendlyName=Open PubMed</x:v>
      </x:c>
    </x:row>
    <x:row r="1931">
      <x:c r="A1931" s="26" t="str">
        <x:v>PUBMED-42095638</x:v>
      </x:c>
      <x:c r="B1931" s="26" t="n">
        <x:v>2026</x:v>
      </x:c>
      <x:c r="C1931" s="26" t="str">
        <x:v>42095638</x:v>
      </x:c>
      <x:c r="D1931" s="28" t="str">
        <x:v>Behavioral and Self-Report Measures of Spontaneous Mind Wandering Predict Different Aspects of ADHD in Adults.</x:v>
      </x:c>
      <x:c r="E1931" s="28" t="str">
        <x:v>Primary/contextual journal article</x:v>
      </x:c>
      <x:c r="F1931" s="28" t="str">
        <x:v>Development &amp; presentation; Recognition &amp; diagnosis; Social &amp; structural; Treatment &amp; support</x:v>
      </x:c>
      <x:c r="G1931" s="28" t="str">
        <x:v>Adulthood</x:v>
      </x:c>
      <x:c r="H1931" s="28" t="str">
        <x:v>Later specialized</x:v>
      </x:c>
      <x:c r="I1931" s="28" t="str">
        <x:v>Direct or strongly ADHD-related record retained for later screening; typically narrower treatment, biomarker, mechanistic, or single-comorbidity focus.</x:v>
      </x:c>
      <x:c r="J1931" s="38" t="e">
        <x:f>HYPERLINK("https://pubmed.ncbi.nlm.nih.gov/"&amp;C1931&amp;"/","Open PubMed")</x:f>
        <x:v>HYPERLINK is not implemented. linkLocation=https://pubmed.ncbi.nlm.nih.gov/42095638/, friendlyName=Open PubMed</x:v>
      </x:c>
    </x:row>
    <x:row r="1932">
      <x:c r="A1932" s="26" t="str">
        <x:v>PUBMED-42260810</x:v>
      </x:c>
      <x:c r="B1932" s="26" t="n">
        <x:v>2026</x:v>
      </x:c>
      <x:c r="C1932" s="26" t="str">
        <x:v>42260810</x:v>
      </x:c>
      <x:c r="D1932" s="28" t="str">
        <x:v>Causal effects of mental disorders on stroke subtypes: A proteome-wide Mendelian randomization and mediation analysis.</x:v>
      </x:c>
      <x:c r="E1932" s="28" t="str">
        <x:v>Evidence synthesis - meta-analysis</x:v>
      </x:c>
      <x:c r="F1932" s="28" t="str">
        <x:v>Development &amp; presentation; Recognition &amp; diagnosis; Social &amp; structural; Life outcomes &amp; lived experience</x:v>
      </x:c>
      <x:c r="G1932" s="28" t="str">
        <x:v>Not specified</x:v>
      </x:c>
      <x:c r="H1932" s="28" t="str">
        <x:v>Later specialized</x:v>
      </x:c>
      <x:c r="I1932" s="28" t="str">
        <x:v>Direct or strongly ADHD-related record retained for later screening; typically narrower treatment, biomarker, mechanistic, or single-comorbidity focus.</x:v>
      </x:c>
      <x:c r="J1932" s="38" t="e">
        <x:f>HYPERLINK("https://pubmed.ncbi.nlm.nih.gov/"&amp;C1932&amp;"/","Open PubMed")</x:f>
        <x:v>HYPERLINK is not implemented. linkLocation=https://pubmed.ncbi.nlm.nih.gov/42260810/, friendlyName=Open PubMed</x:v>
      </x:c>
    </x:row>
    <x:row r="1933">
      <x:c r="A1933" s="26" t="str">
        <x:v>PUBMED-42195002</x:v>
      </x:c>
      <x:c r="B1933" s="26" t="n">
        <x:v>2026</x:v>
      </x:c>
      <x:c r="C1933" s="26" t="str">
        <x:v>42195002</x:v>
      </x:c>
      <x:c r="D1933" s="28" t="str">
        <x:v>Genetic Association of HTR1B and HTR2A Gene Polymorphisms with ADHD in Korean Children and Adolescents: A Case Control Study.</x:v>
      </x:c>
      <x:c r="E1933" s="28" t="str">
        <x:v>Primary study - cohort</x:v>
      </x:c>
      <x:c r="F1933" s="28" t="str">
        <x:v>Development &amp; presentation; Recognition &amp; diagnosis; Social &amp; structural; Environmental &amp; lifestyle</x:v>
      </x:c>
      <x:c r="G1933" s="28" t="str">
        <x:v>Childhood; Adolescence</x:v>
      </x:c>
      <x:c r="H1933" s="28" t="str">
        <x:v>Later specialized</x:v>
      </x:c>
      <x:c r="I1933" s="28" t="str">
        <x:v>Direct or strongly ADHD-related record retained for later screening; typically narrower treatment, biomarker, mechanistic, or single-comorbidity focus.</x:v>
      </x:c>
      <x:c r="J1933" s="38" t="e">
        <x:f>HYPERLINK("https://pubmed.ncbi.nlm.nih.gov/"&amp;C1933&amp;"/","Open PubMed")</x:f>
        <x:v>HYPERLINK is not implemented. linkLocation=https://pubmed.ncbi.nlm.nih.gov/42195002/, friendlyName=Open PubMed</x:v>
      </x:c>
    </x:row>
    <x:row r="1934">
      <x:c r="A1934" s="26" t="str">
        <x:v>PUBMED-42071284</x:v>
      </x:c>
      <x:c r="B1934" s="26" t="n">
        <x:v>2026</x:v>
      </x:c>
      <x:c r="C1934" s="26" t="str">
        <x:v>42071284</x:v>
      </x:c>
      <x:c r="D1934" s="28" t="str">
        <x:v>Prevalence of Obsessive-Compulsive Disorder in Inpatient Substance Users and the Relative Comorbidities: A Study in Iranian Psychiatric Hospitals from 2019 to 2022.</x:v>
      </x:c>
      <x:c r="E1934" s="28" t="str">
        <x:v>Primary study - cross-sectional</x:v>
      </x:c>
      <x:c r="F1934" s="28" t="str">
        <x:v>Development &amp; presentation; Recognition &amp; diagnosis; Family &amp; education; Social &amp; structural; Environmental &amp; lifestyle; Treatment &amp; support; Life outcomes &amp; lived experience; Historical &amp; contemporary context</x:v>
      </x:c>
      <x:c r="G1934" s="28" t="str">
        <x:v>Adulthood</x:v>
      </x:c>
      <x:c r="H1934" s="28" t="str">
        <x:v>Exclude/incidental</x:v>
      </x:c>
      <x:c r="I1934" s="28" t="str">
        <x:v>ADHD appears peripheral or insufficiently aligned with the requested corpus scope based on accessible metadata/abstract.</x:v>
      </x:c>
      <x:c r="J1934" s="38" t="e">
        <x:f>HYPERLINK("https://pubmed.ncbi.nlm.nih.gov/"&amp;C1934&amp;"/","Open PubMed")</x:f>
        <x:v>HYPERLINK is not implemented. linkLocation=https://pubmed.ncbi.nlm.nih.gov/42071284/, friendlyName=Open PubMed</x:v>
      </x:c>
    </x:row>
    <x:row r="1935">
      <x:c r="A1935" s="26" t="str">
        <x:v>PUBMED-42387942</x:v>
      </x:c>
      <x:c r="B1935" s="26" t="n">
        <x:v>2026</x:v>
      </x:c>
      <x:c r="C1935" s="26" t="str">
        <x:v>42387942</x:v>
      </x:c>
      <x:c r="D1935" s="28" t="str">
        <x:v>French Consumption of Methylphenidate in Primary Care From 2016 to 2023, Impact of Prescribing Policy Changes-A Time-Series Analysis.</x:v>
      </x:c>
      <x:c r="E1935" s="28" t="str">
        <x:v>Primary/contextual journal article</x:v>
      </x:c>
      <x:c r="F1935" s="28" t="str">
        <x:v>Development &amp; presentation; Recognition &amp; diagnosis; Social &amp; structural; Treatment &amp; support</x:v>
      </x:c>
      <x:c r="G1935" s="28" t="str">
        <x:v>Not specified</x:v>
      </x:c>
      <x:c r="H1935" s="28" t="str">
        <x:v>Later specialized</x:v>
      </x:c>
      <x:c r="I1935" s="28" t="str">
        <x:v>Direct or strongly ADHD-related record retained for later screening; typically narrower treatment, biomarker, mechanistic, or single-comorbidity focus.</x:v>
      </x:c>
      <x:c r="J1935" s="38" t="e">
        <x:f>HYPERLINK("https://pubmed.ncbi.nlm.nih.gov/"&amp;C1935&amp;"/","Open PubMed")</x:f>
        <x:v>HYPERLINK is not implemented. linkLocation=https://pubmed.ncbi.nlm.nih.gov/42387942/, friendlyName=Open PubMed</x:v>
      </x:c>
    </x:row>
    <x:row r="1936">
      <x:c r="A1936" s="26" t="str">
        <x:v>PUBMED-42338098</x:v>
      </x:c>
      <x:c r="B1936" s="26" t="n">
        <x:v>2026</x:v>
      </x:c>
      <x:c r="C1936" s="26" t="str">
        <x:v>42338098</x:v>
      </x:c>
      <x:c r="D1936" s="28" t="str">
        <x:v>Domain-Specific Cognitive Vulnerabilities in ADHD: The Impact of Comorbid Specific Learning Disorder on WISC-IV Profiles.</x:v>
      </x:c>
      <x:c r="E1936" s="28" t="str">
        <x:v>Primary/contextual journal article</x:v>
      </x:c>
      <x:c r="F1936" s="28" t="str">
        <x:v>Development &amp; presentation; Recognition &amp; diagnosis; Social &amp; structural; Life outcomes &amp; lived experience</x:v>
      </x:c>
      <x:c r="G1936" s="28" t="str">
        <x:v>Childhood; Adolescence</x:v>
      </x:c>
      <x:c r="H1936" s="28" t="str">
        <x:v>Later specialized</x:v>
      </x:c>
      <x:c r="I1936" s="28" t="str">
        <x:v>Direct or strongly ADHD-related record retained for later screening; typically narrower treatment, biomarker, mechanistic, or single-comorbidity focus.</x:v>
      </x:c>
      <x:c r="J1936" s="38" t="e">
        <x:f>HYPERLINK("https://pubmed.ncbi.nlm.nih.gov/"&amp;C1936&amp;"/","Open PubMed")</x:f>
        <x:v>HYPERLINK is not implemented. linkLocation=https://pubmed.ncbi.nlm.nih.gov/42338098/, friendlyName=Open PubMed</x:v>
      </x:c>
    </x:row>
    <x:row r="1937">
      <x:c r="A1937" s="26" t="str">
        <x:v>PUBMED-42343737</x:v>
      </x:c>
      <x:c r="B1937" s="26" t="n">
        <x:v>2026</x:v>
      </x:c>
      <x:c r="C1937" s="26" t="str">
        <x:v>42343737</x:v>
      </x:c>
      <x:c r="D1937" s="28" t="str">
        <x:v>Suicidal Ideation and Non-suicidal Self-injury in Early Adolescence: The Role of ADHD Symptoms, Affect, and Emotion Regulation.</x:v>
      </x:c>
      <x:c r="E1937" s="28" t="str">
        <x:v>Primary study - cross-sectional</x:v>
      </x:c>
      <x:c r="F1937" s="28" t="str">
        <x:v>Development &amp; presentation; Recognition &amp; diagnosis; Family &amp; education; Social &amp; structural; Life outcomes &amp; lived experience</x:v>
      </x:c>
      <x:c r="G1937" s="28" t="str">
        <x:v>Childhood; Adolescence</x:v>
      </x:c>
      <x:c r="H1937" s="28" t="str">
        <x:v>Later specialized</x:v>
      </x:c>
      <x:c r="I1937" s="28" t="str">
        <x:v>Direct or strongly ADHD-related record retained for later screening; typically narrower treatment, biomarker, mechanistic, or single-comorbidity focus.</x:v>
      </x:c>
      <x:c r="J1937" s="38" t="e">
        <x:f>HYPERLINK("https://pubmed.ncbi.nlm.nih.gov/"&amp;C1937&amp;"/","Open PubMed")</x:f>
        <x:v>HYPERLINK is not implemented. linkLocation=https://pubmed.ncbi.nlm.nih.gov/42343737/, friendlyName=Open PubMed</x:v>
      </x:c>
    </x:row>
    <x:row r="1938">
      <x:c r="A1938" s="26" t="str">
        <x:v>PUBMED-42622873</x:v>
      </x:c>
      <x:c r="B1938" s="26" t="n">
        <x:v>2026</x:v>
      </x:c>
      <x:c r="C1938" s="26" t="str">
        <x:v>42622873</x:v>
      </x:c>
      <x:c r="D1938" s="28" t="str">
        <x:v>A Picture is Worth How Many Words? The Impact of Visual Cues on the Story Retelling of Children with and without ADHD.</x:v>
      </x:c>
      <x:c r="E1938" s="28" t="str">
        <x:v>Primary/contextual journal article</x:v>
      </x:c>
      <x:c r="F1938" s="28" t="str">
        <x:v>Development &amp; presentation; Recognition &amp; diagnosis; Social &amp; structural</x:v>
      </x:c>
      <x:c r="G1938" s="28" t="str">
        <x:v>Childhood</x:v>
      </x:c>
      <x:c r="H1938" s="28" t="str">
        <x:v>Later specialized</x:v>
      </x:c>
      <x:c r="I1938" s="28" t="str">
        <x:v>Direct or strongly ADHD-related record retained for later screening; typically narrower treatment, biomarker, mechanistic, or single-comorbidity focus.</x:v>
      </x:c>
      <x:c r="J1938" s="38" t="e">
        <x:f>HYPERLINK("https://pubmed.ncbi.nlm.nih.gov/"&amp;C1938&amp;"/","Open PubMed")</x:f>
        <x:v>HYPERLINK is not implemented. linkLocation=https://pubmed.ncbi.nlm.nih.gov/42622873/, friendlyName=Open PubMed</x:v>
      </x:c>
    </x:row>
    <x:row r="1939">
      <x:c r="A1939" s="26" t="str">
        <x:v>PUBMED-42705653</x:v>
      </x:c>
      <x:c r="B1939" s="26" t="n">
        <x:v>2026</x:v>
      </x:c>
      <x:c r="C1939" s="26" t="str">
        <x:v>42705653</x:v>
      </x:c>
      <x:c r="D1939" s="28" t="str">
        <x:v>Three Adult Cases of ADHD With Comorbid Tic Symptoms Successfully Treated With Guanfacine Monotherapy.</x:v>
      </x:c>
      <x:c r="E1939" s="28" t="str">
        <x:v>Primary/contextual journal article</x:v>
      </x:c>
      <x:c r="F1939" s="28" t="str">
        <x:v>Development &amp; presentation; Social &amp; structural; Treatment &amp; support; Life outcomes &amp; lived experience</x:v>
      </x:c>
      <x:c r="G1939" s="28" t="str">
        <x:v>Childhood; Adulthood</x:v>
      </x:c>
      <x:c r="H1939" s="28" t="str">
        <x:v>Later specialized</x:v>
      </x:c>
      <x:c r="I1939" s="28" t="str">
        <x:v>Direct or strongly ADHD-related record retained for later screening; typically narrower treatment, biomarker, mechanistic, or single-comorbidity focus.</x:v>
      </x:c>
      <x:c r="J1939" s="38" t="e">
        <x:f>HYPERLINK("https://pubmed.ncbi.nlm.nih.gov/"&amp;C1939&amp;"/","Open PubMed")</x:f>
        <x:v>HYPERLINK is not implemented. linkLocation=https://pubmed.ncbi.nlm.nih.gov/42705653/, friendlyName=Open PubMed</x:v>
      </x:c>
    </x:row>
    <x:row r="1940">
      <x:c r="A1940" s="26" t="str">
        <x:v>PUBMED-42425059</x:v>
      </x:c>
      <x:c r="B1940" s="26" t="n">
        <x:v>2026</x:v>
      </x:c>
      <x:c r="C1940" s="26" t="str">
        <x:v>42425059</x:v>
      </x:c>
      <x:c r="D1940" s="28" t="str">
        <x:v>Inattention and hyperfocus mediate the association between prefrontal cortical thickness and problematic usage of the internet, with frequent gaming-related problems, independent of a formal ADHD diagnosis.</x:v>
      </x:c>
      <x:c r="E1940" s="28" t="str">
        <x:v>Primary/contextual journal article</x:v>
      </x:c>
      <x:c r="F1940" s="28" t="str">
        <x:v>Development &amp; presentation; Recognition &amp; diagnosis; Social &amp; structural; Life outcomes &amp; lived experience</x:v>
      </x:c>
      <x:c r="G1940" s="28" t="str">
        <x:v>Adolescence; Adulthood</x:v>
      </x:c>
      <x:c r="H1940" s="28" t="str">
        <x:v>Later specialized</x:v>
      </x:c>
      <x:c r="I1940" s="28" t="str">
        <x:v>Direct or strongly ADHD-related record retained for later screening; typically narrower treatment, biomarker, mechanistic, or single-comorbidity focus.</x:v>
      </x:c>
      <x:c r="J1940" s="38" t="e">
        <x:f>HYPERLINK("https://pubmed.ncbi.nlm.nih.gov/"&amp;C1940&amp;"/","Open PubMed")</x:f>
        <x:v>HYPERLINK is not implemented. linkLocation=https://pubmed.ncbi.nlm.nih.gov/42425059/, friendlyName=Open PubMed</x:v>
      </x:c>
    </x:row>
    <x:row r="1941">
      <x:c r="A1941" s="26" t="str">
        <x:v>PUBMED-42717482</x:v>
      </x:c>
      <x:c r="B1941" s="26" t="n">
        <x:v>2026</x:v>
      </x:c>
      <x:c r="C1941" s="26" t="str">
        <x:v>42717482</x:v>
      </x:c>
      <x:c r="D1941" s="28" t="str">
        <x:v>Re-Evaluating the Role of Statistical Learning: Domain-General Predictors of Language in Typical and Atypical Development.</x:v>
      </x:c>
      <x:c r="E1941" s="28" t="str">
        <x:v>Primary study - qualitative</x:v>
      </x:c>
      <x:c r="F1941" s="28" t="str">
        <x:v>Development &amp; presentation; Recognition &amp; diagnosis; Social &amp; structural; Environmental &amp; lifestyle; Life outcomes &amp; lived experience</x:v>
      </x:c>
      <x:c r="G1941" s="28" t="str">
        <x:v>Childhood; Adolescence</x:v>
      </x:c>
      <x:c r="H1941" s="28" t="str">
        <x:v>Exclude/incidental</x:v>
      </x:c>
      <x:c r="I1941" s="28" t="str">
        <x:v>ADHD appears peripheral or insufficiently aligned with the requested corpus scope based on accessible metadata/abstract.</x:v>
      </x:c>
      <x:c r="J1941" s="38" t="e">
        <x:f>HYPERLINK("https://pubmed.ncbi.nlm.nih.gov/"&amp;C1941&amp;"/","Open PubMed")</x:f>
        <x:v>HYPERLINK is not implemented. linkLocation=https://pubmed.ncbi.nlm.nih.gov/42717482/, friendlyName=Open PubMed</x:v>
      </x:c>
    </x:row>
    <x:row r="1942">
      <x:c r="A1942" s="26" t="str">
        <x:v>PUBMED-41968155</x:v>
      </x:c>
      <x:c r="B1942" s="26" t="n">
        <x:v>2026</x:v>
      </x:c>
      <x:c r="C1942" s="26" t="str">
        <x:v>41968155</x:v>
      </x:c>
      <x:c r="D1942" s="28" t="str">
        <x:v>The impact of e-cigarette use on cognitive function, emotional intelligence, and dementia risk in adolescents and young adults.</x:v>
      </x:c>
      <x:c r="E1942" s="28" t="str">
        <x:v>Primary study - cross-sectional</x:v>
      </x:c>
      <x:c r="F1942" s="28" t="str">
        <x:v>Development &amp; presentation; Recognition &amp; diagnosis; Social &amp; structural; Environmental &amp; lifestyle; Treatment &amp; support; Life outcomes &amp; lived experience</x:v>
      </x:c>
      <x:c r="G1942" s="28" t="str">
        <x:v>Adolescence; Adulthood</x:v>
      </x:c>
      <x:c r="H1942" s="28" t="str">
        <x:v>Later specialized</x:v>
      </x:c>
      <x:c r="I1942" s="28" t="str">
        <x:v>Direct or strongly ADHD-related record retained for later screening; typically narrower treatment, biomarker, mechanistic, or single-comorbidity focus.</x:v>
      </x:c>
      <x:c r="J1942" s="38" t="e">
        <x:f>HYPERLINK("https://pubmed.ncbi.nlm.nih.gov/"&amp;C1942&amp;"/","Open PubMed")</x:f>
        <x:v>HYPERLINK is not implemented. linkLocation=https://pubmed.ncbi.nlm.nih.gov/41968155/, friendlyName=Open PubMed</x:v>
      </x:c>
    </x:row>
    <x:row r="1943">
      <x:c r="A1943" s="26" t="str">
        <x:v>PUBMED-42675013</x:v>
      </x:c>
      <x:c r="B1943" s="26" t="n">
        <x:v>2026</x:v>
      </x:c>
      <x:c r="C1943" s="26" t="str">
        <x:v>42675013</x:v>
      </x:c>
      <x:c r="D1943" s="28" t="str">
        <x:v>Among Multiple Mental Health Symptoms, Only Attention Deficit/Hyperactivity Problems Predict Poorer BMI Outcomes in Family-Based Behavioural Treatment for Youth With Severe Obesity.</x:v>
      </x:c>
      <x:c r="E1943" s="28" t="str">
        <x:v>Primary/contextual journal article</x:v>
      </x:c>
      <x:c r="F1943" s="28" t="str">
        <x:v>Development &amp; presentation; Family &amp; education; Social &amp; structural; Treatment &amp; support; Life outcomes &amp; lived experience</x:v>
      </x:c>
      <x:c r="G1943" s="28" t="str">
        <x:v>Childhood; Adolescence</x:v>
      </x:c>
      <x:c r="H1943" s="28" t="str">
        <x:v>Later specialized</x:v>
      </x:c>
      <x:c r="I1943" s="28" t="str">
        <x:v>Direct or strongly ADHD-related record retained for later screening; typically narrower treatment, biomarker, mechanistic, or single-comorbidity focus.</x:v>
      </x:c>
      <x:c r="J1943" s="38" t="e">
        <x:f>HYPERLINK("https://pubmed.ncbi.nlm.nih.gov/"&amp;C1943&amp;"/","Open PubMed")</x:f>
        <x:v>HYPERLINK is not implemented. linkLocation=https://pubmed.ncbi.nlm.nih.gov/42675013/, friendlyName=Open PubMed</x:v>
      </x:c>
    </x:row>
    <x:row r="1944">
      <x:c r="A1944" s="26" t="str">
        <x:v>PUBMED-42545400</x:v>
      </x:c>
      <x:c r="B1944" s="26" t="n">
        <x:v>2026</x:v>
      </x:c>
      <x:c r="C1944" s="26" t="str">
        <x:v>42545400</x:v>
      </x:c>
      <x:c r="D1944" s="28" t="str">
        <x:v>Prevalence of Pure Cognitive Disengagement Syndrome Without Co-Occurring ADHD in an Elementary School Sample of Children: A Two-Stage Epidemiological Study.</x:v>
      </x:c>
      <x:c r="E1944" s="28" t="str">
        <x:v>Primary/contextual journal article</x:v>
      </x:c>
      <x:c r="F1944" s="28" t="str">
        <x:v>Development &amp; presentation; Recognition &amp; diagnosis; Family &amp; education; Social &amp; structural</x:v>
      </x:c>
      <x:c r="G1944" s="28" t="str">
        <x:v>Childhood</x:v>
      </x:c>
      <x:c r="H1944" s="28" t="str">
        <x:v>Later specialized</x:v>
      </x:c>
      <x:c r="I1944" s="28" t="str">
        <x:v>Direct or strongly ADHD-related record retained for later screening; typically narrower treatment, biomarker, mechanistic, or single-comorbidity focus.</x:v>
      </x:c>
      <x:c r="J1944" s="38" t="e">
        <x:f>HYPERLINK("https://pubmed.ncbi.nlm.nih.gov/"&amp;C1944&amp;"/","Open PubMed")</x:f>
        <x:v>HYPERLINK is not implemented. linkLocation=https://pubmed.ncbi.nlm.nih.gov/42545400/, friendlyName=Open PubMed</x:v>
      </x:c>
    </x:row>
    <x:row r="1945">
      <x:c r="A1945" s="26" t="str">
        <x:v>PUBMED-42698075</x:v>
      </x:c>
      <x:c r="B1945" s="26" t="n">
        <x:v>2026</x:v>
      </x:c>
      <x:c r="C1945" s="26" t="str">
        <x:v>42698075</x:v>
      </x:c>
      <x:c r="D1945" s="28" t="str">
        <x:v>Symptom epidemiology, demographic correlates, and differentiation between cognitive disengagement syndrome symptoms and ADHD symptoms in a large nonprobability sample of Iranian adolescents and adults.</x:v>
      </x:c>
      <x:c r="E1945" s="28" t="str">
        <x:v>Primary study - cross-sectional</x:v>
      </x:c>
      <x:c r="F1945" s="28" t="str">
        <x:v>Development &amp; presentation; Recognition &amp; diagnosis; Social &amp; structural</x:v>
      </x:c>
      <x:c r="G1945" s="28" t="str">
        <x:v>Adolescence; Adulthood</x:v>
      </x:c>
      <x:c r="H1945" s="28" t="str">
        <x:v>Later specialized</x:v>
      </x:c>
      <x:c r="I1945" s="28" t="str">
        <x:v>Direct or strongly ADHD-related record retained for later screening; typically narrower treatment, biomarker, mechanistic, or single-comorbidity focus.</x:v>
      </x:c>
      <x:c r="J1945" s="38" t="e">
        <x:f>HYPERLINK("https://pubmed.ncbi.nlm.nih.gov/"&amp;C1945&amp;"/","Open PubMed")</x:f>
        <x:v>HYPERLINK is not implemented. linkLocation=https://pubmed.ncbi.nlm.nih.gov/42698075/, friendlyName=Open PubMed</x:v>
      </x:c>
    </x:row>
    <x:row r="1946">
      <x:c r="A1946" s="26" t="str">
        <x:v>PUBMED-42629328</x:v>
      </x:c>
      <x:c r="B1946" s="26" t="n">
        <x:v>2026</x:v>
      </x:c>
      <x:c r="C1946" s="26" t="str">
        <x:v>42629328</x:v>
      </x:c>
      <x:c r="D1946" s="28" t="str">
        <x:v>Impact of ADHD on Obesity Treatment Outcomes in Adolescents Receiving Multidisciplinary Care: A Retrospective Longitudinal Study.</x:v>
      </x:c>
      <x:c r="E1946" s="28" t="str">
        <x:v>Primary/contextual journal article</x:v>
      </x:c>
      <x:c r="F1946" s="28" t="str">
        <x:v>Development &amp; presentation; Social &amp; structural; Environmental &amp; lifestyle; Treatment &amp; support; Life outcomes &amp; lived experience</x:v>
      </x:c>
      <x:c r="G1946" s="28" t="str">
        <x:v>Childhood; Adolescence</x:v>
      </x:c>
      <x:c r="H1946" s="28" t="str">
        <x:v>Later specialized</x:v>
      </x:c>
      <x:c r="I1946" s="28" t="str">
        <x:v>Direct or strongly ADHD-related record retained for later screening; typically narrower treatment, biomarker, mechanistic, or single-comorbidity focus.</x:v>
      </x:c>
      <x:c r="J1946" s="38" t="e">
        <x:f>HYPERLINK("https://pubmed.ncbi.nlm.nih.gov/"&amp;C1946&amp;"/","Open PubMed")</x:f>
        <x:v>HYPERLINK is not implemented. linkLocation=https://pubmed.ncbi.nlm.nih.gov/42629328/, friendlyName=Open PubMed</x:v>
      </x:c>
    </x:row>
    <x:row r="1947">
      <x:c r="A1947" s="26" t="str">
        <x:v>PUBMED-41906999</x:v>
      </x:c>
      <x:c r="B1947" s="26" t="n">
        <x:v>2026</x:v>
      </x:c>
      <x:c r="C1947" s="26" t="str">
        <x:v>41906999</x:v>
      </x:c>
      <x:c r="D1947" s="28" t="str">
        <x:v>Exploring Theory of Mind in Specific Learning Disorder: Subtype Differences and the Role of ADHD Comorbidity.</x:v>
      </x:c>
      <x:c r="E1947" s="28" t="str">
        <x:v>Primary study - case-control</x:v>
      </x:c>
      <x:c r="F1947" s="28" t="str">
        <x:v>Development &amp; presentation; Recognition &amp; diagnosis; Social &amp; structural</x:v>
      </x:c>
      <x:c r="G1947" s="28" t="str">
        <x:v>Childhood</x:v>
      </x:c>
      <x:c r="H1947" s="28" t="str">
        <x:v>Later specialized</x:v>
      </x:c>
      <x:c r="I1947" s="28" t="str">
        <x:v>Direct or strongly ADHD-related record retained for later screening; typically narrower treatment, biomarker, mechanistic, or single-comorbidity focus.</x:v>
      </x:c>
      <x:c r="J1947" s="38" t="e">
        <x:f>HYPERLINK("https://pubmed.ncbi.nlm.nih.gov/"&amp;C1947&amp;"/","Open PubMed")</x:f>
        <x:v>HYPERLINK is not implemented. linkLocation=https://pubmed.ncbi.nlm.nih.gov/41906999/, friendlyName=Open PubMed</x:v>
      </x:c>
    </x:row>
    <x:row r="1948">
      <x:c r="A1948" s="26" t="str">
        <x:v>PUBMED-42398270</x:v>
      </x:c>
      <x:c r="B1948" s="26" t="n">
        <x:v>2026</x:v>
      </x:c>
      <x:c r="C1948" s="26" t="str">
        <x:v>42398270</x:v>
      </x:c>
      <x:c r="D1948" s="28" t="str">
        <x:v>Association of relative age with medical consultations for developmental concerns: A nationwide birth cohort study in Japan.</x:v>
      </x:c>
      <x:c r="E1948" s="28" t="str">
        <x:v>Primary study - cohort</x:v>
      </x:c>
      <x:c r="F1948" s="28" t="str">
        <x:v>Development &amp; presentation; Recognition &amp; diagnosis; Family &amp; education; Social &amp; structural; Environmental &amp; lifestyle; Treatment &amp; support; Life outcomes &amp; lived experience</x:v>
      </x:c>
      <x:c r="G1948" s="28" t="str">
        <x:v>Childhood</x:v>
      </x:c>
      <x:c r="H1948" s="28" t="str">
        <x:v>Exclude/incidental</x:v>
      </x:c>
      <x:c r="I1948" s="28" t="str">
        <x:v>ADHD appears peripheral or insufficiently aligned with the requested corpus scope based on accessible metadata/abstract.</x:v>
      </x:c>
      <x:c r="J1948" s="38" t="e">
        <x:f>HYPERLINK("https://pubmed.ncbi.nlm.nih.gov/"&amp;C1948&amp;"/","Open PubMed")</x:f>
        <x:v>HYPERLINK is not implemented. linkLocation=https://pubmed.ncbi.nlm.nih.gov/42398270/, friendlyName=Open PubMed</x:v>
      </x:c>
    </x:row>
    <x:row r="1949">
      <x:c r="A1949" s="26" t="str">
        <x:v>PUBMED-42107212</x:v>
      </x:c>
      <x:c r="B1949" s="26" t="n">
        <x:v>2026</x:v>
      </x:c>
      <x:c r="C1949" s="26" t="str">
        <x:v>42107212</x:v>
      </x:c>
      <x:c r="D1949" s="28" t="str">
        <x:v>Relating ADHD to the aperiodic component of the EEG signal in both males and females across development.</x:v>
      </x:c>
      <x:c r="E1949" s="28" t="str">
        <x:v>Primary/contextual journal article</x:v>
      </x:c>
      <x:c r="F1949" s="28" t="str">
        <x:v>Development &amp; presentation; Recognition &amp; diagnosis; Family &amp; education; Social &amp; structural; Treatment &amp; support</x:v>
      </x:c>
      <x:c r="G1949" s="28" t="str">
        <x:v>Childhood; Adolescence</x:v>
      </x:c>
      <x:c r="H1949" s="28" t="str">
        <x:v>Later specialized</x:v>
      </x:c>
      <x:c r="I1949" s="28" t="str">
        <x:v>Direct or strongly ADHD-related record retained for later screening; typically narrower treatment, biomarker, mechanistic, or single-comorbidity focus.</x:v>
      </x:c>
      <x:c r="J1949" s="38" t="e">
        <x:f>HYPERLINK("https://pubmed.ncbi.nlm.nih.gov/"&amp;C1949&amp;"/","Open PubMed")</x:f>
        <x:v>HYPERLINK is not implemented. linkLocation=https://pubmed.ncbi.nlm.nih.gov/42107212/, friendlyName=Open PubMed</x:v>
      </x:c>
    </x:row>
    <x:row r="1950">
      <x:c r="A1950" s="26" t="str">
        <x:v>PUBMED-41990523</x:v>
      </x:c>
      <x:c r="B1950" s="26" t="n">
        <x:v>2026</x:v>
      </x:c>
      <x:c r="C1950" s="26" t="str">
        <x:v>41990523</x:v>
      </x:c>
      <x:c r="D1950" s="28" t="str">
        <x:v>A diffusion MRI-derived perivascular metric related to glymphatic-associated processes in bipolar disorder vulnerability: Multimodal correlates across emotion dysregulation patients and offspring.</x:v>
      </x:c>
      <x:c r="E1950" s="28" t="str">
        <x:v>Primary/contextual journal article</x:v>
      </x:c>
      <x:c r="F1950" s="28" t="str">
        <x:v>Development &amp; presentation; Recognition &amp; diagnosis; Family &amp; education; Social &amp; structural</x:v>
      </x:c>
      <x:c r="G1950" s="28" t="str">
        <x:v>Childhood; Adolescence; Adulthood</x:v>
      </x:c>
      <x:c r="H1950" s="28" t="str">
        <x:v>Later specialized</x:v>
      </x:c>
      <x:c r="I1950" s="28" t="str">
        <x:v>Direct or strongly ADHD-related record retained for later screening; typically narrower treatment, biomarker, mechanistic, or single-comorbidity focus.</x:v>
      </x:c>
      <x:c r="J1950" s="38" t="e">
        <x:f>HYPERLINK("https://pubmed.ncbi.nlm.nih.gov/"&amp;C1950&amp;"/","Open PubMed")</x:f>
        <x:v>HYPERLINK is not implemented. linkLocation=https://pubmed.ncbi.nlm.nih.gov/41990523/, friendlyName=Open PubMed</x:v>
      </x:c>
    </x:row>
    <x:row r="1951">
      <x:c r="A1951" s="26" t="str">
        <x:v>PUBMED-42580691</x:v>
      </x:c>
      <x:c r="B1951" s="26" t="n">
        <x:v>2026</x:v>
      </x:c>
      <x:c r="C1951" s="26" t="str">
        <x:v>42580691</x:v>
      </x:c>
      <x:c r="D1951" s="28" t="str">
        <x:v>Exploring Immersive Virtual Reality as an Approach to Improve School Participation-Related Constructs in Children With ADHD.</x:v>
      </x:c>
      <x:c r="E1951" s="28" t="str">
        <x:v>Primary study - randomized controlled trial</x:v>
      </x:c>
      <x:c r="F1951" s="28" t="str">
        <x:v>Development &amp; presentation; Recognition &amp; diagnosis; Family &amp; education; Social &amp; structural; Environmental &amp; lifestyle; Treatment &amp; support; Life outcomes &amp; lived experience</x:v>
      </x:c>
      <x:c r="G1951" s="28" t="str">
        <x:v>Childhood</x:v>
      </x:c>
      <x:c r="H1951" s="28" t="str">
        <x:v>Later specialized</x:v>
      </x:c>
      <x:c r="I1951" s="28" t="str">
        <x:v>Direct or strongly ADHD-related record retained for later screening; typically narrower treatment, biomarker, mechanistic, or single-comorbidity focus.</x:v>
      </x:c>
      <x:c r="J1951" s="38" t="e">
        <x:f>HYPERLINK("https://pubmed.ncbi.nlm.nih.gov/"&amp;C1951&amp;"/","Open PubMed")</x:f>
        <x:v>HYPERLINK is not implemented. linkLocation=https://pubmed.ncbi.nlm.nih.gov/42580691/, friendlyName=Open PubMed</x:v>
      </x:c>
    </x:row>
    <x:row r="1952">
      <x:c r="A1952" s="26" t="str">
        <x:v>PUBMED-42480509</x:v>
      </x:c>
      <x:c r="B1952" s="26" t="n">
        <x:v>2026</x:v>
      </x:c>
      <x:c r="C1952" s="26" t="str">
        <x:v>42480509</x:v>
      </x:c>
      <x:c r="D1952" s="28" t="str">
        <x:v>Diagnostic Discrimination of BOKE STARS, a Bimodal Continuous Performance Test, for Attention-Deficit/Hyperactivity Disorder Assessment in Chinese Children: Single-Center Case-Control Study.</x:v>
      </x:c>
      <x:c r="E1952" s="28" t="str">
        <x:v>Primary study - case-control</x:v>
      </x:c>
      <x:c r="F1952" s="28" t="str">
        <x:v>Development &amp; presentation; Recognition &amp; diagnosis; Family &amp; education; Social &amp; structural</x:v>
      </x:c>
      <x:c r="G1952" s="28" t="str">
        <x:v>Childhood</x:v>
      </x:c>
      <x:c r="H1952" s="28" t="str">
        <x:v>Batch 1 core</x:v>
      </x:c>
      <x:c r="I1952" s="28" t="str">
        <x:v>Direct ADHD primary study on diagnosis, family/education, structural conditions, lived experience/outcomes, or environment/lifestyle.</x:v>
      </x:c>
      <x:c r="J1952" s="38" t="e">
        <x:f>HYPERLINK("https://pubmed.ncbi.nlm.nih.gov/"&amp;C1952&amp;"/","Open PubMed")</x:f>
        <x:v>HYPERLINK is not implemented. linkLocation=https://pubmed.ncbi.nlm.nih.gov/42480509/, friendlyName=Open PubMed</x:v>
      </x:c>
    </x:row>
    <x:row r="1953">
      <x:c r="A1953" s="26" t="str">
        <x:v>PUBMED-42466537</x:v>
      </x:c>
      <x:c r="B1953" s="26" t="n">
        <x:v>2026</x:v>
      </x:c>
      <x:c r="C1953" s="26" t="str">
        <x:v>42466537</x:v>
      </x:c>
      <x:c r="D1953" s="28" t="str">
        <x:v>ADHD Symptom Severity and Oppositional Defiant Behavior: Divergent Structural Pathways Across Clinical and Non-Clinical Populations-A Multi-Group Path Analysis Investigation.</x:v>
      </x:c>
      <x:c r="E1953" s="28" t="str">
        <x:v>Primary study - cross-sectional</x:v>
      </x:c>
      <x:c r="F1953" s="28" t="str">
        <x:v>Development &amp; presentation; Recognition &amp; diagnosis; Family &amp; education; Social &amp; structural; Environmental &amp; lifestyle</x:v>
      </x:c>
      <x:c r="G1953" s="28" t="str">
        <x:v>Childhood</x:v>
      </x:c>
      <x:c r="H1953" s="28" t="str">
        <x:v>Later specialized</x:v>
      </x:c>
      <x:c r="I1953" s="28" t="str">
        <x:v>Direct or strongly ADHD-related record retained for later screening; typically narrower treatment, biomarker, mechanistic, or single-comorbidity focus.</x:v>
      </x:c>
      <x:c r="J1953" s="38" t="e">
        <x:f>HYPERLINK("https://pubmed.ncbi.nlm.nih.gov/"&amp;C1953&amp;"/","Open PubMed")</x:f>
        <x:v>HYPERLINK is not implemented. linkLocation=https://pubmed.ncbi.nlm.nih.gov/42466537/, friendlyName=Open PubMed</x:v>
      </x:c>
    </x:row>
    <x:row r="1954">
      <x:c r="A1954" s="26" t="str">
        <x:v>PUBMED-42363137</x:v>
      </x:c>
      <x:c r="B1954" s="26" t="n">
        <x:v>2026</x:v>
      </x:c>
      <x:c r="C1954" s="26" t="str">
        <x:v>42363137</x:v>
      </x:c>
      <x:c r="D1954" s="28" t="str">
        <x:v>Trends in methylphenidate dispensing and regional inequalities among children and adolescents in France around the 2021 prescription reform: a repeated cross-sectional ecological analysis of national data (2014-2024).</x:v>
      </x:c>
      <x:c r="E1954" s="28" t="str">
        <x:v>Primary study - cross-sectional</x:v>
      </x:c>
      <x:c r="F1954" s="28" t="str">
        <x:v>Development &amp; presentation; Recognition &amp; diagnosis; Family &amp; education; Social &amp; structural; Environmental &amp; lifestyle; Treatment &amp; support; Life outcomes &amp; lived experience</x:v>
      </x:c>
      <x:c r="G1954" s="28" t="str">
        <x:v>Childhood; Adolescence; Adulthood</x:v>
      </x:c>
      <x:c r="H1954" s="28" t="str">
        <x:v>Later specialized</x:v>
      </x:c>
      <x:c r="I1954" s="28" t="str">
        <x:v>Direct or strongly ADHD-related record retained for later screening; typically narrower treatment, biomarker, mechanistic, or single-comorbidity focus.</x:v>
      </x:c>
      <x:c r="J1954" s="38" t="e">
        <x:f>HYPERLINK("https://pubmed.ncbi.nlm.nih.gov/"&amp;C1954&amp;"/","Open PubMed")</x:f>
        <x:v>HYPERLINK is not implemented. linkLocation=https://pubmed.ncbi.nlm.nih.gov/42363137/, friendlyName=Open PubMed</x:v>
      </x:c>
    </x:row>
    <x:row r="1955">
      <x:c r="A1955" s="26" t="str">
        <x:v>PUBMED-42175808</x:v>
      </x:c>
      <x:c r="B1955" s="26" t="n">
        <x:v>2026</x:v>
      </x:c>
      <x:c r="C1955" s="26" t="str">
        <x:v>42175808</x:v>
      </x:c>
      <x:c r="D1955" s="28" t="str">
        <x:v>Psychometric Assessment of the Arabic Translation of the Adult ADHD Self-Report Scale Version 1.1 6-Question Screener.</x:v>
      </x:c>
      <x:c r="E1955" s="28" t="str">
        <x:v>Primary study - cross-sectional</x:v>
      </x:c>
      <x:c r="F1955" s="28" t="str">
        <x:v>Development &amp; presentation; Recognition &amp; diagnosis; Family &amp; education; Social &amp; structural; Environmental &amp; lifestyle; Historical &amp; contemporary context</x:v>
      </x:c>
      <x:c r="G1955" s="28" t="str">
        <x:v>Adulthood</x:v>
      </x:c>
      <x:c r="H1955" s="28" t="str">
        <x:v>Batch 1 core</x:v>
      </x:c>
      <x:c r="I1955" s="28" t="str">
        <x:v>Direct ADHD primary study on diagnosis, family/education, structural conditions, lived experience/outcomes, or environment/lifestyle.</x:v>
      </x:c>
      <x:c r="J1955" s="38" t="e">
        <x:f>HYPERLINK("https://pubmed.ncbi.nlm.nih.gov/"&amp;C1955&amp;"/","Open PubMed")</x:f>
        <x:v>HYPERLINK is not implemented. linkLocation=https://pubmed.ncbi.nlm.nih.gov/42175808/, friendlyName=Open PubMed</x:v>
      </x:c>
    </x:row>
    <x:row r="1956">
      <x:c r="A1956" s="26" t="str">
        <x:v>PUBMED-42497882</x:v>
      </x:c>
      <x:c r="B1956" s="26" t="n">
        <x:v>2026</x:v>
      </x:c>
      <x:c r="C1956" s="26" t="str">
        <x:v>42497882</x:v>
      </x:c>
      <x:c r="D1956" s="28" t="str">
        <x:v>Unmasking data leakage in EEG-ADHD literature: a rigorous, interpretable SOTA framework (DSAEN).</x:v>
      </x:c>
      <x:c r="E1956" s="28" t="str">
        <x:v>Primary/contextual journal article</x:v>
      </x:c>
      <x:c r="F1956" s="28" t="str">
        <x:v>Development &amp; presentation; Recognition &amp; diagnosis; Social &amp; structural; Environmental &amp; lifestyle</x:v>
      </x:c>
      <x:c r="G1956" s="28" t="str">
        <x:v>Childhood</x:v>
      </x:c>
      <x:c r="H1956" s="28" t="str">
        <x:v>Later specialized</x:v>
      </x:c>
      <x:c r="I1956" s="28" t="str">
        <x:v>Direct or strongly ADHD-related record retained for later screening; typically narrower treatment, biomarker, mechanistic, or single-comorbidity focus.</x:v>
      </x:c>
      <x:c r="J1956" s="38" t="e">
        <x:f>HYPERLINK("https://pubmed.ncbi.nlm.nih.gov/"&amp;C1956&amp;"/","Open PubMed")</x:f>
        <x:v>HYPERLINK is not implemented. linkLocation=https://pubmed.ncbi.nlm.nih.gov/42497882/, friendlyName=Open PubMed</x:v>
      </x:c>
    </x:row>
    <x:row r="1957">
      <x:c r="A1957" s="26" t="str">
        <x:v>PUBMED-42737655</x:v>
      </x:c>
      <x:c r="B1957" s="26" t="n">
        <x:v>2026</x:v>
      </x:c>
      <x:c r="C1957" s="26" t="str">
        <x:v>42737655</x:v>
      </x:c>
      <x:c r="D1957" s="28" t="str">
        <x:v>Comparative Proteomic Analysis of the Striatum in Heterozygous and Null DAT Knockout Rats.</x:v>
      </x:c>
      <x:c r="E1957" s="28" t="str">
        <x:v>Primary/contextual journal article</x:v>
      </x:c>
      <x:c r="F1957" s="28" t="str">
        <x:v>Development &amp; presentation; Social &amp; structural</x:v>
      </x:c>
      <x:c r="G1957" s="28" t="str">
        <x:v>Not specified</x:v>
      </x:c>
      <x:c r="H1957" s="28" t="str">
        <x:v>Exclude/incidental</x:v>
      </x:c>
      <x:c r="I1957" s="28" t="str">
        <x:v>Animal-only record; retained outside the human-focused core corpus.</x:v>
      </x:c>
      <x:c r="J1957" s="38" t="e">
        <x:f>HYPERLINK("https://pubmed.ncbi.nlm.nih.gov/"&amp;C1957&amp;"/","Open PubMed")</x:f>
        <x:v>HYPERLINK is not implemented. linkLocation=https://pubmed.ncbi.nlm.nih.gov/42737655/, friendlyName=Open PubMed</x:v>
      </x:c>
    </x:row>
    <x:row r="1958">
      <x:c r="A1958" s="26" t="str">
        <x:v>PUBMED-42151901</x:v>
      </x:c>
      <x:c r="B1958" s="26" t="n">
        <x:v>2026</x:v>
      </x:c>
      <x:c r="C1958" s="26" t="str">
        <x:v>42151901</x:v>
      </x:c>
      <x:c r="D1958" s="28" t="str">
        <x:v>The association between ADHD symptoms and different dimensions of problematic use of social media among adolescent: results from the "LifeOnSoMe"-study.</x:v>
      </x:c>
      <x:c r="E1958" s="28" t="str">
        <x:v>Primary study - cross-sectional</x:v>
      </x:c>
      <x:c r="F1958" s="28" t="str">
        <x:v>Development &amp; presentation; Family &amp; education; Social &amp; structural; Environmental &amp; lifestyle; Historical &amp; contemporary context</x:v>
      </x:c>
      <x:c r="G1958" s="28" t="str">
        <x:v>Adolescence</x:v>
      </x:c>
      <x:c r="H1958" s="28" t="str">
        <x:v>Batch 1 core</x:v>
      </x:c>
      <x:c r="I1958" s="28" t="str">
        <x:v>Direct ADHD primary study on diagnosis, family/education, structural conditions, lived experience/outcomes, or environment/lifestyle.</x:v>
      </x:c>
      <x:c r="J1958" s="38" t="e">
        <x:f>HYPERLINK("https://pubmed.ncbi.nlm.nih.gov/"&amp;C1958&amp;"/","Open PubMed")</x:f>
        <x:v>HYPERLINK is not implemented. linkLocation=https://pubmed.ncbi.nlm.nih.gov/42151901/, friendlyName=Open PubMed</x:v>
      </x:c>
    </x:row>
    <x:row r="1959">
      <x:c r="A1959" s="26" t="str">
        <x:v>PUBMED-42419457</x:v>
      </x:c>
      <x:c r="B1959" s="26" t="n">
        <x:v>2026</x:v>
      </x:c>
      <x:c r="C1959" s="26" t="str">
        <x:v>42419457</x:v>
      </x:c>
      <x:c r="D1959" s="28" t="str">
        <x:v>Longitudinal trajectories of ADHD-like symptoms across adolescence and associations with problematic smartphone use: Evidence from a five-wave cohort study.</x:v>
      </x:c>
      <x:c r="E1959" s="28" t="str">
        <x:v>Primary study - cohort</x:v>
      </x:c>
      <x:c r="F1959" s="28" t="str">
        <x:v>Development &amp; presentation; Recognition &amp; diagnosis; Social &amp; structural; Treatment &amp; support; Historical &amp; contemporary context</x:v>
      </x:c>
      <x:c r="G1959" s="28" t="str">
        <x:v>Childhood; Adolescence</x:v>
      </x:c>
      <x:c r="H1959" s="28" t="str">
        <x:v>Later specialized</x:v>
      </x:c>
      <x:c r="I1959" s="28" t="str">
        <x:v>Direct or strongly ADHD-related record retained for later screening; typically narrower treatment, biomarker, mechanistic, or single-comorbidity focus.</x:v>
      </x:c>
      <x:c r="J1959" s="38" t="e">
        <x:f>HYPERLINK("https://pubmed.ncbi.nlm.nih.gov/"&amp;C1959&amp;"/","Open PubMed")</x:f>
        <x:v>HYPERLINK is not implemented. linkLocation=https://pubmed.ncbi.nlm.nih.gov/42419457/, friendlyName=Open PubMed</x:v>
      </x:c>
    </x:row>
    <x:row r="1960">
      <x:c r="A1960" s="26" t="str">
        <x:v>PUBMED-42361594</x:v>
      </x:c>
      <x:c r="B1960" s="26" t="n">
        <x:v>2026</x:v>
      </x:c>
      <x:c r="C1960" s="26" t="str">
        <x:v>42361594</x:v>
      </x:c>
      <x:c r="D1960" s="28" t="str">
        <x:v>Emotional dysfunction as a predictor of reported current, but not childhood, ADHD symptoms among adults with and without ADHD.</x:v>
      </x:c>
      <x:c r="E1960" s="28" t="str">
        <x:v>Primary/contextual journal article</x:v>
      </x:c>
      <x:c r="F1960" s="28" t="str">
        <x:v>Development &amp; presentation; Recognition &amp; diagnosis; Social &amp; structural</x:v>
      </x:c>
      <x:c r="G1960" s="28" t="str">
        <x:v>Childhood; Adolescence; Adulthood</x:v>
      </x:c>
      <x:c r="H1960" s="28" t="str">
        <x:v>Later specialized</x:v>
      </x:c>
      <x:c r="I1960" s="28" t="str">
        <x:v>Direct or strongly ADHD-related record retained for later screening; typically narrower treatment, biomarker, mechanistic, or single-comorbidity focus.</x:v>
      </x:c>
      <x:c r="J1960" s="38" t="e">
        <x:f>HYPERLINK("https://pubmed.ncbi.nlm.nih.gov/"&amp;C1960&amp;"/","Open PubMed")</x:f>
        <x:v>HYPERLINK is not implemented. linkLocation=https://pubmed.ncbi.nlm.nih.gov/42361594/, friendlyName=Open PubMed</x:v>
      </x:c>
    </x:row>
    <x:row r="1961">
      <x:c r="A1961" s="26" t="str">
        <x:v>PUBMED-42498471</x:v>
      </x:c>
      <x:c r="B1961" s="26" t="n">
        <x:v>2026</x:v>
      </x:c>
      <x:c r="C1961" s="26" t="str">
        <x:v>42498471</x:v>
      </x:c>
      <x:c r="D1961" s="28" t="str">
        <x:v>Mapping occupational therapy interventions in caregiver skill training for children with neurodiversity: a scoping review protocol.</x:v>
      </x:c>
      <x:c r="E1961" s="28" t="str">
        <x:v>Evidence synthesis - meta-analysis</x:v>
      </x:c>
      <x:c r="F1961" s="28" t="str">
        <x:v>Development &amp; presentation; Recognition &amp; diagnosis; Family &amp; education; Social &amp; structural; Treatment &amp; support; Life outcomes &amp; lived experience; Historical &amp; contemporary context</x:v>
      </x:c>
      <x:c r="G1961" s="28" t="str">
        <x:v>Childhood</x:v>
      </x:c>
      <x:c r="H1961" s="28" t="str">
        <x:v>Exclude/incidental</x:v>
      </x:c>
      <x:c r="I1961" s="28" t="str">
        <x:v>ADHD appears peripheral or insufficiently aligned with the requested corpus scope based on accessible metadata/abstract.</x:v>
      </x:c>
      <x:c r="J1961" s="38" t="e">
        <x:f>HYPERLINK("https://pubmed.ncbi.nlm.nih.gov/"&amp;C1961&amp;"/","Open PubMed")</x:f>
        <x:v>HYPERLINK is not implemented. linkLocation=https://pubmed.ncbi.nlm.nih.gov/42498471/, friendlyName=Open PubMed</x:v>
      </x:c>
    </x:row>
    <x:row r="1962">
      <x:c r="A1962" s="26" t="str">
        <x:v>PUBMED-42229071</x:v>
      </x:c>
      <x:c r="B1962" s="26" t="n">
        <x:v>2026</x:v>
      </x:c>
      <x:c r="C1962" s="26" t="str">
        <x:v>42229071</x:v>
      </x:c>
      <x:c r="D1962" s="28" t="str">
        <x:v>Determinants of hyperfocus in the context of escapism and gaming motivations, flow, and ADHD symptoms among adult video gamers.</x:v>
      </x:c>
      <x:c r="E1962" s="28" t="str">
        <x:v>Primary study - cross-sectional</x:v>
      </x:c>
      <x:c r="F1962" s="28" t="str">
        <x:v>Development &amp; presentation; Recognition &amp; diagnosis; Social &amp; structural; Life outcomes &amp; lived experience</x:v>
      </x:c>
      <x:c r="G1962" s="28" t="str">
        <x:v>Adulthood</x:v>
      </x:c>
      <x:c r="H1962" s="28" t="str">
        <x:v>Later specialized</x:v>
      </x:c>
      <x:c r="I1962" s="28" t="str">
        <x:v>Direct or strongly ADHD-related record retained for later screening; typically narrower treatment, biomarker, mechanistic, or single-comorbidity focus.</x:v>
      </x:c>
      <x:c r="J1962" s="38" t="e">
        <x:f>HYPERLINK("https://pubmed.ncbi.nlm.nih.gov/"&amp;C1962&amp;"/","Open PubMed")</x:f>
        <x:v>HYPERLINK is not implemented. linkLocation=https://pubmed.ncbi.nlm.nih.gov/42229071/, friendlyName=Open PubMed</x:v>
      </x:c>
    </x:row>
    <x:row r="1963">
      <x:c r="A1963" s="26" t="str">
        <x:v>PUBMED-42545665</x:v>
      </x:c>
      <x:c r="B1963" s="26" t="n">
        <x:v>2026</x:v>
      </x:c>
      <x:c r="C1963" s="26" t="str">
        <x:v>42545665</x:v>
      </x:c>
      <x:c r="D1963" s="28" t="str">
        <x:v>Friendship Quality in Children With ADHD Seeking Treatment for Peer Problems: A Comparison of Boy-Boy, Girl-Girl, and Mixed-Gender Dyads.</x:v>
      </x:c>
      <x:c r="E1963" s="28" t="str">
        <x:v>Primary/contextual journal article</x:v>
      </x:c>
      <x:c r="F1963" s="28" t="str">
        <x:v>Development &amp; presentation; Recognition &amp; diagnosis; Social &amp; structural; Treatment &amp; support</x:v>
      </x:c>
      <x:c r="G1963" s="28" t="str">
        <x:v>Childhood</x:v>
      </x:c>
      <x:c r="H1963" s="28" t="str">
        <x:v>Later specialized</x:v>
      </x:c>
      <x:c r="I1963" s="28" t="str">
        <x:v>Direct or strongly ADHD-related record retained for later screening; typically narrower treatment, biomarker, mechanistic, or single-comorbidity focus.</x:v>
      </x:c>
      <x:c r="J1963" s="38" t="e">
        <x:f>HYPERLINK("https://pubmed.ncbi.nlm.nih.gov/"&amp;C1963&amp;"/","Open PubMed")</x:f>
        <x:v>HYPERLINK is not implemented. linkLocation=https://pubmed.ncbi.nlm.nih.gov/42545665/, friendlyName=Open PubMed</x:v>
      </x:c>
    </x:row>
    <x:row r="1964">
      <x:c r="A1964" s="26" t="str">
        <x:v>PUBMED-42071162</x:v>
      </x:c>
      <x:c r="B1964" s="26" t="n">
        <x:v>2026</x:v>
      </x:c>
      <x:c r="C1964" s="26" t="str">
        <x:v>42071162</x:v>
      </x:c>
      <x:c r="D1964" s="28" t="str">
        <x:v>Beyond Core ADHD Symptoms: Clinical Evaluation of Antisocial Behaviours Within a Unified Externalizing Framework in Youth With ADHD.</x:v>
      </x:c>
      <x:c r="E1964" s="28" t="str">
        <x:v>Primary/contextual journal article</x:v>
      </x:c>
      <x:c r="F1964" s="28" t="str">
        <x:v>Development &amp; presentation; Recognition &amp; diagnosis; Family &amp; education; Social &amp; structural</x:v>
      </x:c>
      <x:c r="G1964" s="28" t="str">
        <x:v>Childhood; Adolescence</x:v>
      </x:c>
      <x:c r="H1964" s="28" t="str">
        <x:v>Later specialized</x:v>
      </x:c>
      <x:c r="I1964" s="28" t="str">
        <x:v>Direct or strongly ADHD-related record retained for later screening; typically narrower treatment, biomarker, mechanistic, or single-comorbidity focus.</x:v>
      </x:c>
      <x:c r="J1964" s="38" t="e">
        <x:f>HYPERLINK("https://pubmed.ncbi.nlm.nih.gov/"&amp;C1964&amp;"/","Open PubMed")</x:f>
        <x:v>HYPERLINK is not implemented. linkLocation=https://pubmed.ncbi.nlm.nih.gov/42071162/, friendlyName=Open PubMed</x:v>
      </x:c>
    </x:row>
    <x:row r="1965">
      <x:c r="A1965" s="26" t="str">
        <x:v>PUBMED-42522250</x:v>
      </x:c>
      <x:c r="B1965" s="26" t="n">
        <x:v>2026</x:v>
      </x:c>
      <x:c r="C1965" s="26" t="str">
        <x:v>42522250</x:v>
      </x:c>
      <x:c r="D1965" s="28" t="str">
        <x:v>Sleep quality and cognitive disengagement syndrome as sequential mediators linking chronotype to ADHD symptom dimensions in adults with attentional complaints.</x:v>
      </x:c>
      <x:c r="E1965" s="28" t="str">
        <x:v>Primary study - cross-sectional</x:v>
      </x:c>
      <x:c r="F1965" s="28" t="str">
        <x:v>Development &amp; presentation; Recognition &amp; diagnosis; Social &amp; structural; Environmental &amp; lifestyle; Treatment &amp; support</x:v>
      </x:c>
      <x:c r="G1965" s="28" t="str">
        <x:v>Adulthood</x:v>
      </x:c>
      <x:c r="H1965" s="28" t="str">
        <x:v>Batch 1 core</x:v>
      </x:c>
      <x:c r="I1965" s="28" t="str">
        <x:v>Direct ADHD primary study on diagnosis, family/education, structural conditions, lived experience/outcomes, or environment/lifestyle.</x:v>
      </x:c>
      <x:c r="J1965" s="38" t="e">
        <x:f>HYPERLINK("https://pubmed.ncbi.nlm.nih.gov/"&amp;C1965&amp;"/","Open PubMed")</x:f>
        <x:v>HYPERLINK is not implemented. linkLocation=https://pubmed.ncbi.nlm.nih.gov/42522250/, friendlyName=Open PubMed</x:v>
      </x:c>
    </x:row>
    <x:row r="1966">
      <x:c r="A1966" s="26" t="str">
        <x:v>PUBMED-42052920</x:v>
      </x:c>
      <x:c r="B1966" s="26" t="n">
        <x:v>2026</x:v>
      </x:c>
      <x:c r="C1966" s="26" t="str">
        <x:v>42052920</x:v>
      </x:c>
      <x:c r="D1966" s="28" t="str">
        <x:v>Psychometric Evaluation of the Spanish Translation of the Disruptive-Behavior Disorder Rating Scale.</x:v>
      </x:c>
      <x:c r="E1966" s="28" t="str">
        <x:v>Primary/contextual journal article</x:v>
      </x:c>
      <x:c r="F1966" s="28" t="str">
        <x:v>Development &amp; presentation; Recognition &amp; diagnosis; Family &amp; education; Social &amp; structural</x:v>
      </x:c>
      <x:c r="G1966" s="28" t="str">
        <x:v>Childhood</x:v>
      </x:c>
      <x:c r="H1966" s="28" t="str">
        <x:v>Later specialized</x:v>
      </x:c>
      <x:c r="I1966" s="28" t="str">
        <x:v>Direct or strongly ADHD-related record retained for later screening; typically narrower treatment, biomarker, mechanistic, or single-comorbidity focus.</x:v>
      </x:c>
      <x:c r="J1966" s="38" t="e">
        <x:f>HYPERLINK("https://pubmed.ncbi.nlm.nih.gov/"&amp;C1966&amp;"/","Open PubMed")</x:f>
        <x:v>HYPERLINK is not implemented. linkLocation=https://pubmed.ncbi.nlm.nih.gov/42052920/, friendlyName=Open PubMed</x:v>
      </x:c>
    </x:row>
    <x:row r="1967">
      <x:c r="A1967" s="26" t="str">
        <x:v>PUBMED-42349229</x:v>
      </x:c>
      <x:c r="B1967" s="26" t="n">
        <x:v>2026</x:v>
      </x:c>
      <x:c r="C1967" s="26" t="str">
        <x:v>42349229</x:v>
      </x:c>
      <x:c r="D1967" s="28" t="str">
        <x:v>Early visual processing in adults with ADHD: evidence from contrast sensitivity, spatial integration, and external noise.</x:v>
      </x:c>
      <x:c r="E1967" s="28" t="str">
        <x:v>Primary/contextual journal article</x:v>
      </x:c>
      <x:c r="F1967" s="28" t="str">
        <x:v>Development &amp; presentation; Social &amp; structural</x:v>
      </x:c>
      <x:c r="G1967" s="28" t="str">
        <x:v>Adulthood</x:v>
      </x:c>
      <x:c r="H1967" s="28" t="str">
        <x:v>Later specialized</x:v>
      </x:c>
      <x:c r="I1967" s="28" t="str">
        <x:v>Direct or strongly ADHD-related record retained for later screening; typically narrower treatment, biomarker, mechanistic, or single-comorbidity focus.</x:v>
      </x:c>
      <x:c r="J1967" s="38" t="e">
        <x:f>HYPERLINK("https://pubmed.ncbi.nlm.nih.gov/"&amp;C1967&amp;"/","Open PubMed")</x:f>
        <x:v>HYPERLINK is not implemented. linkLocation=https://pubmed.ncbi.nlm.nih.gov/42349229/, friendlyName=Open PubMed</x:v>
      </x:c>
    </x:row>
    <x:row r="1968">
      <x:c r="A1968" s="26" t="str">
        <x:v>PUBMED-42281162</x:v>
      </x:c>
      <x:c r="B1968" s="26" t="n">
        <x:v>2026</x:v>
      </x:c>
      <x:c r="C1968" s="26" t="str">
        <x:v>42281162</x:v>
      </x:c>
      <x:c r="D1968" s="28" t="str">
        <x:v>Association Analysis Between HEI-2020 Index and Maternal Pregnancy Behaviors on ADHD in Adolescent Populations: A NHANES Cross-Sectional Study.</x:v>
      </x:c>
      <x:c r="E1968" s="28" t="str">
        <x:v>Primary study - cross-sectional</x:v>
      </x:c>
      <x:c r="F1968" s="28" t="str">
        <x:v>Development &amp; presentation; Social &amp; structural; Environmental &amp; lifestyle; Life outcomes &amp; lived experience; Historical &amp; contemporary context</x:v>
      </x:c>
      <x:c r="G1968" s="28" t="str">
        <x:v>Adolescence</x:v>
      </x:c>
      <x:c r="H1968" s="28" t="str">
        <x:v>Later specialized</x:v>
      </x:c>
      <x:c r="I1968" s="28" t="str">
        <x:v>Direct or strongly ADHD-related record retained for later screening; typically narrower treatment, biomarker, mechanistic, or single-comorbidity focus.</x:v>
      </x:c>
      <x:c r="J1968" s="38" t="e">
        <x:f>HYPERLINK("https://pubmed.ncbi.nlm.nih.gov/"&amp;C1968&amp;"/","Open PubMed")</x:f>
        <x:v>HYPERLINK is not implemented. linkLocation=https://pubmed.ncbi.nlm.nih.gov/42281162/, friendlyName=Open PubMed</x:v>
      </x:c>
    </x:row>
    <x:row r="1969">
      <x:c r="A1969" s="26" t="str">
        <x:v>PUBMED-42224207</x:v>
      </x:c>
      <x:c r="B1969" s="26" t="n">
        <x:v>2026</x:v>
      </x:c>
      <x:c r="C1969" s="26" t="str">
        <x:v>42224207</x:v>
      </x:c>
      <x:c r="D1969" s="28" t="str">
        <x:v>Evaluating large language models for ADHD education: A comparative study of ChatGPT 5, DeepSeek V3, and Grok 4.</x:v>
      </x:c>
      <x:c r="E1969" s="28" t="str">
        <x:v>Primary/contextual journal article</x:v>
      </x:c>
      <x:c r="F1969" s="28" t="str">
        <x:v>Development &amp; presentation; Recognition &amp; diagnosis; Family &amp; education; Social &amp; structural; Environmental &amp; lifestyle; Treatment &amp; support</x:v>
      </x:c>
      <x:c r="G1969" s="28" t="str">
        <x:v>Childhood</x:v>
      </x:c>
      <x:c r="H1969" s="28" t="str">
        <x:v>Later specialized</x:v>
      </x:c>
      <x:c r="I1969" s="28" t="str">
        <x:v>Direct or strongly ADHD-related record retained for later screening; typically narrower treatment, biomarker, mechanistic, or single-comorbidity focus.</x:v>
      </x:c>
      <x:c r="J1969" s="38" t="e">
        <x:f>HYPERLINK("https://pubmed.ncbi.nlm.nih.gov/"&amp;C1969&amp;"/","Open PubMed")</x:f>
        <x:v>HYPERLINK is not implemented. linkLocation=https://pubmed.ncbi.nlm.nih.gov/42224207/, friendlyName=Open PubMed</x:v>
      </x:c>
    </x:row>
    <x:row r="1970">
      <x:c r="A1970" s="26" t="str">
        <x:v>PUBMED-42550840</x:v>
      </x:c>
      <x:c r="B1970" s="26" t="n">
        <x:v>2026</x:v>
      </x:c>
      <x:c r="C1970" s="26" t="str">
        <x:v>42550840</x:v>
      </x:c>
      <x:c r="D1970" s="28" t="str">
        <x:v>Influence of the timing of brief, high-intensity cycling exercise on memory for novel words presented during an initial Portuguese lesson among older adolescents with ADHD: An exploratory study.</x:v>
      </x:c>
      <x:c r="E1970" s="28" t="str">
        <x:v>Primary study - randomized controlled trial</x:v>
      </x:c>
      <x:c r="F1970" s="28" t="str">
        <x:v>Development &amp; presentation; Recognition &amp; diagnosis; Social &amp; structural; Environmental &amp; lifestyle; Treatment &amp; support; Historical &amp; contemporary context</x:v>
      </x:c>
      <x:c r="G1970" s="28" t="str">
        <x:v>Adolescence; Adulthood</x:v>
      </x:c>
      <x:c r="H1970" s="28" t="str">
        <x:v>Later specialized</x:v>
      </x:c>
      <x:c r="I1970" s="28" t="str">
        <x:v>Direct or strongly ADHD-related record retained for later screening; typically narrower treatment, biomarker, mechanistic, or single-comorbidity focus.</x:v>
      </x:c>
      <x:c r="J1970" s="38" t="e">
        <x:f>HYPERLINK("https://pubmed.ncbi.nlm.nih.gov/"&amp;C1970&amp;"/","Open PubMed")</x:f>
        <x:v>HYPERLINK is not implemented. linkLocation=https://pubmed.ncbi.nlm.nih.gov/42550840/, friendlyName=Open PubMed</x:v>
      </x:c>
    </x:row>
    <x:row r="1971">
      <x:c r="A1971" s="26" t="str">
        <x:v>PUBMED-42248035</x:v>
      </x:c>
      <x:c r="B1971" s="26" t="n">
        <x:v>2026</x:v>
      </x:c>
      <x:c r="C1971" s="26" t="str">
        <x:v>42248035</x:v>
      </x:c>
      <x:c r="D1971" s="28" t="str">
        <x:v>Does opioid replacement therapy for infants with prenatal opioid exposure modify the risk of ADHD in childhood? A matched cohort analysis.</x:v>
      </x:c>
      <x:c r="E1971" s="28" t="str">
        <x:v>Primary study - cohort</x:v>
      </x:c>
      <x:c r="F1971" s="28" t="str">
        <x:v>Development &amp; presentation; Recognition &amp; diagnosis; Family &amp; education; Social &amp; structural; Environmental &amp; lifestyle; Treatment &amp; support; Life outcomes &amp; lived experience</x:v>
      </x:c>
      <x:c r="G1971" s="28" t="str">
        <x:v>Childhood; Adulthood</x:v>
      </x:c>
      <x:c r="H1971" s="28" t="str">
        <x:v>Later specialized</x:v>
      </x:c>
      <x:c r="I1971" s="28" t="str">
        <x:v>Direct or strongly ADHD-related record retained for later screening; typically narrower treatment, biomarker, mechanistic, or single-comorbidity focus.</x:v>
      </x:c>
      <x:c r="J1971" s="38" t="e">
        <x:f>HYPERLINK("https://pubmed.ncbi.nlm.nih.gov/"&amp;C1971&amp;"/","Open PubMed")</x:f>
        <x:v>HYPERLINK is not implemented. linkLocation=https://pubmed.ncbi.nlm.nih.gov/42248035/, friendlyName=Open PubMed</x:v>
      </x:c>
    </x:row>
    <x:row r="1972">
      <x:c r="A1972" s="26" t="str">
        <x:v>PUBMED-42203947</x:v>
      </x:c>
      <x:c r="B1972" s="26" t="n">
        <x:v>2026</x:v>
      </x:c>
      <x:c r="C1972" s="26" t="str">
        <x:v>42203947</x:v>
      </x:c>
      <x:c r="D1972" s="28" t="str">
        <x:v>Impulsivity and inattention in hand tendon injuries: a case-control study revealing distinct profiles for work-related accidents.</x:v>
      </x:c>
      <x:c r="E1972" s="28" t="str">
        <x:v>Primary study - case-control</x:v>
      </x:c>
      <x:c r="F1972" s="28" t="str">
        <x:v>Development &amp; presentation; Recognition &amp; diagnosis; Social &amp; structural; Environmental &amp; lifestyle; Treatment &amp; support; Life outcomes &amp; lived experience</x:v>
      </x:c>
      <x:c r="G1972" s="28" t="str">
        <x:v>Adulthood</x:v>
      </x:c>
      <x:c r="H1972" s="28" t="str">
        <x:v>Exclude/incidental</x:v>
      </x:c>
      <x:c r="I1972" s="28" t="str">
        <x:v>ADHD appears peripheral or insufficiently aligned with the requested corpus scope based on accessible metadata/abstract.</x:v>
      </x:c>
      <x:c r="J1972" s="38" t="e">
        <x:f>HYPERLINK("https://pubmed.ncbi.nlm.nih.gov/"&amp;C1972&amp;"/","Open PubMed")</x:f>
        <x:v>HYPERLINK is not implemented. linkLocation=https://pubmed.ncbi.nlm.nih.gov/42203947/, friendlyName=Open PubMed</x:v>
      </x:c>
    </x:row>
    <x:row r="1973">
      <x:c r="A1973" s="26" t="str">
        <x:v>PUBMED-42431563</x:v>
      </x:c>
      <x:c r="B1973" s="26" t="n">
        <x:v>2026</x:v>
      </x:c>
      <x:c r="C1973" s="26" t="str">
        <x:v>42431563</x:v>
      </x:c>
      <x:c r="D1973" s="28" t="str">
        <x:v>Habenula as a neural mediator of inattentive traits and sustained attention variability: A 7-tesla magnetic resonance imaging study.</x:v>
      </x:c>
      <x:c r="E1973" s="28" t="str">
        <x:v>Primary/contextual journal article</x:v>
      </x:c>
      <x:c r="F1973" s="28" t="str">
        <x:v>Development &amp; presentation; Recognition &amp; diagnosis; Family &amp; education; Social &amp; structural; Life outcomes &amp; lived experience</x:v>
      </x:c>
      <x:c r="G1973" s="28" t="str">
        <x:v>Adolescence; Adulthood</x:v>
      </x:c>
      <x:c r="H1973" s="28" t="str">
        <x:v>Later specialized</x:v>
      </x:c>
      <x:c r="I1973" s="28" t="str">
        <x:v>Direct or strongly ADHD-related record retained for later screening; typically narrower treatment, biomarker, mechanistic, or single-comorbidity focus.</x:v>
      </x:c>
      <x:c r="J1973" s="38" t="e">
        <x:f>HYPERLINK("https://pubmed.ncbi.nlm.nih.gov/"&amp;C1973&amp;"/","Open PubMed")</x:f>
        <x:v>HYPERLINK is not implemented. linkLocation=https://pubmed.ncbi.nlm.nih.gov/42431563/, friendlyName=Open PubMed</x:v>
      </x:c>
    </x:row>
    <x:row r="1974">
      <x:c r="A1974" s="26" t="str">
        <x:v>PUBMED-42433147</x:v>
      </x:c>
      <x:c r="B1974" s="26" t="n">
        <x:v>2026</x:v>
      </x:c>
      <x:c r="C1974" s="26" t="str">
        <x:v>42433147</x:v>
      </x:c>
      <x:c r="D1974" s="28" t="str">
        <x:v>Is It Cognitive Disengagement Syndrome Symptoms or Family Context? The Relationship Between Cognitive Disengagement Syndrome Symptoms in Children and Maternal Social Avoidance.</x:v>
      </x:c>
      <x:c r="E1974" s="28" t="str">
        <x:v>Primary study - cross-sectional</x:v>
      </x:c>
      <x:c r="F1974" s="28" t="str">
        <x:v>Development &amp; presentation; Recognition &amp; diagnosis; Family &amp; education; Social &amp; structural; Life outcomes &amp; lived experience</x:v>
      </x:c>
      <x:c r="G1974" s="28" t="str">
        <x:v>Childhood; Adolescence</x:v>
      </x:c>
      <x:c r="H1974" s="28" t="str">
        <x:v>Later specialized</x:v>
      </x:c>
      <x:c r="I1974" s="28" t="str">
        <x:v>Direct or strongly ADHD-related record retained for later screening; typically narrower treatment, biomarker, mechanistic, or single-comorbidity focus.</x:v>
      </x:c>
      <x:c r="J1974" s="38" t="e">
        <x:f>HYPERLINK("https://pubmed.ncbi.nlm.nih.gov/"&amp;C1974&amp;"/","Open PubMed")</x:f>
        <x:v>HYPERLINK is not implemented. linkLocation=https://pubmed.ncbi.nlm.nih.gov/42433147/, friendlyName=Open PubMed</x:v>
      </x:c>
    </x:row>
    <x:row r="1975">
      <x:c r="A1975" s="26" t="str">
        <x:v>PUBMED-41922914</x:v>
      </x:c>
      <x:c r="B1975" s="26" t="n">
        <x:v>2026</x:v>
      </x:c>
      <x:c r="C1975" s="26" t="str">
        <x:v>41922914</x:v>
      </x:c>
      <x:c r="D1975" s="28" t="str">
        <x:v>Mediating role of alcohol dependence in the associations between adult ADHD symptoms and a wide range of physical comorbidities.</x:v>
      </x:c>
      <x:c r="E1975" s="28" t="str">
        <x:v>Primary study - cross-sectional</x:v>
      </x:c>
      <x:c r="F1975" s="28" t="str">
        <x:v>Development &amp; presentation; Social &amp; structural; Environmental &amp; lifestyle; Treatment &amp; support</x:v>
      </x:c>
      <x:c r="G1975" s="28" t="str">
        <x:v>Adolescence; Adulthood</x:v>
      </x:c>
      <x:c r="H1975" s="28" t="str">
        <x:v>Later specialized</x:v>
      </x:c>
      <x:c r="I1975" s="28" t="str">
        <x:v>Direct or strongly ADHD-related record retained for later screening; typically narrower treatment, biomarker, mechanistic, or single-comorbidity focus.</x:v>
      </x:c>
      <x:c r="J1975" s="38" t="e">
        <x:f>HYPERLINK("https://pubmed.ncbi.nlm.nih.gov/"&amp;C1975&amp;"/","Open PubMed")</x:f>
        <x:v>HYPERLINK is not implemented. linkLocation=https://pubmed.ncbi.nlm.nih.gov/41922914/, friendlyName=Open PubMed</x:v>
      </x:c>
    </x:row>
    <x:row r="1976">
      <x:c r="A1976" s="26" t="str">
        <x:v>PUBMED-42437494</x:v>
      </x:c>
      <x:c r="B1976" s="26" t="n">
        <x:v>2026</x:v>
      </x:c>
      <x:c r="C1976" s="26" t="str">
        <x:v>42437494</x:v>
      </x:c>
      <x:c r="D1976" s="28" t="str">
        <x:v>Effects of Low, Moderate, and High Intensity Exercise on Functional Impairment and ADHD Symptoms: A Randomized Pilot Study.</x:v>
      </x:c>
      <x:c r="E1976" s="28" t="str">
        <x:v>Primary study - randomized controlled trial</x:v>
      </x:c>
      <x:c r="F1976" s="28" t="str">
        <x:v>Development &amp; presentation; Social &amp; structural; Environmental &amp; lifestyle; Treatment &amp; support; Life outcomes &amp; lived experience</x:v>
      </x:c>
      <x:c r="G1976" s="28" t="str">
        <x:v>Childhood; Adulthood</x:v>
      </x:c>
      <x:c r="H1976" s="28" t="str">
        <x:v>Later specialized</x:v>
      </x:c>
      <x:c r="I1976" s="28" t="str">
        <x:v>Direct or strongly ADHD-related record retained for later screening; typically narrower treatment, biomarker, mechanistic, or single-comorbidity focus.</x:v>
      </x:c>
      <x:c r="J1976" s="38" t="e">
        <x:f>HYPERLINK("https://pubmed.ncbi.nlm.nih.gov/"&amp;C1976&amp;"/","Open PubMed")</x:f>
        <x:v>HYPERLINK is not implemented. linkLocation=https://pubmed.ncbi.nlm.nih.gov/42437494/, friendlyName=Open PubMed</x:v>
      </x:c>
    </x:row>
    <x:row r="1977">
      <x:c r="A1977" s="26" t="str">
        <x:v>PUBMED-42634153</x:v>
      </x:c>
      <x:c r="B1977" s="26" t="n">
        <x:v>2026</x:v>
      </x:c>
      <x:c r="C1977" s="26" t="str">
        <x:v>42634153</x:v>
      </x:c>
      <x:c r="D1977" s="28" t="str">
        <x:v>Social Dysfunction in ADHD Children Associated With Increased Amygdala Functional Connectivity Instability: A Static and Dynamic Functional Connectivity Study.</x:v>
      </x:c>
      <x:c r="E1977" s="28" t="str">
        <x:v>Primary/contextual journal article</x:v>
      </x:c>
      <x:c r="F1977" s="28" t="str">
        <x:v>Development &amp; presentation; Recognition &amp; diagnosis; Life outcomes &amp; lived experience</x:v>
      </x:c>
      <x:c r="G1977" s="28" t="str">
        <x:v>Childhood; Adolescence</x:v>
      </x:c>
      <x:c r="H1977" s="28" t="str">
        <x:v>Later specialized</x:v>
      </x:c>
      <x:c r="I1977" s="28" t="str">
        <x:v>Direct or strongly ADHD-related record retained for later screening; typically narrower treatment, biomarker, mechanistic, or single-comorbidity focus.</x:v>
      </x:c>
      <x:c r="J1977" s="38" t="e">
        <x:f>HYPERLINK("https://pubmed.ncbi.nlm.nih.gov/"&amp;C1977&amp;"/","Open PubMed")</x:f>
        <x:v>HYPERLINK is not implemented. linkLocation=https://pubmed.ncbi.nlm.nih.gov/42634153/, friendlyName=Open PubMed</x:v>
      </x:c>
    </x:row>
    <x:row r="1978">
      <x:c r="A1978" s="26" t="str">
        <x:v>PUBMED-42530989</x:v>
      </x:c>
      <x:c r="B1978" s="26" t="n">
        <x:v>2026</x:v>
      </x:c>
      <x:c r="C1978" s="26" t="str">
        <x:v>42530989</x:v>
      </x:c>
      <x:c r="D1978" s="28" t="str">
        <x:v>Convergence between task performance scores, researcher observations, and parent ratings of executive functions and emotion regulation in neurodiverse toddlers at 20 months.</x:v>
      </x:c>
      <x:c r="E1978" s="28" t="str">
        <x:v>Primary/contextual journal article</x:v>
      </x:c>
      <x:c r="F1978" s="28" t="str">
        <x:v>Development &amp; presentation; Recognition &amp; diagnosis; Family &amp; education; Social &amp; structural; Historical &amp; contemporary context</x:v>
      </x:c>
      <x:c r="G1978" s="28" t="str">
        <x:v>Childhood</x:v>
      </x:c>
      <x:c r="H1978" s="28" t="str">
        <x:v>Later specialized</x:v>
      </x:c>
      <x:c r="I1978" s="28" t="str">
        <x:v>Direct or strongly ADHD-related record retained for later screening; typically narrower treatment, biomarker, mechanistic, or single-comorbidity focus.</x:v>
      </x:c>
      <x:c r="J1978" s="38" t="e">
        <x:f>HYPERLINK("https://pubmed.ncbi.nlm.nih.gov/"&amp;C1978&amp;"/","Open PubMed")</x:f>
        <x:v>HYPERLINK is not implemented. linkLocation=https://pubmed.ncbi.nlm.nih.gov/42530989/, friendlyName=Open PubMed</x:v>
      </x:c>
    </x:row>
    <x:row r="1979">
      <x:c r="A1979" s="26" t="str">
        <x:v>PUBMED-42751909</x:v>
      </x:c>
      <x:c r="B1979" s="26" t="n">
        <x:v>2026</x:v>
      </x:c>
      <x:c r="C1979" s="26" t="str">
        <x:v>42751909</x:v>
      </x:c>
      <x:c r="D1979" s="28" t="str">
        <x:v>[Advances in the application of individualized white-matter functional networks in children and adolescents with attention-deficit/hyperactivity disorder].</x:v>
      </x:c>
      <x:c r="E1979" s="28" t="str">
        <x:v>Evidence synthesis - review</x:v>
      </x:c>
      <x:c r="F1979" s="28" t="str">
        <x:v>Development &amp; presentation; Recognition &amp; diagnosis; Social &amp; structural</x:v>
      </x:c>
      <x:c r="G1979" s="28" t="str">
        <x:v>Childhood; Adolescence</x:v>
      </x:c>
      <x:c r="H1979" s="28" t="str">
        <x:v>Later specialized</x:v>
      </x:c>
      <x:c r="I1979" s="28" t="str">
        <x:v>Direct or strongly ADHD-related record retained for later screening; typically narrower treatment, biomarker, mechanistic, or single-comorbidity focus.</x:v>
      </x:c>
      <x:c r="J1979" s="38" t="e">
        <x:f>HYPERLINK("https://pubmed.ncbi.nlm.nih.gov/"&amp;C1979&amp;"/","Open PubMed")</x:f>
        <x:v>HYPERLINK is not implemented. linkLocation=https://pubmed.ncbi.nlm.nih.gov/42751909/, friendlyName=Open PubMed</x:v>
      </x:c>
    </x:row>
    <x:row r="1980">
      <x:c r="A1980" s="26" t="str">
        <x:v>PUBMED-42520364</x:v>
      </x:c>
      <x:c r="B1980" s="26" t="n">
        <x:v>2026</x:v>
      </x:c>
      <x:c r="C1980" s="26" t="str">
        <x:v>42520364</x:v>
      </x:c>
      <x:c r="D1980" s="28" t="str">
        <x:v>The Role of Clinical Characterization on Altered White Matter Integrity in Gross Motor Skills of Children With Developmental Coordination Disorder.</x:v>
      </x:c>
      <x:c r="E1980" s="28" t="str">
        <x:v>Primary/contextual journal article</x:v>
      </x:c>
      <x:c r="F1980" s="28" t="str">
        <x:v>Development &amp; presentation; Recognition &amp; diagnosis; Family &amp; education; Social &amp; structural; Environmental &amp; lifestyle</x:v>
      </x:c>
      <x:c r="G1980" s="28" t="str">
        <x:v>Childhood</x:v>
      </x:c>
      <x:c r="H1980" s="28" t="str">
        <x:v>Exclude/incidental</x:v>
      </x:c>
      <x:c r="I1980" s="28" t="str">
        <x:v>ADHD appears peripheral or insufficiently aligned with the requested corpus scope based on accessible metadata/abstract.</x:v>
      </x:c>
      <x:c r="J1980" s="38" t="e">
        <x:f>HYPERLINK("https://pubmed.ncbi.nlm.nih.gov/"&amp;C1980&amp;"/","Open PubMed")</x:f>
        <x:v>HYPERLINK is not implemented. linkLocation=https://pubmed.ncbi.nlm.nih.gov/42520364/, friendlyName=Open PubMed</x:v>
      </x:c>
    </x:row>
    <x:row r="1981">
      <x:c r="A1981" s="26" t="str">
        <x:v>PUBMED-42740682</x:v>
      </x:c>
      <x:c r="B1981" s="26" t="n">
        <x:v>2026</x:v>
      </x:c>
      <x:c r="C1981" s="26" t="str">
        <x:v>42740682</x:v>
      </x:c>
      <x:c r="D1981" s="28" t="str">
        <x:v>Psychometric Evaluation of the Turkish Mind Excessively Wandering Scale in Adolescents With ADHD: Exploratory Findings on Age-Related Differences in Excessive Mind Wandering.</x:v>
      </x:c>
      <x:c r="E1981" s="28" t="str">
        <x:v>Primary/contextual journal article</x:v>
      </x:c>
      <x:c r="F1981" s="28" t="str">
        <x:v>Development &amp; presentation; Recognition &amp; diagnosis; Social &amp; structural; Life outcomes &amp; lived experience</x:v>
      </x:c>
      <x:c r="G1981" s="28" t="str">
        <x:v>Adolescence</x:v>
      </x:c>
      <x:c r="H1981" s="28" t="str">
        <x:v>Later specialized</x:v>
      </x:c>
      <x:c r="I1981" s="28" t="str">
        <x:v>Direct or strongly ADHD-related record retained for later screening; typically narrower treatment, biomarker, mechanistic, or single-comorbidity focus.</x:v>
      </x:c>
      <x:c r="J1981" s="38" t="e">
        <x:f>HYPERLINK("https://pubmed.ncbi.nlm.nih.gov/"&amp;C1981&amp;"/","Open PubMed")</x:f>
        <x:v>HYPERLINK is not implemented. linkLocation=https://pubmed.ncbi.nlm.nih.gov/42740682/, friendlyName=Open PubMed</x:v>
      </x:c>
    </x:row>
    <x:row r="1982">
      <x:c r="A1982" s="26" t="str">
        <x:v>PUBMED-42251260</x:v>
      </x:c>
      <x:c r="B1982" s="26" t="n">
        <x:v>2026</x:v>
      </x:c>
      <x:c r="C1982" s="26" t="str">
        <x:v>42251260</x:v>
      </x:c>
      <x:c r="D1982" s="28" t="str">
        <x:v>Understanding the mechanistic links between neurodevelopmental traits and internalising problems: the mediating roles of intolerance of uncertainty and negative problem orientation.</x:v>
      </x:c>
      <x:c r="E1982" s="28" t="str">
        <x:v>Primary/contextual journal article</x:v>
      </x:c>
      <x:c r="F1982" s="28" t="str">
        <x:v>Development &amp; presentation; Family &amp; education; Social &amp; structural; Life outcomes &amp; lived experience</x:v>
      </x:c>
      <x:c r="G1982" s="28" t="str">
        <x:v>Adolescence; Adulthood</x:v>
      </x:c>
      <x:c r="H1982" s="28" t="str">
        <x:v>Later specialized</x:v>
      </x:c>
      <x:c r="I1982" s="28" t="str">
        <x:v>Direct or strongly ADHD-related record retained for later screening; typically narrower treatment, biomarker, mechanistic, or single-comorbidity focus.</x:v>
      </x:c>
      <x:c r="J1982" s="38" t="e">
        <x:f>HYPERLINK("https://pubmed.ncbi.nlm.nih.gov/"&amp;C1982&amp;"/","Open PubMed")</x:f>
        <x:v>HYPERLINK is not implemented. linkLocation=https://pubmed.ncbi.nlm.nih.gov/42251260/, friendlyName=Open PubMed</x:v>
      </x:c>
    </x:row>
    <x:row r="1983">
      <x:c r="A1983" s="26" t="str">
        <x:v>PUBMED-41967364</x:v>
      </x:c>
      <x:c r="B1983" s="26" t="n">
        <x:v>2026</x:v>
      </x:c>
      <x:c r="C1983" s="26" t="str">
        <x:v>41967364</x:v>
      </x:c>
      <x:c r="D1983" s="28" t="str">
        <x:v>Effectiveness of intermittent theta-burst stimulation for major depressive disorder with and without neurodevelopmental comorbidities: A real-world retrospective observational study.</x:v>
      </x:c>
      <x:c r="E1983" s="28" t="str">
        <x:v>Primary study - cohort</x:v>
      </x:c>
      <x:c r="F1983" s="28" t="str">
        <x:v>Development &amp; presentation; Recognition &amp; diagnosis; Social &amp; structural; Treatment &amp; support; Life outcomes &amp; lived experience; Historical &amp; contemporary context</x:v>
      </x:c>
      <x:c r="G1983" s="28" t="str">
        <x:v>Adolescence; Adulthood</x:v>
      </x:c>
      <x:c r="H1983" s="28" t="str">
        <x:v>Later specialized</x:v>
      </x:c>
      <x:c r="I1983" s="28" t="str">
        <x:v>Direct or strongly ADHD-related record retained for later screening; typically narrower treatment, biomarker, mechanistic, or single-comorbidity focus.</x:v>
      </x:c>
      <x:c r="J1983" s="38" t="e">
        <x:f>HYPERLINK("https://pubmed.ncbi.nlm.nih.gov/"&amp;C1983&amp;"/","Open PubMed")</x:f>
        <x:v>HYPERLINK is not implemented. linkLocation=https://pubmed.ncbi.nlm.nih.gov/41967364/, friendlyName=Open PubMed</x:v>
      </x:c>
    </x:row>
    <x:row r="1984">
      <x:c r="A1984" s="26" t="str">
        <x:v>PUBMED-41982066</x:v>
      </x:c>
      <x:c r="B1984" s="26" t="n">
        <x:v>2026</x:v>
      </x:c>
      <x:c r="C1984" s="26" t="str">
        <x:v>41982066</x:v>
      </x:c>
      <x:c r="D1984" s="28" t="str">
        <x:v>Unmasking Potential Impacts of Parent and Coparent ADHD on Mental Health in the First Year Postpartum.</x:v>
      </x:c>
      <x:c r="E1984" s="28" t="str">
        <x:v>Primary/contextual journal article</x:v>
      </x:c>
      <x:c r="F1984" s="28" t="str">
        <x:v>Development &amp; presentation; Recognition &amp; diagnosis; Family &amp; education; Social &amp; structural; Environmental &amp; lifestyle; Treatment &amp; support; Life outcomes &amp; lived experience; Historical &amp; contemporary context</x:v>
      </x:c>
      <x:c r="G1984" s="28" t="str">
        <x:v>Childhood; Adulthood</x:v>
      </x:c>
      <x:c r="H1984" s="28" t="str">
        <x:v>Later specialized</x:v>
      </x:c>
      <x:c r="I1984" s="28" t="str">
        <x:v>Direct or strongly ADHD-related record retained for later screening; typically narrower treatment, biomarker, mechanistic, or single-comorbidity focus.</x:v>
      </x:c>
      <x:c r="J1984" s="38" t="e">
        <x:f>HYPERLINK("https://pubmed.ncbi.nlm.nih.gov/"&amp;C1984&amp;"/","Open PubMed")</x:f>
        <x:v>HYPERLINK is not implemented. linkLocation=https://pubmed.ncbi.nlm.nih.gov/41982066/, friendlyName=Open PubMed</x:v>
      </x:c>
    </x:row>
    <x:row r="1985">
      <x:c r="A1985" s="26" t="str">
        <x:v>PUBMED-42616565</x:v>
      </x:c>
      <x:c r="B1985" s="26" t="n">
        <x:v>2026</x:v>
      </x:c>
      <x:c r="C1985" s="26" t="str">
        <x:v>42616565</x:v>
      </x:c>
      <x:c r="D1985" s="28" t="str">
        <x:v>Network Models for Assessing the Co-occurrence Between Stuttering and ADHD.</x:v>
      </x:c>
      <x:c r="E1985" s="28" t="str">
        <x:v>Primary/contextual journal article</x:v>
      </x:c>
      <x:c r="F1985" s="28" t="str">
        <x:v>Development &amp; presentation; Recognition &amp; diagnosis; Social &amp; structural; Life outcomes &amp; lived experience</x:v>
      </x:c>
      <x:c r="G1985" s="28" t="str">
        <x:v>Adolescence; Adulthood</x:v>
      </x:c>
      <x:c r="H1985" s="28" t="str">
        <x:v>Later specialized</x:v>
      </x:c>
      <x:c r="I1985" s="28" t="str">
        <x:v>Direct or strongly ADHD-related record retained for later screening; typically narrower treatment, biomarker, mechanistic, or single-comorbidity focus.</x:v>
      </x:c>
      <x:c r="J1985" s="38" t="e">
        <x:f>HYPERLINK("https://pubmed.ncbi.nlm.nih.gov/"&amp;C1985&amp;"/","Open PubMed")</x:f>
        <x:v>HYPERLINK is not implemented. linkLocation=https://pubmed.ncbi.nlm.nih.gov/42616565/, friendlyName=Open PubMed</x:v>
      </x:c>
    </x:row>
    <x:row r="1986">
      <x:c r="A1986" s="26" t="str">
        <x:v>PUBMED-42654244</x:v>
      </x:c>
      <x:c r="B1986" s="26" t="n">
        <x:v>2026</x:v>
      </x:c>
      <x:c r="C1986" s="26" t="str">
        <x:v>42654244</x:v>
      </x:c>
      <x:c r="D1986" s="28" t="str">
        <x:v>Decoding Communication Difficulties in ADHD: A Narrative Review on the Potential Links with Dietary Patterns, the Microbiome, and Oxidative Stress.</x:v>
      </x:c>
      <x:c r="E1986" s="28" t="str">
        <x:v>Evidence synthesis - review</x:v>
      </x:c>
      <x:c r="F1986" s="28" t="str">
        <x:v>Development &amp; presentation; Recognition &amp; diagnosis; Social &amp; structural; Environmental &amp; lifestyle; Treatment &amp; support; Life outcomes &amp; lived experience</x:v>
      </x:c>
      <x:c r="G1986" s="28" t="str">
        <x:v>Childhood</x:v>
      </x:c>
      <x:c r="H1986" s="28" t="str">
        <x:v>Batch 1 core</x:v>
      </x:c>
      <x:c r="I1986" s="28" t="str">
        <x:v>Direct ADHD evidence synthesis/guideline with broad multi-topic relevance.</x:v>
      </x:c>
      <x:c r="J1986" s="38" t="e">
        <x:f>HYPERLINK("https://pubmed.ncbi.nlm.nih.gov/"&amp;C1986&amp;"/","Open PubMed")</x:f>
        <x:v>HYPERLINK is not implemented. linkLocation=https://pubmed.ncbi.nlm.nih.gov/42654244/, friendlyName=Open PubMed</x:v>
      </x:c>
    </x:row>
    <x:row r="1987">
      <x:c r="A1987" s="26" t="str">
        <x:v>PUBMED-42105513</x:v>
      </x:c>
      <x:c r="B1987" s="26" t="n">
        <x:v>2026</x:v>
      </x:c>
      <x:c r="C1987" s="26" t="str">
        <x:v>42105513</x:v>
      </x:c>
      <x:c r="D1987" s="28" t="str">
        <x:v>Effects of the ECogFun‑VR program on executive functioning in children and adolescents with ADHD: A randomized controlled trial.</x:v>
      </x:c>
      <x:c r="E1987" s="28" t="str">
        <x:v>Primary study - randomized controlled trial</x:v>
      </x:c>
      <x:c r="F1987" s="28" t="str">
        <x:v>Development &amp; presentation; Recognition &amp; diagnosis; Family &amp; education; Social &amp; structural; Environmental &amp; lifestyle; Treatment &amp; support; Life outcomes &amp; lived experience</x:v>
      </x:c>
      <x:c r="G1987" s="28" t="str">
        <x:v>Childhood; Adolescence</x:v>
      </x:c>
      <x:c r="H1987" s="28" t="str">
        <x:v>Later specialized</x:v>
      </x:c>
      <x:c r="I1987" s="28" t="str">
        <x:v>Direct or strongly ADHD-related record retained for later screening; typically narrower treatment, biomarker, mechanistic, or single-comorbidity focus.</x:v>
      </x:c>
      <x:c r="J1987" s="38" t="e">
        <x:f>HYPERLINK("https://pubmed.ncbi.nlm.nih.gov/"&amp;C1987&amp;"/","Open PubMed")</x:f>
        <x:v>HYPERLINK is not implemented. linkLocation=https://pubmed.ncbi.nlm.nih.gov/42105513/, friendlyName=Open PubMed</x:v>
      </x:c>
    </x:row>
    <x:row r="1988">
      <x:c r="A1988" s="26" t="str">
        <x:v>PUBMED-41987674</x:v>
      </x:c>
      <x:c r="B1988" s="26" t="n">
        <x:v>2026</x:v>
      </x:c>
      <x:c r="C1988" s="26" t="str">
        <x:v>41987674</x:v>
      </x:c>
      <x:c r="D1988" s="28" t="str">
        <x:v>The Genetic Origin of Uneven Cognitive Profiles in Heritable Neurodevelopmental Conditions and Individual Differences: Computational Investigations.</x:v>
      </x:c>
      <x:c r="E1988" s="28" t="str">
        <x:v>Primary/contextual journal article</x:v>
      </x:c>
      <x:c r="F1988" s="28" t="str">
        <x:v>Development &amp; presentation; Social &amp; structural; Life outcomes &amp; lived experience; Historical &amp; contemporary context</x:v>
      </x:c>
      <x:c r="G1988" s="28" t="str">
        <x:v>Adulthood</x:v>
      </x:c>
      <x:c r="H1988" s="28" t="str">
        <x:v>Exclude/incidental</x:v>
      </x:c>
      <x:c r="I1988" s="28" t="str">
        <x:v>ADHD appears peripheral or insufficiently aligned with the requested corpus scope based on accessible metadata/abstract.</x:v>
      </x:c>
      <x:c r="J1988" s="38" t="e">
        <x:f>HYPERLINK("https://pubmed.ncbi.nlm.nih.gov/"&amp;C1988&amp;"/","Open PubMed")</x:f>
        <x:v>HYPERLINK is not implemented. linkLocation=https://pubmed.ncbi.nlm.nih.gov/41987674/, friendlyName=Open PubMed</x:v>
      </x:c>
    </x:row>
    <x:row r="1989">
      <x:c r="A1989" s="26" t="str">
        <x:v>PUBMED-42025101</x:v>
      </x:c>
      <x:c r="B1989" s="26" t="n">
        <x:v>2026</x:v>
      </x:c>
      <x:c r="C1989" s="26" t="str">
        <x:v>42025101</x:v>
      </x:c>
      <x:c r="D1989" s="28" t="str">
        <x:v>Comparing ADHD symptom network structure in Chinese youth with ADHD: ADHD alone vs. ADHD with comorbidities.</x:v>
      </x:c>
      <x:c r="E1989" s="28" t="str">
        <x:v>Primary/contextual journal article</x:v>
      </x:c>
      <x:c r="F1989" s="28" t="str">
        <x:v>Development &amp; presentation; Recognition &amp; diagnosis; Family &amp; education; Social &amp; structural</x:v>
      </x:c>
      <x:c r="G1989" s="28" t="str">
        <x:v>Childhood; Adolescence</x:v>
      </x:c>
      <x:c r="H1989" s="28" t="str">
        <x:v>Later specialized</x:v>
      </x:c>
      <x:c r="I1989" s="28" t="str">
        <x:v>Direct or strongly ADHD-related record retained for later screening; typically narrower treatment, biomarker, mechanistic, or single-comorbidity focus.</x:v>
      </x:c>
      <x:c r="J1989" s="38" t="e">
        <x:f>HYPERLINK("https://pubmed.ncbi.nlm.nih.gov/"&amp;C1989&amp;"/","Open PubMed")</x:f>
        <x:v>HYPERLINK is not implemented. linkLocation=https://pubmed.ncbi.nlm.nih.gov/42025101/, friendlyName=Open PubMed</x:v>
      </x:c>
    </x:row>
    <x:row r="1990">
      <x:c r="A1990" s="26" t="str">
        <x:v>PUBMED-42202754</x:v>
      </x:c>
      <x:c r="B1990" s="26" t="n">
        <x:v>2026</x:v>
      </x:c>
      <x:c r="C1990" s="26" t="str">
        <x:v>42202754</x:v>
      </x:c>
      <x:c r="D1990" s="28" t="str">
        <x:v>UPLC-MS/MS method for quantifying non-stimulant ADHD medications in human breast milk and plasma: Application in a lactating patient receiving atomoxetine.</x:v>
      </x:c>
      <x:c r="E1990" s="28" t="str">
        <x:v>Primary/contextual journal article</x:v>
      </x:c>
      <x:c r="F1990" s="28" t="str">
        <x:v>Development &amp; presentation; Social &amp; structural; Treatment &amp; support</x:v>
      </x:c>
      <x:c r="G1990" s="28" t="str">
        <x:v>Adulthood</x:v>
      </x:c>
      <x:c r="H1990" s="28" t="str">
        <x:v>Later specialized</x:v>
      </x:c>
      <x:c r="I1990" s="28" t="str">
        <x:v>Direct or strongly ADHD-related record retained for later screening; typically narrower treatment, biomarker, mechanistic, or single-comorbidity focus.</x:v>
      </x:c>
      <x:c r="J1990" s="38" t="e">
        <x:f>HYPERLINK("https://pubmed.ncbi.nlm.nih.gov/"&amp;C1990&amp;"/","Open PubMed")</x:f>
        <x:v>HYPERLINK is not implemented. linkLocation=https://pubmed.ncbi.nlm.nih.gov/42202754/, friendlyName=Open PubMed</x:v>
      </x:c>
    </x:row>
    <x:row r="1991">
      <x:c r="A1991" s="26" t="str">
        <x:v>PUBMED-42026819</x:v>
      </x:c>
      <x:c r="B1991" s="26" t="n">
        <x:v>2026</x:v>
      </x:c>
      <x:c r="C1991" s="26" t="str">
        <x:v>42026819</x:v>
      </x:c>
      <x:c r="D1991" s="28" t="str">
        <x:v>ADHD Symptoms, Internalizing Symptoms, and Friendship Features in Emerging Adults: The Moderating Effect of Cognitive Disengagement Syndrome Symptoms.</x:v>
      </x:c>
      <x:c r="E1991" s="28" t="str">
        <x:v>Primary/contextual journal article</x:v>
      </x:c>
      <x:c r="F1991" s="28" t="str">
        <x:v>Development &amp; presentation; Social &amp; structural; Life outcomes &amp; lived experience</x:v>
      </x:c>
      <x:c r="G1991" s="28" t="str">
        <x:v>Adolescence; Adulthood</x:v>
      </x:c>
      <x:c r="H1991" s="28" t="str">
        <x:v>Later specialized</x:v>
      </x:c>
      <x:c r="I1991" s="28" t="str">
        <x:v>Direct or strongly ADHD-related record retained for later screening; typically narrower treatment, biomarker, mechanistic, or single-comorbidity focus.</x:v>
      </x:c>
      <x:c r="J1991" s="38" t="e">
        <x:f>HYPERLINK("https://pubmed.ncbi.nlm.nih.gov/"&amp;C1991&amp;"/","Open PubMed")</x:f>
        <x:v>HYPERLINK is not implemented. linkLocation=https://pubmed.ncbi.nlm.nih.gov/42026819/, friendlyName=Open PubMed</x:v>
      </x:c>
    </x:row>
    <x:row r="1992">
      <x:c r="A1992" s="26" t="str">
        <x:v>PUBMED-41916949</x:v>
      </x:c>
      <x:c r="B1992" s="26" t="n">
        <x:v>2026</x:v>
      </x:c>
      <x:c r="C1992" s="26" t="str">
        <x:v>41916949</x:v>
      </x:c>
      <x:c r="D1992" s="28" t="str">
        <x:v>ADHD polygenic risk predicts neural signatures of cognitive control: Evidence from midfrontal theta dynamics.</x:v>
      </x:c>
      <x:c r="E1992" s="28" t="str">
        <x:v>Primary/contextual journal article</x:v>
      </x:c>
      <x:c r="F1992" s="28" t="str">
        <x:v>Development &amp; presentation</x:v>
      </x:c>
      <x:c r="G1992" s="28" t="str">
        <x:v>Childhood; Adolescence</x:v>
      </x:c>
      <x:c r="H1992" s="28" t="str">
        <x:v>Later specialized</x:v>
      </x:c>
      <x:c r="I1992" s="28" t="str">
        <x:v>Direct or strongly ADHD-related record retained for later screening; typically narrower treatment, biomarker, mechanistic, or single-comorbidity focus.</x:v>
      </x:c>
      <x:c r="J1992" s="38" t="e">
        <x:f>HYPERLINK("https://pubmed.ncbi.nlm.nih.gov/"&amp;C1992&amp;"/","Open PubMed")</x:f>
        <x:v>HYPERLINK is not implemented. linkLocation=https://pubmed.ncbi.nlm.nih.gov/41916949/, friendlyName=Open PubMed</x:v>
      </x:c>
    </x:row>
    <x:row r="1993">
      <x:c r="A1993" s="26" t="str">
        <x:v>PUBMED-42372671</x:v>
      </x:c>
      <x:c r="B1993" s="26" t="n">
        <x:v>2026</x:v>
      </x:c>
      <x:c r="C1993" s="26" t="str">
        <x:v>42372671</x:v>
      </x:c>
      <x:c r="D1993" s="28" t="str">
        <x:v>Beyond general depression: Premenstrual interpersonal anger as a unique pathway to suicidal ideation in adolescent females with ADHD.</x:v>
      </x:c>
      <x:c r="E1993" s="28" t="str">
        <x:v>Primary/contextual journal article</x:v>
      </x:c>
      <x:c r="F1993" s="28" t="str">
        <x:v>Development &amp; presentation; Recognition &amp; diagnosis; Social &amp; structural; Environmental &amp; lifestyle</x:v>
      </x:c>
      <x:c r="G1993" s="28" t="str">
        <x:v>Adolescence</x:v>
      </x:c>
      <x:c r="H1993" s="28" t="str">
        <x:v>Later specialized</x:v>
      </x:c>
      <x:c r="I1993" s="28" t="str">
        <x:v>Direct or strongly ADHD-related record retained for later screening; typically narrower treatment, biomarker, mechanistic, or single-comorbidity focus.</x:v>
      </x:c>
      <x:c r="J1993" s="38" t="e">
        <x:f>HYPERLINK("https://pubmed.ncbi.nlm.nih.gov/"&amp;C1993&amp;"/","Open PubMed")</x:f>
        <x:v>HYPERLINK is not implemented. linkLocation=https://pubmed.ncbi.nlm.nih.gov/42372671/, friendlyName=Open PubMed</x:v>
      </x:c>
    </x:row>
    <x:row r="1994">
      <x:c r="A1994" s="26" t="str">
        <x:v>PUBMED-42011000</x:v>
      </x:c>
      <x:c r="B1994" s="26" t="n">
        <x:v>2026</x:v>
      </x:c>
      <x:c r="C1994" s="26" t="str">
        <x:v>42011000</x:v>
      </x:c>
      <x:c r="D1994" s="28" t="str">
        <x:v>Time Trends in the Comorbid Psychiatric Disorders Among Children and Adolescents With Intellectual Disability in Korea: A Nationwide Study From 2012-2021.</x:v>
      </x:c>
      <x:c r="E1994" s="28" t="str">
        <x:v>Primary/contextual journal article</x:v>
      </x:c>
      <x:c r="F1994" s="28" t="str">
        <x:v>Development &amp; presentation; Recognition &amp; diagnosis; Family &amp; education; Social &amp; structural; Treatment &amp; support</x:v>
      </x:c>
      <x:c r="G1994" s="28" t="str">
        <x:v>Childhood; Adolescence</x:v>
      </x:c>
      <x:c r="H1994" s="28" t="str">
        <x:v>Later specialized</x:v>
      </x:c>
      <x:c r="I1994" s="28" t="str">
        <x:v>Direct or strongly ADHD-related record retained for later screening; typically narrower treatment, biomarker, mechanistic, or single-comorbidity focus.</x:v>
      </x:c>
      <x:c r="J1994" s="38" t="e">
        <x:f>HYPERLINK("https://pubmed.ncbi.nlm.nih.gov/"&amp;C1994&amp;"/","Open PubMed")</x:f>
        <x:v>HYPERLINK is not implemented. linkLocation=https://pubmed.ncbi.nlm.nih.gov/42011000/, friendlyName=Open PubMed</x:v>
      </x:c>
    </x:row>
    <x:row r="1995">
      <x:c r="A1995" s="26" t="str">
        <x:v>PUBMED-42107340</x:v>
      </x:c>
      <x:c r="B1995" s="26" t="n">
        <x:v>2026</x:v>
      </x:c>
      <x:c r="C1995" s="26" t="str">
        <x:v>42107340</x:v>
      </x:c>
      <x:c r="D1995" s="28" t="str">
        <x:v>Stringology-based motif discovery for electrophysiological time series: A framework for temporal pattern analysis with an ADHD case study.</x:v>
      </x:c>
      <x:c r="E1995" s="28" t="str">
        <x:v>Primary/contextual journal article</x:v>
      </x:c>
      <x:c r="F1995" s="28" t="str">
        <x:v>Development &amp; presentation; Recognition &amp; diagnosis</x:v>
      </x:c>
      <x:c r="G1995" s="28" t="str">
        <x:v>Childhood</x:v>
      </x:c>
      <x:c r="H1995" s="28" t="str">
        <x:v>Later specialized</x:v>
      </x:c>
      <x:c r="I1995" s="28" t="str">
        <x:v>Direct or strongly ADHD-related record retained for later screening; typically narrower treatment, biomarker, mechanistic, or single-comorbidity focus.</x:v>
      </x:c>
      <x:c r="J1995" s="38" t="e">
        <x:f>HYPERLINK("https://pubmed.ncbi.nlm.nih.gov/"&amp;C1995&amp;"/","Open PubMed")</x:f>
        <x:v>HYPERLINK is not implemented. linkLocation=https://pubmed.ncbi.nlm.nih.gov/42107340/, friendlyName=Open PubMed</x:v>
      </x:c>
    </x:row>
    <x:row r="1996">
      <x:c r="A1996" s="26" t="str">
        <x:v>PUBMED-42740304</x:v>
      </x:c>
      <x:c r="B1996" s="26" t="n">
        <x:v>2026</x:v>
      </x:c>
      <x:c r="C1996" s="26" t="str">
        <x:v>42740304</x:v>
      </x:c>
      <x:c r="D1996" s="28" t="str">
        <x:v>Neurophysiological Characterization of ADHD in Children Using EEG Signals: A Machine Learning Approach to Executive Function Networks.</x:v>
      </x:c>
      <x:c r="E1996" s="28" t="str">
        <x:v>Primary study - cohort</x:v>
      </x:c>
      <x:c r="F1996" s="28" t="str">
        <x:v>Development &amp; presentation; Recognition &amp; diagnosis; Social &amp; structural; Treatment &amp; support</x:v>
      </x:c>
      <x:c r="G1996" s="28" t="str">
        <x:v>Childhood</x:v>
      </x:c>
      <x:c r="H1996" s="28" t="str">
        <x:v>Batch 1 core</x:v>
      </x:c>
      <x:c r="I1996" s="28" t="str">
        <x:v>Direct ADHD primary study on diagnosis, family/education, structural conditions, lived experience/outcomes, or environment/lifestyle.</x:v>
      </x:c>
      <x:c r="J1996" s="38" t="e">
        <x:f>HYPERLINK("https://pubmed.ncbi.nlm.nih.gov/"&amp;C1996&amp;"/","Open PubMed")</x:f>
        <x:v>HYPERLINK is not implemented. linkLocation=https://pubmed.ncbi.nlm.nih.gov/42740304/, friendlyName=Open PubMed</x:v>
      </x:c>
    </x:row>
    <x:row r="1997">
      <x:c r="A1997" s="26" t="str">
        <x:v>PUBMED-42037335</x:v>
      </x:c>
      <x:c r="B1997" s="26" t="n">
        <x:v>2026</x:v>
      </x:c>
      <x:c r="C1997" s="26" t="str">
        <x:v>42037335</x:v>
      </x:c>
      <x:c r="D1997" s="28" t="str">
        <x:v>[Research on weighted hypergraph attention neural network for the diagnosis of psychiatric disorders using brain functional connectivity networks].</x:v>
      </x:c>
      <x:c r="E1997" s="28" t="str">
        <x:v>Primary/contextual journal article</x:v>
      </x:c>
      <x:c r="F1997" s="28" t="str">
        <x:v>Development &amp; presentation; Recognition &amp; diagnosis; Social &amp; structural</x:v>
      </x:c>
      <x:c r="G1997" s="28" t="str">
        <x:v>Not specified</x:v>
      </x:c>
      <x:c r="H1997" s="28" t="str">
        <x:v>Later specialized</x:v>
      </x:c>
      <x:c r="I1997" s="28" t="str">
        <x:v>Direct or strongly ADHD-related record retained for later screening; typically narrower treatment, biomarker, mechanistic, or single-comorbidity focus.</x:v>
      </x:c>
      <x:c r="J1997" s="38" t="e">
        <x:f>HYPERLINK("https://pubmed.ncbi.nlm.nih.gov/"&amp;C1997&amp;"/","Open PubMed")</x:f>
        <x:v>HYPERLINK is not implemented. linkLocation=https://pubmed.ncbi.nlm.nih.gov/42037335/, friendlyName=Open PubMed</x:v>
      </x:c>
    </x:row>
    <x:row r="1998">
      <x:c r="A1998" s="26" t="str">
        <x:v>PUBMED-42192340</x:v>
      </x:c>
      <x:c r="B1998" s="26" t="n">
        <x:v>2026</x:v>
      </x:c>
      <x:c r="C1998" s="26" t="str">
        <x:v>42192340</x:v>
      </x:c>
      <x:c r="D1998" s="28" t="str">
        <x:v>Cultural adaptation of the New Forest Parenting Program (NFPP) for ADHD in HIV-infected children in Uganda: a feasibility and pilot investigation.</x:v>
      </x:c>
      <x:c r="E1998" s="28" t="str">
        <x:v>Primary/contextual journal article</x:v>
      </x:c>
      <x:c r="F1998" s="28" t="str">
        <x:v>Development &amp; presentation; Family &amp; education; Social &amp; structural; Environmental &amp; lifestyle; Treatment &amp; support</x:v>
      </x:c>
      <x:c r="G1998" s="28" t="str">
        <x:v>Childhood; Adolescence</x:v>
      </x:c>
      <x:c r="H1998" s="28" t="str">
        <x:v>Later specialized</x:v>
      </x:c>
      <x:c r="I1998" s="28" t="str">
        <x:v>Direct or strongly ADHD-related record retained for later screening; typically narrower treatment, biomarker, mechanistic, or single-comorbidity focus.</x:v>
      </x:c>
      <x:c r="J1998" s="38" t="e">
        <x:f>HYPERLINK("https://pubmed.ncbi.nlm.nih.gov/"&amp;C1998&amp;"/","Open PubMed")</x:f>
        <x:v>HYPERLINK is not implemented. linkLocation=https://pubmed.ncbi.nlm.nih.gov/42192340/, friendlyName=Open PubMed</x:v>
      </x:c>
    </x:row>
    <x:row r="1999">
      <x:c r="A1999" s="26" t="str">
        <x:v>PUBMED-42102505</x:v>
      </x:c>
      <x:c r="B1999" s="26" t="n">
        <x:v>2026</x:v>
      </x:c>
      <x:c r="C1999" s="26" t="str">
        <x:v>42102505</x:v>
      </x:c>
      <x:c r="D1999" s="28" t="str">
        <x:v>A multidimensional model of Maladaptive Daydreaming: Integrating neurodevelopmental traits, digital addictions, psychosocial vulnerabilities, and mental well-being among emerging adults.</x:v>
      </x:c>
      <x:c r="E1999" s="28" t="str">
        <x:v>Primary/contextual journal article</x:v>
      </x:c>
      <x:c r="F1999" s="28" t="str">
        <x:v>Development &amp; presentation; Social &amp; structural; Environmental &amp; lifestyle; Treatment &amp; support; Historical &amp; contemporary context</x:v>
      </x:c>
      <x:c r="G1999" s="28" t="str">
        <x:v>Adolescence; Adulthood</x:v>
      </x:c>
      <x:c r="H1999" s="28" t="str">
        <x:v>Later specialized</x:v>
      </x:c>
      <x:c r="I1999" s="28" t="str">
        <x:v>Direct or strongly ADHD-related record retained for later screening; typically narrower treatment, biomarker, mechanistic, or single-comorbidity focus.</x:v>
      </x:c>
      <x:c r="J1999" s="38" t="e">
        <x:f>HYPERLINK("https://pubmed.ncbi.nlm.nih.gov/"&amp;C1999&amp;"/","Open PubMed")</x:f>
        <x:v>HYPERLINK is not implemented. linkLocation=https://pubmed.ncbi.nlm.nih.gov/42102505/, friendlyName=Open PubMed</x:v>
      </x:c>
    </x:row>
    <x:row r="2000">
      <x:c r="A2000" s="26" t="str">
        <x:v>PUBMED-42679659</x:v>
      </x:c>
      <x:c r="B2000" s="26" t="n">
        <x:v>2026</x:v>
      </x:c>
      <x:c r="C2000" s="26" t="str">
        <x:v>42679659</x:v>
      </x:c>
      <x:c r="D2000" s="28" t="str">
        <x:v>Lack of beneficial effect of planned treatment interruption in adults with ADHD treated with methylphenidate - clinical evidence.</x:v>
      </x:c>
      <x:c r="E2000" s="28" t="str">
        <x:v>Primary study - cohort</x:v>
      </x:c>
      <x:c r="F2000" s="28" t="str">
        <x:v>Development &amp; presentation; Social &amp; structural; Environmental &amp; lifestyle; Treatment &amp; support; Life outcomes &amp; lived experience</x:v>
      </x:c>
      <x:c r="G2000" s="28" t="str">
        <x:v>Adulthood</x:v>
      </x:c>
      <x:c r="H2000" s="28" t="str">
        <x:v>Later specialized</x:v>
      </x:c>
      <x:c r="I2000" s="28" t="str">
        <x:v>Direct or strongly ADHD-related record retained for later screening; typically narrower treatment, biomarker, mechanistic, or single-comorbidity focus.</x:v>
      </x:c>
      <x:c r="J2000" s="38" t="e">
        <x:f>HYPERLINK("https://pubmed.ncbi.nlm.nih.gov/"&amp;C2000&amp;"/","Open PubMed")</x:f>
        <x:v>HYPERLINK is not implemented. linkLocation=https://pubmed.ncbi.nlm.nih.gov/42679659/, friendlyName=Open PubMed</x:v>
      </x:c>
    </x:row>
    <x:row r="2001">
      <x:c r="A2001" s="26" t="str">
        <x:v>PUBMED-42659559</x:v>
      </x:c>
      <x:c r="B2001" s="26" t="n">
        <x:v>2026</x:v>
      </x:c>
      <x:c r="C2001" s="26" t="str">
        <x:v>42659559</x:v>
      </x:c>
      <x:c r="D2001" s="28" t="str">
        <x:v>[Content validity and linguistic suitability of an ADHD assessment tool based on DSM-5 for parents and teachers: preliminary study].</x:v>
      </x:c>
      <x:c r="E2001" s="28" t="str">
        <x:v>Primary study - qualitative</x:v>
      </x:c>
      <x:c r="F2001" s="28" t="str">
        <x:v>Development &amp; presentation; Recognition &amp; diagnosis; Family &amp; education; Social &amp; structural; Life outcomes &amp; lived experience</x:v>
      </x:c>
      <x:c r="G2001" s="28" t="str">
        <x:v>Childhood; Adolescence</x:v>
      </x:c>
      <x:c r="H2001" s="28" t="str">
        <x:v>Batch 1 core</x:v>
      </x:c>
      <x:c r="I2001" s="28" t="str">
        <x:v>Direct ADHD primary study on diagnosis, family/education, structural conditions, lived experience/outcomes, or environment/lifestyle.</x:v>
      </x:c>
      <x:c r="J2001" s="38" t="e">
        <x:f>HYPERLINK("https://pubmed.ncbi.nlm.nih.gov/"&amp;C2001&amp;"/","Open PubMed")</x:f>
        <x:v>HYPERLINK is not implemented. linkLocation=https://pubmed.ncbi.nlm.nih.gov/42659559/, friendlyName=Open PubMed</x:v>
      </x:c>
    </x:row>
    <x:row r="2002">
      <x:c r="A2002" s="26" t="str">
        <x:v>PUBMED-42723681</x:v>
      </x:c>
      <x:c r="B2002" s="26" t="n">
        <x:v>2026</x:v>
      </x:c>
      <x:c r="C2002" s="26" t="str">
        <x:v>42723681</x:v>
      </x:c>
      <x:c r="D2002" s="28" t="str">
        <x:v>Psychometric Properties of the Greek Version of the ASKAT: Assessing Teachers' Knowledge and Attitudes Toward ADHD.</x:v>
      </x:c>
      <x:c r="E2002" s="28" t="str">
        <x:v>Primary/contextual journal article</x:v>
      </x:c>
      <x:c r="F2002" s="28" t="str">
        <x:v>Development &amp; presentation; Family &amp; education; Social &amp; structural; Environmental &amp; lifestyle; Historical &amp; contemporary context</x:v>
      </x:c>
      <x:c r="G2002" s="28" t="str">
        <x:v>Childhood; Adulthood</x:v>
      </x:c>
      <x:c r="H2002" s="28" t="str">
        <x:v>Later specialized</x:v>
      </x:c>
      <x:c r="I2002" s="28" t="str">
        <x:v>Direct or strongly ADHD-related record retained for later screening; typically narrower treatment, biomarker, mechanistic, or single-comorbidity focus.</x:v>
      </x:c>
      <x:c r="J2002" s="38" t="e">
        <x:f>HYPERLINK("https://pubmed.ncbi.nlm.nih.gov/"&amp;C2002&amp;"/","Open PubMed")</x:f>
        <x:v>HYPERLINK is not implemented. linkLocation=https://pubmed.ncbi.nlm.nih.gov/42723681/, friendlyName=Open PubMed</x:v>
      </x:c>
    </x:row>
    <x:row r="2003">
      <x:c r="A2003" s="26" t="str">
        <x:v>PUBMED-42740196</x:v>
      </x:c>
      <x:c r="B2003" s="26" t="n">
        <x:v>2026</x:v>
      </x:c>
      <x:c r="C2003" s="26" t="str">
        <x:v>42740196</x:v>
      </x:c>
      <x:c r="D2003" s="28" t="str">
        <x:v>Motor Imagery Acquisition and Classification Using a Low-Cost 8-Channel EEG System in a VR ADHD Serious Game Environment: A Case Study.</x:v>
      </x:c>
      <x:c r="E2003" s="28" t="str">
        <x:v>Primary/contextual journal article</x:v>
      </x:c>
      <x:c r="F2003" s="28" t="str">
        <x:v>Development &amp; presentation; Social &amp; structural; Environmental &amp; lifestyle; Treatment &amp; support; Historical &amp; contemporary context</x:v>
      </x:c>
      <x:c r="G2003" s="28" t="str">
        <x:v>Not specified</x:v>
      </x:c>
      <x:c r="H2003" s="28" t="str">
        <x:v>Later specialized</x:v>
      </x:c>
      <x:c r="I2003" s="28" t="str">
        <x:v>Direct or strongly ADHD-related record retained for later screening; typically narrower treatment, biomarker, mechanistic, or single-comorbidity focus.</x:v>
      </x:c>
      <x:c r="J2003" s="38" t="e">
        <x:f>HYPERLINK("https://pubmed.ncbi.nlm.nih.gov/"&amp;C2003&amp;"/","Open PubMed")</x:f>
        <x:v>HYPERLINK is not implemented. linkLocation=https://pubmed.ncbi.nlm.nih.gov/42740196/, friendlyName=Open PubMed</x:v>
      </x:c>
    </x:row>
    <x:row r="2004">
      <x:c r="A2004" s="26" t="str">
        <x:v>PUBMED-42754916</x:v>
      </x:c>
      <x:c r="B2004" s="26" t="n">
        <x:v>2026</x:v>
      </x:c>
      <x:c r="C2004" s="26" t="str">
        <x:v>42754916</x:v>
      </x:c>
      <x:c r="D2004" s="28" t="str">
        <x:v>A Wavelet-Based Framework for Mapping Long Memory in Resting-State fMRI: Age-Related Changes in the Hippocampus From the ADHD-200 Dataset.</x:v>
      </x:c>
      <x:c r="E2004" s="28" t="str">
        <x:v>Primary/contextual journal article</x:v>
      </x:c>
      <x:c r="F2004" s="28" t="str">
        <x:v>Development &amp; presentation; Recognition &amp; diagnosis; Social &amp; structural; Treatment &amp; support; Life outcomes &amp; lived experience</x:v>
      </x:c>
      <x:c r="G2004" s="28" t="str">
        <x:v>Childhood; Adolescence</x:v>
      </x:c>
      <x:c r="H2004" s="28" t="str">
        <x:v>Later specialized</x:v>
      </x:c>
      <x:c r="I2004" s="28" t="str">
        <x:v>Direct or strongly ADHD-related record retained for later screening; typically narrower treatment, biomarker, mechanistic, or single-comorbidity focus.</x:v>
      </x:c>
      <x:c r="J2004" s="38" t="e">
        <x:f>HYPERLINK("https://pubmed.ncbi.nlm.nih.gov/"&amp;C2004&amp;"/","Open PubMed")</x:f>
        <x:v>HYPERLINK is not implemented. linkLocation=https://pubmed.ncbi.nlm.nih.gov/42754916/, friendlyName=Open PubMed</x:v>
      </x:c>
    </x:row>
    <x:row r="2005">
      <x:c r="A2005" s="26" t="str">
        <x:v>PUBMED-42608972</x:v>
      </x:c>
      <x:c r="B2005" s="26" t="n">
        <x:v>2026</x:v>
      </x:c>
      <x:c r="C2005" s="26" t="str">
        <x:v>42608972</x:v>
      </x:c>
      <x:c r="D2005" s="28" t="str">
        <x:v>Efficacy and Evidence Certainty of High-Frequency rTMS for Cognitive Impairment Across Neuropsychiatric Disorders: An Umbrella Review.</x:v>
      </x:c>
      <x:c r="E2005" s="28" t="str">
        <x:v>Evidence synthesis - systematic review</x:v>
      </x:c>
      <x:c r="F2005" s="28" t="str">
        <x:v>Development &amp; presentation; Recognition &amp; diagnosis; Social &amp; structural; Treatment &amp; support; Life outcomes &amp; lived experience</x:v>
      </x:c>
      <x:c r="G2005" s="28" t="str">
        <x:v>Not specified</x:v>
      </x:c>
      <x:c r="H2005" s="28" t="str">
        <x:v>Exclude/incidental</x:v>
      </x:c>
      <x:c r="I2005" s="28" t="str">
        <x:v>ADHD appears peripheral or insufficiently aligned with the requested corpus scope based on accessible metadata/abstract.</x:v>
      </x:c>
      <x:c r="J2005" s="38" t="e">
        <x:f>HYPERLINK("https://pubmed.ncbi.nlm.nih.gov/"&amp;C2005&amp;"/","Open PubMed")</x:f>
        <x:v>HYPERLINK is not implemented. linkLocation=https://pubmed.ncbi.nlm.nih.gov/42608972/, friendlyName=Open PubMed</x:v>
      </x:c>
    </x:row>
    <x:row r="2006">
      <x:c r="A2006" s="26" t="str">
        <x:v>PUBMED-42025323</x:v>
      </x:c>
      <x:c r="B2006" s="26" t="n">
        <x:v>2026</x:v>
      </x:c>
      <x:c r="C2006" s="26" t="str">
        <x:v>42025323</x:v>
      </x:c>
      <x:c r="D2006" s="28" t="str">
        <x:v>Traits of autism and attention-deficit/hyperactivity disorder in irritable bowel syndrome with pronounced symptoms.</x:v>
      </x:c>
      <x:c r="E2006" s="28" t="str">
        <x:v>Primary study - cohort</x:v>
      </x:c>
      <x:c r="F2006" s="28" t="str">
        <x:v>Development &amp; presentation; Recognition &amp; diagnosis; Social &amp; structural; Life outcomes &amp; lived experience</x:v>
      </x:c>
      <x:c r="G2006" s="28" t="str">
        <x:v>Childhood; Adulthood</x:v>
      </x:c>
      <x:c r="H2006" s="28" t="str">
        <x:v>Later specialized</x:v>
      </x:c>
      <x:c r="I2006" s="28" t="str">
        <x:v>Direct or strongly ADHD-related record retained for later screening; typically narrower treatment, biomarker, mechanistic, or single-comorbidity focus.</x:v>
      </x:c>
      <x:c r="J2006" s="38" t="e">
        <x:f>HYPERLINK("https://pubmed.ncbi.nlm.nih.gov/"&amp;C2006&amp;"/","Open PubMed")</x:f>
        <x:v>HYPERLINK is not implemented. linkLocation=https://pubmed.ncbi.nlm.nih.gov/42025323/, friendlyName=Open PubMed</x:v>
      </x:c>
    </x:row>
    <x:row r="2007">
      <x:c r="A2007" s="26" t="str">
        <x:v>PUBMED-42744942</x:v>
      </x:c>
      <x:c r="B2007" s="26" t="n">
        <x:v>2026</x:v>
      </x:c>
      <x:c r="C2007" s="26" t="str">
        <x:v>42744942</x:v>
      </x:c>
      <x:c r="D2007" s="28" t="str">
        <x:v>Prenatal exposure to sedative-hypnotics and the risk of ADHD and ASD in offspring: a nationwide population-based cohort study.</x:v>
      </x:c>
      <x:c r="E2007" s="28" t="str">
        <x:v>Primary study - cohort</x:v>
      </x:c>
      <x:c r="F2007" s="28" t="str">
        <x:v>Development &amp; presentation; Recognition &amp; diagnosis; Social &amp; structural; Environmental &amp; lifestyle; Treatment &amp; support; Life outcomes &amp; lived experience</x:v>
      </x:c>
      <x:c r="G2007" s="28" t="str">
        <x:v>Childhood; Adulthood</x:v>
      </x:c>
      <x:c r="H2007" s="28" t="str">
        <x:v>Later specialized</x:v>
      </x:c>
      <x:c r="I2007" s="28" t="str">
        <x:v>Direct or strongly ADHD-related record retained for later screening; typically narrower treatment, biomarker, mechanistic, or single-comorbidity focus.</x:v>
      </x:c>
      <x:c r="J2007" s="38" t="e">
        <x:f>HYPERLINK("https://pubmed.ncbi.nlm.nih.gov/"&amp;C2007&amp;"/","Open PubMed")</x:f>
        <x:v>HYPERLINK is not implemented. linkLocation=https://pubmed.ncbi.nlm.nih.gov/42744942/, friendlyName=Open PubMed</x:v>
      </x:c>
    </x:row>
    <x:row r="2008">
      <x:c r="A2008" s="26" t="str">
        <x:v>PUBMED-42116138</x:v>
      </x:c>
      <x:c r="B2008" s="26" t="n">
        <x:v>2026</x:v>
      </x:c>
      <x:c r="C2008" s="26" t="str">
        <x:v>42116138</x:v>
      </x:c>
      <x:c r="D2008" s="28" t="str">
        <x:v>Heterogeneous neurocognitive signatures in early childhood autism: a combined analysis of pharmacological treatment and gender.</x:v>
      </x:c>
      <x:c r="E2008" s="28" t="str">
        <x:v>Primary study - cross-sectional</x:v>
      </x:c>
      <x:c r="F2008" s="28" t="str">
        <x:v>Development &amp; presentation; Recognition &amp; diagnosis; Family &amp; education; Social &amp; structural; Treatment &amp; support; Life outcomes &amp; lived experience</x:v>
      </x:c>
      <x:c r="G2008" s="28" t="str">
        <x:v>Childhood</x:v>
      </x:c>
      <x:c r="H2008" s="28" t="str">
        <x:v>Exclude/incidental</x:v>
      </x:c>
      <x:c r="I2008" s="28" t="str">
        <x:v>ADHD appears peripheral or insufficiently aligned with the requested corpus scope based on accessible metadata/abstract.</x:v>
      </x:c>
      <x:c r="J2008" s="38" t="e">
        <x:f>HYPERLINK("https://pubmed.ncbi.nlm.nih.gov/"&amp;C2008&amp;"/","Open PubMed")</x:f>
        <x:v>HYPERLINK is not implemented. linkLocation=https://pubmed.ncbi.nlm.nih.gov/42116138/, friendlyName=Open PubMed</x:v>
      </x:c>
    </x:row>
    <x:row r="2009">
      <x:c r="A2009" s="26" t="str">
        <x:v>PUBMED-41967398</x:v>
      </x:c>
      <x:c r="B2009" s="26" t="n">
        <x:v>2026</x:v>
      </x:c>
      <x:c r="C2009" s="26" t="str">
        <x:v>41967398</x:v>
      </x:c>
      <x:c r="D2009" s="28" t="str">
        <x:v>Cognitive functioning in children with both epilepsy and ADHD: A systematic review and meta-analysis.</x:v>
      </x:c>
      <x:c r="E2009" s="28" t="str">
        <x:v>Evidence synthesis - meta-analysis</x:v>
      </x:c>
      <x:c r="F2009" s="28" t="str">
        <x:v>Development &amp; presentation; Recognition &amp; diagnosis; Social &amp; structural; Treatment &amp; support; Life outcomes &amp; lived experience</x:v>
      </x:c>
      <x:c r="G2009" s="28" t="str">
        <x:v>Childhood</x:v>
      </x:c>
      <x:c r="H2009" s="28" t="str">
        <x:v>Batch 1 core</x:v>
      </x:c>
      <x:c r="I2009" s="28" t="str">
        <x:v>Direct ADHD evidence synthesis/guideline with broad multi-topic relevance.</x:v>
      </x:c>
      <x:c r="J2009" s="38" t="e">
        <x:f>HYPERLINK("https://pubmed.ncbi.nlm.nih.gov/"&amp;C2009&amp;"/","Open PubMed")</x:f>
        <x:v>HYPERLINK is not implemented. linkLocation=https://pubmed.ncbi.nlm.nih.gov/41967398/, friendlyName=Open PubMed</x:v>
      </x:c>
    </x:row>
    <x:row r="2010">
      <x:c r="A2010" s="26" t="str">
        <x:v>PUBMED-41960761</x:v>
      </x:c>
      <x:c r="B2010" s="26" t="n">
        <x:v>2026</x:v>
      </x:c>
      <x:c r="C2010" s="26" t="str">
        <x:v>41960761</x:v>
      </x:c>
      <x:c r="D2010" s="28" t="str">
        <x:v>Sex and age trends in ADHD medication use in Norway, 2020-2022: a nationwide register study.</x:v>
      </x:c>
      <x:c r="E2010" s="28" t="str">
        <x:v>Primary/contextual journal article</x:v>
      </x:c>
      <x:c r="F2010" s="28" t="str">
        <x:v>Development &amp; presentation; Recognition &amp; diagnosis; Social &amp; structural; Treatment &amp; support</x:v>
      </x:c>
      <x:c r="G2010" s="28" t="str">
        <x:v>Childhood; Adolescence; Adulthood</x:v>
      </x:c>
      <x:c r="H2010" s="28" t="str">
        <x:v>Later specialized</x:v>
      </x:c>
      <x:c r="I2010" s="28" t="str">
        <x:v>Direct or strongly ADHD-related record retained for later screening; typically narrower treatment, biomarker, mechanistic, or single-comorbidity focus.</x:v>
      </x:c>
      <x:c r="J2010" s="38" t="e">
        <x:f>HYPERLINK("https://pubmed.ncbi.nlm.nih.gov/"&amp;C2010&amp;"/","Open PubMed")</x:f>
        <x:v>HYPERLINK is not implemented. linkLocation=https://pubmed.ncbi.nlm.nih.gov/41960761/, friendlyName=Open PubMed</x:v>
      </x:c>
    </x:row>
    <x:row r="2011">
      <x:c r="A2011" s="26" t="str">
        <x:v>PUBMED-41956817</x:v>
      </x:c>
      <x:c r="B2011" s="26" t="n">
        <x:v>2026</x:v>
      </x:c>
      <x:c r="C2011" s="26" t="str">
        <x:v>41956817</x:v>
      </x:c>
      <x:c r="D2011" s="28" t="str">
        <x:v>Psychiatric comorbidities cluster early after onset in MOGAD: a cross-sectional comparative study with MS and NMOSD.</x:v>
      </x:c>
      <x:c r="E2011" s="28" t="str">
        <x:v>Primary study - cross-sectional</x:v>
      </x:c>
      <x:c r="F2011" s="28" t="str">
        <x:v>Development &amp; presentation; Recognition &amp; diagnosis; Social &amp; structural; Life outcomes &amp; lived experience</x:v>
      </x:c>
      <x:c r="G2011" s="28" t="str">
        <x:v>Adolescence; Adulthood</x:v>
      </x:c>
      <x:c r="H2011" s="28" t="str">
        <x:v>Later specialized</x:v>
      </x:c>
      <x:c r="I2011" s="28" t="str">
        <x:v>Direct or strongly ADHD-related record retained for later screening; typically narrower treatment, biomarker, mechanistic, or single-comorbidity focus.</x:v>
      </x:c>
      <x:c r="J2011" s="38" t="e">
        <x:f>HYPERLINK("https://pubmed.ncbi.nlm.nih.gov/"&amp;C2011&amp;"/","Open PubMed")</x:f>
        <x:v>HYPERLINK is not implemented. linkLocation=https://pubmed.ncbi.nlm.nih.gov/41956817/, friendlyName=Open PubMed</x:v>
      </x:c>
    </x:row>
    <x:row r="2012">
      <x:c r="A2012" s="26" t="str">
        <x:v>PUBMED-41947282</x:v>
      </x:c>
      <x:c r="B2012" s="26" t="n">
        <x:v>2026</x:v>
      </x:c>
      <x:c r="C2012" s="26" t="str">
        <x:v>41947282</x:v>
      </x:c>
      <x:c r="D2012" s="28" t="str">
        <x:v>The Viloxazine Paradox: A Noradrenergic Agent's Journey From Antidepressant Obscurity to ADHD Precision Therapy.</x:v>
      </x:c>
      <x:c r="E2012" s="28" t="str">
        <x:v>Evidence synthesis - review</x:v>
      </x:c>
      <x:c r="F2012" s="28" t="str">
        <x:v>Development &amp; presentation; Recognition &amp; diagnosis; Social &amp; structural; Treatment &amp; support; Historical &amp; contemporary context</x:v>
      </x:c>
      <x:c r="G2012" s="28" t="str">
        <x:v>Childhood; Adolescence; Adulthood</x:v>
      </x:c>
      <x:c r="H2012" s="28" t="str">
        <x:v>Later specialized</x:v>
      </x:c>
      <x:c r="I2012" s="28" t="str">
        <x:v>Direct or strongly ADHD-related record retained for later screening; typically narrower treatment, biomarker, mechanistic, or single-comorbidity focus.</x:v>
      </x:c>
      <x:c r="J2012" s="38" t="e">
        <x:f>HYPERLINK("https://pubmed.ncbi.nlm.nih.gov/"&amp;C2012&amp;"/","Open PubMed")</x:f>
        <x:v>HYPERLINK is not implemented. linkLocation=https://pubmed.ncbi.nlm.nih.gov/41947282/, friendlyName=Open PubMed</x:v>
      </x:c>
    </x:row>
    <x:row r="2013">
      <x:c r="A2013" s="26" t="str">
        <x:v>PUBMED-41946094</x:v>
      </x:c>
      <x:c r="B2013" s="26" t="n">
        <x:v>2026</x:v>
      </x:c>
      <x:c r="C2013" s="26" t="str">
        <x:v>41946094</x:v>
      </x:c>
      <x:c r="D2013" s="28" t="str">
        <x:v>Evaluation of executive functions and cognitive disengagement syndrome in children and adolescents with epilepsy.</x:v>
      </x:c>
      <x:c r="E2013" s="28" t="str">
        <x:v>Primary study - cross-sectional</x:v>
      </x:c>
      <x:c r="F2013" s="28" t="str">
        <x:v>Development &amp; presentation; Recognition &amp; diagnosis; Family &amp; education; Social &amp; structural; Environmental &amp; lifestyle; Treatment &amp; support</x:v>
      </x:c>
      <x:c r="G2013" s="28" t="str">
        <x:v>Childhood; Adolescence</x:v>
      </x:c>
      <x:c r="H2013" s="28" t="str">
        <x:v>Later specialized</x:v>
      </x:c>
      <x:c r="I2013" s="28" t="str">
        <x:v>Direct or strongly ADHD-related record retained for later screening; typically narrower treatment, biomarker, mechanistic, or single-comorbidity focus.</x:v>
      </x:c>
      <x:c r="J2013" s="38" t="e">
        <x:f>HYPERLINK("https://pubmed.ncbi.nlm.nih.gov/"&amp;C2013&amp;"/","Open PubMed")</x:f>
        <x:v>HYPERLINK is not implemented. linkLocation=https://pubmed.ncbi.nlm.nih.gov/41946094/, friendlyName=Open PubMed</x:v>
      </x:c>
    </x:row>
    <x:row r="2014">
      <x:c r="A2014" s="26" t="str">
        <x:v>PUBMED-41944472</x:v>
      </x:c>
      <x:c r="B2014" s="26" t="n">
        <x:v>2026</x:v>
      </x:c>
      <x:c r="C2014" s="26" t="str">
        <x:v>41944472</x:v>
      </x:c>
      <x:c r="D2014" s="28" t="str">
        <x:v>[Rejection sensitivity dysphoria: a critical reflection].</x:v>
      </x:c>
      <x:c r="E2014" s="28" t="str">
        <x:v>Primary/contextual journal article</x:v>
      </x:c>
      <x:c r="F2014" s="28" t="str">
        <x:v>Development &amp; presentation; Recognition &amp; diagnosis; Social &amp; structural; Environmental &amp; lifestyle; Life outcomes &amp; lived experience; Historical &amp; contemporary context</x:v>
      </x:c>
      <x:c r="G2014" s="28" t="str">
        <x:v>Not specified</x:v>
      </x:c>
      <x:c r="H2014" s="28" t="str">
        <x:v>Later specialized</x:v>
      </x:c>
      <x:c r="I2014" s="28" t="str">
        <x:v>Direct or strongly ADHD-related record retained for later screening; typically narrower treatment, biomarker, mechanistic, or single-comorbidity focus.</x:v>
      </x:c>
      <x:c r="J2014" s="38" t="e">
        <x:f>HYPERLINK("https://pubmed.ncbi.nlm.nih.gov/"&amp;C2014&amp;"/","Open PubMed")</x:f>
        <x:v>HYPERLINK is not implemented. linkLocation=https://pubmed.ncbi.nlm.nih.gov/41944472/, friendlyName=Open PubMed</x:v>
      </x:c>
    </x:row>
    <x:row r="2015">
      <x:c r="A2015" s="26" t="str">
        <x:v>PUBMED-41944082</x:v>
      </x:c>
      <x:c r="B2015" s="26" t="n">
        <x:v>2026</x:v>
      </x:c>
      <x:c r="C2015" s="26" t="str">
        <x:v>41944082</x:v>
      </x:c>
      <x:c r="D2015" s="28" t="str">
        <x:v>Associations between sleep disturbance, sleep-related impairment, and attention and learning disorders in youth with NF1.</x:v>
      </x:c>
      <x:c r="E2015" s="28" t="str">
        <x:v>Primary/contextual journal article</x:v>
      </x:c>
      <x:c r="F2015" s="28" t="str">
        <x:v>Development &amp; presentation; Recognition &amp; diagnosis; Family &amp; education; Social &amp; structural; Environmental &amp; lifestyle</x:v>
      </x:c>
      <x:c r="G2015" s="28" t="str">
        <x:v>Childhood; Adolescence</x:v>
      </x:c>
      <x:c r="H2015" s="28" t="str">
        <x:v>Later specialized</x:v>
      </x:c>
      <x:c r="I2015" s="28" t="str">
        <x:v>Direct or strongly ADHD-related record retained for later screening; typically narrower treatment, biomarker, mechanistic, or single-comorbidity focus.</x:v>
      </x:c>
      <x:c r="J2015" s="38" t="e">
        <x:f>HYPERLINK("https://pubmed.ncbi.nlm.nih.gov/"&amp;C2015&amp;"/","Open PubMed")</x:f>
        <x:v>HYPERLINK is not implemented. linkLocation=https://pubmed.ncbi.nlm.nih.gov/41944082/, friendlyName=Open PubMed</x:v>
      </x:c>
    </x:row>
    <x:row r="2016">
      <x:c r="A2016" s="26" t="str">
        <x:v>PUBMED-41942161</x:v>
      </x:c>
      <x:c r="B2016" s="26" t="n">
        <x:v>2026</x:v>
      </x:c>
      <x:c r="C2016" s="26" t="str">
        <x:v>41942161</x:v>
      </x:c>
      <x:c r="D2016" s="28" t="str">
        <x:v>Daridorexant in children and adolescents with insomnia disorder: study protocol for a multicentre randomised controlled trial.</x:v>
      </x:c>
      <x:c r="E2016" s="28" t="str">
        <x:v>Primary study - clinical trial</x:v>
      </x:c>
      <x:c r="F2016" s="28" t="str">
        <x:v>Development &amp; presentation; Recognition &amp; diagnosis; Social &amp; structural; Environmental &amp; lifestyle; Treatment &amp; support; Life outcomes &amp; lived experience</x:v>
      </x:c>
      <x:c r="G2016" s="28" t="str">
        <x:v>Childhood; Adolescence</x:v>
      </x:c>
      <x:c r="H2016" s="28" t="str">
        <x:v>Later specialized</x:v>
      </x:c>
      <x:c r="I2016" s="28" t="str">
        <x:v>Direct or strongly ADHD-related record retained for later screening; typically narrower treatment, biomarker, mechanistic, or single-comorbidity focus.</x:v>
      </x:c>
      <x:c r="J2016" s="38" t="e">
        <x:f>HYPERLINK("https://pubmed.ncbi.nlm.nih.gov/"&amp;C2016&amp;"/","Open PubMed")</x:f>
        <x:v>HYPERLINK is not implemented. linkLocation=https://pubmed.ncbi.nlm.nih.gov/41942161/, friendlyName=Open PubMed</x:v>
      </x:c>
    </x:row>
    <x:row r="2017">
      <x:c r="A2017" s="26" t="str">
        <x:v>PUBMED-41941936</x:v>
      </x:c>
      <x:c r="B2017" s="26" t="n">
        <x:v>2026</x:v>
      </x:c>
      <x:c r="C2017" s="26" t="str">
        <x:v>41941936</x:v>
      </x:c>
      <x:c r="D2017" s="28" t="str">
        <x:v>Beyond the stereotype: a comparison of concussion assessments and 3D-MOT performance in individuals with and without ADHD.</x:v>
      </x:c>
      <x:c r="E2017" s="28" t="str">
        <x:v>Primary study - cohort</x:v>
      </x:c>
      <x:c r="F2017" s="28" t="str">
        <x:v>Development &amp; presentation; Recognition &amp; diagnosis; Social &amp; structural; Life outcomes &amp; lived experience; Historical &amp; contemporary context</x:v>
      </x:c>
      <x:c r="G2017" s="28" t="str">
        <x:v>Childhood; Adolescence; Adulthood</x:v>
      </x:c>
      <x:c r="H2017" s="28" t="str">
        <x:v>Later specialized</x:v>
      </x:c>
      <x:c r="I2017" s="28" t="str">
        <x:v>Direct or strongly ADHD-related record retained for later screening; typically narrower treatment, biomarker, mechanistic, or single-comorbidity focus.</x:v>
      </x:c>
      <x:c r="J2017" s="38" t="e">
        <x:f>HYPERLINK("https://pubmed.ncbi.nlm.nih.gov/"&amp;C2017&amp;"/","Open PubMed")</x:f>
        <x:v>HYPERLINK is not implemented. linkLocation=https://pubmed.ncbi.nlm.nih.gov/41941936/, friendlyName=Open PubMed</x:v>
      </x:c>
    </x:row>
    <x:row r="2018">
      <x:c r="A2018" s="26" t="str">
        <x:v>PUBMED-41936141</x:v>
      </x:c>
      <x:c r="B2018" s="26" t="n">
        <x:v>2026</x:v>
      </x:c>
      <x:c r="C2018" s="26" t="str">
        <x:v>41936141</x:v>
      </x:c>
      <x:c r="D2018" s="28" t="str">
        <x:v>Effects of Baduanjin on response inhibition in children with attention-deficit/hyperactivity disorder: A randomized controlled trial.</x:v>
      </x:c>
      <x:c r="E2018" s="28" t="str">
        <x:v>Primary study - randomized controlled trial</x:v>
      </x:c>
      <x:c r="F2018" s="28" t="str">
        <x:v>Development &amp; presentation; Family &amp; education; Social &amp; structural; Environmental &amp; lifestyle; Treatment &amp; support</x:v>
      </x:c>
      <x:c r="G2018" s="28" t="str">
        <x:v>Childhood</x:v>
      </x:c>
      <x:c r="H2018" s="28" t="str">
        <x:v>Later specialized</x:v>
      </x:c>
      <x:c r="I2018" s="28" t="str">
        <x:v>Direct or strongly ADHD-related record retained for later screening; typically narrower treatment, biomarker, mechanistic, or single-comorbidity focus.</x:v>
      </x:c>
      <x:c r="J2018" s="38" t="e">
        <x:f>HYPERLINK("https://pubmed.ncbi.nlm.nih.gov/"&amp;C2018&amp;"/","Open PubMed")</x:f>
        <x:v>HYPERLINK is not implemented. linkLocation=https://pubmed.ncbi.nlm.nih.gov/41936141/, friendlyName=Open PubMed</x:v>
      </x:c>
    </x:row>
    <x:row r="2019">
      <x:c r="A2019" s="26" t="str">
        <x:v>PUBMED-41935305</x:v>
      </x:c>
      <x:c r="B2019" s="26" t="n">
        <x:v>2026</x:v>
      </x:c>
      <x:c r="C2019" s="26" t="str">
        <x:v>41935305</x:v>
      </x:c>
      <x:c r="D2019" s="28" t="str">
        <x:v>Neuropsychiatric disorders in children of mothers with polycystic ovary syndrome: a systematic review and meta-analysis.</x:v>
      </x:c>
      <x:c r="E2019" s="28" t="str">
        <x:v>Evidence synthesis - meta-analysis</x:v>
      </x:c>
      <x:c r="F2019" s="28" t="str">
        <x:v>Development &amp; presentation; Recognition &amp; diagnosis; Social &amp; structural; Environmental &amp; lifestyle; Treatment &amp; support</x:v>
      </x:c>
      <x:c r="G2019" s="28" t="str">
        <x:v>Childhood</x:v>
      </x:c>
      <x:c r="H2019" s="28" t="str">
        <x:v>Exclude/incidental</x:v>
      </x:c>
      <x:c r="I2019" s="28" t="str">
        <x:v>ADHD appears peripheral or insufficiently aligned with the requested corpus scope based on accessible metadata/abstract.</x:v>
      </x:c>
      <x:c r="J2019" s="38" t="e">
        <x:f>HYPERLINK("https://pubmed.ncbi.nlm.nih.gov/"&amp;C2019&amp;"/","Open PubMed")</x:f>
        <x:v>HYPERLINK is not implemented. linkLocation=https://pubmed.ncbi.nlm.nih.gov/41935305/, friendlyName=Open PubMed</x:v>
      </x:c>
    </x:row>
    <x:row r="2020">
      <x:c r="A2020" s="26" t="str">
        <x:v>PUBMED-41926480</x:v>
      </x:c>
      <x:c r="B2020" s="26" t="n">
        <x:v>2026</x:v>
      </x:c>
      <x:c r="C2020" s="26" t="str">
        <x:v>41926480</x:v>
      </x:c>
      <x:c r="D2020" s="28" t="str">
        <x:v>Disciplinary removal patterns among students with other health impairments and emotional disturbance: A three-year descriptive analysis of IDEA Part B data.</x:v>
      </x:c>
      <x:c r="E2020" s="28" t="str">
        <x:v>Primary/contextual journal article</x:v>
      </x:c>
      <x:c r="F2020" s="28" t="str">
        <x:v>Development &amp; presentation; Recognition &amp; diagnosis; Family &amp; education; Social &amp; structural; Treatment &amp; support</x:v>
      </x:c>
      <x:c r="G2020" s="28" t="str">
        <x:v>Childhood; Adolescence</x:v>
      </x:c>
      <x:c r="H2020" s="28" t="str">
        <x:v>Later specialized</x:v>
      </x:c>
      <x:c r="I2020" s="28" t="str">
        <x:v>Direct or strongly ADHD-related record retained for later screening; typically narrower treatment, biomarker, mechanistic, or single-comorbidity focus.</x:v>
      </x:c>
      <x:c r="J2020" s="38" t="e">
        <x:f>HYPERLINK("https://pubmed.ncbi.nlm.nih.gov/"&amp;C2020&amp;"/","Open PubMed")</x:f>
        <x:v>HYPERLINK is not implemented. linkLocation=https://pubmed.ncbi.nlm.nih.gov/41926480/, friendlyName=Open PubMed</x:v>
      </x:c>
    </x:row>
    <x:row r="2021">
      <x:c r="A2021" s="26" t="str">
        <x:v>PUBMED-41923132</x:v>
      </x:c>
      <x:c r="B2021" s="26" t="n">
        <x:v>2026</x:v>
      </x:c>
      <x:c r="C2021" s="26" t="str">
        <x:v>41923132</x:v>
      </x:c>
      <x:c r="D2021" s="28" t="str">
        <x:v>Evaluation of Guanfacine Prescribing Practices for Attention Deficit Hyperactive Disorder Management: A Retrospective Medical Records Within a Child Development Service.</x:v>
      </x:c>
      <x:c r="E2021" s="28" t="str">
        <x:v>Primary study - cohort</x:v>
      </x:c>
      <x:c r="F2021" s="28" t="str">
        <x:v>Development &amp; presentation; Recognition &amp; diagnosis; Family &amp; education; Social &amp; structural; Treatment &amp; support; Life outcomes &amp; lived experience</x:v>
      </x:c>
      <x:c r="G2021" s="28" t="str">
        <x:v>Childhood; Adolescence</x:v>
      </x:c>
      <x:c r="H2021" s="28" t="str">
        <x:v>Later specialized</x:v>
      </x:c>
      <x:c r="I2021" s="28" t="str">
        <x:v>Direct or strongly ADHD-related record retained for later screening; typically narrower treatment, biomarker, mechanistic, or single-comorbidity focus.</x:v>
      </x:c>
      <x:c r="J2021" s="38" t="e">
        <x:f>HYPERLINK("https://pubmed.ncbi.nlm.nih.gov/"&amp;C2021&amp;"/","Open PubMed")</x:f>
        <x:v>HYPERLINK is not implemented. linkLocation=https://pubmed.ncbi.nlm.nih.gov/41923132/, friendlyName=Open PubMed</x:v>
      </x:c>
    </x:row>
    <x:row r="2022">
      <x:c r="A2022" s="26" t="str">
        <x:v>PUBMED-41914673</x:v>
      </x:c>
      <x:c r="B2022" s="26" t="n">
        <x:v>2026</x:v>
      </x:c>
      <x:c r="C2022" s="26" t="str">
        <x:v>41914673</x:v>
      </x:c>
      <x:c r="D2022" s="28" t="str">
        <x:v>Impact of Medication Therapy on Social, Behavioral, and Employment Outcomes in Adults With ADHD.</x:v>
      </x:c>
      <x:c r="E2022" s="28" t="str">
        <x:v>Primary study - cross-sectional</x:v>
      </x:c>
      <x:c r="F2022" s="28" t="str">
        <x:v>Development &amp; presentation; Social &amp; structural; Environmental &amp; lifestyle; Treatment &amp; support; Life outcomes &amp; lived experience</x:v>
      </x:c>
      <x:c r="G2022" s="28" t="str">
        <x:v>Adulthood</x:v>
      </x:c>
      <x:c r="H2022" s="28" t="str">
        <x:v>Batch 1 core</x:v>
      </x:c>
      <x:c r="I2022" s="28" t="str">
        <x:v>Direct ADHD primary study on diagnosis, family/education, structural conditions, lived experience/outcomes, or environment/lifestyle.</x:v>
      </x:c>
      <x:c r="J2022" s="38" t="e">
        <x:f>HYPERLINK("https://pubmed.ncbi.nlm.nih.gov/"&amp;C2022&amp;"/","Open PubMed")</x:f>
        <x:v>HYPERLINK is not implemented. linkLocation=https://pubmed.ncbi.nlm.nih.gov/41914673/, friendlyName=Open PubMed</x:v>
      </x:c>
    </x:row>
    <x:row r="2023">
      <x:c r="A2023" s="26" t="str">
        <x:v>PUBMED-41911540</x:v>
      </x:c>
      <x:c r="B2023" s="26" t="n">
        <x:v>2026</x:v>
      </x:c>
      <x:c r="C2023" s="26" t="str">
        <x:v>41911540</x:v>
      </x:c>
      <x:c r="D2023" s="28" t="str">
        <x:v>Multi-rater input and behavioral observations facilitate diagnoses of ADHD and anxiety: A case report.</x:v>
      </x:c>
      <x:c r="E2023" s="28" t="str">
        <x:v>Primary/contextual journal article</x:v>
      </x:c>
      <x:c r="F2023" s="28" t="str">
        <x:v>Development &amp; presentation; Recognition &amp; diagnosis; Family &amp; education; Social &amp; structural; Treatment &amp; support</x:v>
      </x:c>
      <x:c r="G2023" s="28" t="str">
        <x:v>Childhood; Adolescence</x:v>
      </x:c>
      <x:c r="H2023" s="28" t="str">
        <x:v>Later specialized</x:v>
      </x:c>
      <x:c r="I2023" s="28" t="str">
        <x:v>Direct or strongly ADHD-related record retained for later screening; typically narrower treatment, biomarker, mechanistic, or single-comorbidity focus.</x:v>
      </x:c>
      <x:c r="J2023" s="38" t="e">
        <x:f>HYPERLINK("https://pubmed.ncbi.nlm.nih.gov/"&amp;C2023&amp;"/","Open PubMed")</x:f>
        <x:v>HYPERLINK is not implemented. linkLocation=https://pubmed.ncbi.nlm.nih.gov/41911540/, friendlyName=Open PubMed</x:v>
      </x:c>
    </x:row>
    <x:row r="2024">
      <x:c r="A2024" s="26" t="str">
        <x:v>PUBMED-41910948</x:v>
      </x:c>
      <x:c r="B2024" s="26" t="n">
        <x:v>2026</x:v>
      </x:c>
      <x:c r="C2024" s="26" t="str">
        <x:v>41910948</x:v>
      </x:c>
      <x:c r="D2024" s="28" t="str">
        <x:v>Attachment Style and Family Functioning as Predictors of Trauma Symptoms in Children With ADHD After a Major Disaster.</x:v>
      </x:c>
      <x:c r="E2024" s="28" t="str">
        <x:v>Primary/contextual journal article</x:v>
      </x:c>
      <x:c r="F2024" s="28" t="str">
        <x:v>Development &amp; presentation; Recognition &amp; diagnosis; Family &amp; education; Social &amp; structural; Environmental &amp; lifestyle; Treatment &amp; support; Life outcomes &amp; lived experience</x:v>
      </x:c>
      <x:c r="G2024" s="28" t="str">
        <x:v>Childhood; Adolescence</x:v>
      </x:c>
      <x:c r="H2024" s="28" t="str">
        <x:v>Later specialized</x:v>
      </x:c>
      <x:c r="I2024" s="28" t="str">
        <x:v>Direct or strongly ADHD-related record retained for later screening; typically narrower treatment, biomarker, mechanistic, or single-comorbidity focus.</x:v>
      </x:c>
      <x:c r="J2024" s="38" t="e">
        <x:f>HYPERLINK("https://pubmed.ncbi.nlm.nih.gov/"&amp;C2024&amp;"/","Open PubMed")</x:f>
        <x:v>HYPERLINK is not implemented. linkLocation=https://pubmed.ncbi.nlm.nih.gov/41910948/, friendlyName=Open PubMed</x:v>
      </x:c>
    </x:row>
    <x:row r="2025">
      <x:c r="A2025" s="26" t="str">
        <x:v>PUBMED-41910119</x:v>
      </x:c>
      <x:c r="B2025" s="26" t="n">
        <x:v>2026</x:v>
      </x:c>
      <x:c r="C2025" s="26" t="str">
        <x:v>41910119</x:v>
      </x:c>
      <x:c r="D2025" s="28" t="str">
        <x:v>Association between Attention Deficit Hyperactivity Disorder and Obstructive Sleep Apnea in Children: A Systematic Review and Meta-Analysis.</x:v>
      </x:c>
      <x:c r="E2025" s="28" t="str">
        <x:v>Evidence synthesis - meta-analysis</x:v>
      </x:c>
      <x:c r="F2025" s="28" t="str">
        <x:v>Development &amp; presentation; Recognition &amp; diagnosis; Social &amp; structural; Environmental &amp; lifestyle; Treatment &amp; support; Life outcomes &amp; lived experience</x:v>
      </x:c>
      <x:c r="G2025" s="28" t="str">
        <x:v>Childhood</x:v>
      </x:c>
      <x:c r="H2025" s="28" t="str">
        <x:v>Batch 1 core</x:v>
      </x:c>
      <x:c r="I2025" s="28" t="str">
        <x:v>Direct ADHD evidence synthesis/guideline with broad multi-topic relevance.</x:v>
      </x:c>
      <x:c r="J2025" s="38" t="e">
        <x:f>HYPERLINK("https://pubmed.ncbi.nlm.nih.gov/"&amp;C2025&amp;"/","Open PubMed")</x:f>
        <x:v>HYPERLINK is not implemented. linkLocation=https://pubmed.ncbi.nlm.nih.gov/41910119/, friendlyName=Open PubMed</x:v>
      </x:c>
    </x:row>
    <x:row r="2026">
      <x:c r="A2026" s="26" t="str">
        <x:v>PUBMED-41910111</x:v>
      </x:c>
      <x:c r="B2026" s="26" t="n">
        <x:v>2026</x:v>
      </x:c>
      <x:c r="C2026" s="26" t="str">
        <x:v>41910111</x:v>
      </x:c>
      <x:c r="D2026" s="28" t="str">
        <x:v>Characterizing Attention and Cognitive Control Profiles of Children With ADHD and Anxiety.</x:v>
      </x:c>
      <x:c r="E2026" s="28" t="str">
        <x:v>Primary/contextual journal article</x:v>
      </x:c>
      <x:c r="F2026" s="28" t="str">
        <x:v>Development &amp; presentation; Social &amp; structural; Treatment &amp; support</x:v>
      </x:c>
      <x:c r="G2026" s="28" t="str">
        <x:v>Childhood; Adolescence</x:v>
      </x:c>
      <x:c r="H2026" s="28" t="str">
        <x:v>Later specialized</x:v>
      </x:c>
      <x:c r="I2026" s="28" t="str">
        <x:v>Direct or strongly ADHD-related record retained for later screening; typically narrower treatment, biomarker, mechanistic, or single-comorbidity focus.</x:v>
      </x:c>
      <x:c r="J2026" s="38" t="e">
        <x:f>HYPERLINK("https://pubmed.ncbi.nlm.nih.gov/"&amp;C2026&amp;"/","Open PubMed")</x:f>
        <x:v>HYPERLINK is not implemented. linkLocation=https://pubmed.ncbi.nlm.nih.gov/41910111/, friendlyName=Open PubMed</x:v>
      </x:c>
    </x:row>
    <x:row r="2027">
      <x:c r="A2027" s="26" t="str">
        <x:v>PUBMED-41905887</x:v>
      </x:c>
      <x:c r="B2027" s="26" t="n">
        <x:v>2026</x:v>
      </x:c>
      <x:c r="C2027" s="26" t="str">
        <x:v>41905887</x:v>
      </x:c>
      <x:c r="D2027" s="28" t="str">
        <x:v>The elephant in the room: neurodivergence in psychiatry.</x:v>
      </x:c>
      <x:c r="E2027" s="28" t="str">
        <x:v>Contextual - editorial/comment</x:v>
      </x:c>
      <x:c r="F2027" s="28" t="str">
        <x:v>Development &amp; presentation; Recognition &amp; diagnosis; Family &amp; education; Social &amp; structural; Treatment &amp; support</x:v>
      </x:c>
      <x:c r="G2027" s="28" t="str">
        <x:v>Not specified</x:v>
      </x:c>
      <x:c r="H2027" s="28" t="str">
        <x:v>Exclude/incidental</x:v>
      </x:c>
      <x:c r="I2027" s="28" t="str">
        <x:v>ADHD appears peripheral or insufficiently aligned with the requested corpus scope based on accessible metadata/abstract.</x:v>
      </x:c>
      <x:c r="J2027" s="38" t="e">
        <x:f>HYPERLINK("https://pubmed.ncbi.nlm.nih.gov/"&amp;C2027&amp;"/","Open PubMed")</x:f>
        <x:v>HYPERLINK is not implemented. linkLocation=https://pubmed.ncbi.nlm.nih.gov/41905887/, friendlyName=Open PubMed</x:v>
      </x:c>
    </x:row>
    <x:row r="2028">
      <x:c r="A2028" s="26" t="str">
        <x:v>PUBMED-41905118</x:v>
      </x:c>
      <x:c r="B2028" s="26" t="n">
        <x:v>2026</x:v>
      </x:c>
      <x:c r="C2028" s="26" t="str">
        <x:v>41905118</x:v>
      </x:c>
      <x:c r="D2028" s="28" t="str">
        <x:v>Paraphilias and paraphilic disorders in Attention-Deficit/Hyperactivity Disorder: an observational study.</x:v>
      </x:c>
      <x:c r="E2028" s="28" t="str">
        <x:v>Primary/contextual journal article</x:v>
      </x:c>
      <x:c r="F2028" s="28" t="str">
        <x:v>Development &amp; presentation; Social &amp; structural; Environmental &amp; lifestyle; Treatment &amp; support</x:v>
      </x:c>
      <x:c r="G2028" s="28" t="str">
        <x:v>Adulthood</x:v>
      </x:c>
      <x:c r="H2028" s="28" t="str">
        <x:v>Later specialized</x:v>
      </x:c>
      <x:c r="I2028" s="28" t="str">
        <x:v>Direct or strongly ADHD-related record retained for later screening; typically narrower treatment, biomarker, mechanistic, or single-comorbidity focus.</x:v>
      </x:c>
      <x:c r="J2028" s="38" t="e">
        <x:f>HYPERLINK("https://pubmed.ncbi.nlm.nih.gov/"&amp;C2028&amp;"/","Open PubMed")</x:f>
        <x:v>HYPERLINK is not implemented. linkLocation=https://pubmed.ncbi.nlm.nih.gov/41905118/, friendlyName=Open PubMed</x:v>
      </x:c>
    </x:row>
    <x:row r="2029">
      <x:c r="A2029" s="26" t="str">
        <x:v>PUBMED-41904958</x:v>
      </x:c>
      <x:c r="B2029" s="26" t="n">
        <x:v>2026</x:v>
      </x:c>
      <x:c r="C2029" s="26" t="str">
        <x:v>41904958</x:v>
      </x:c>
      <x:c r="D2029" s="28" t="str">
        <x:v>A multi‑stakeholder preliminary needs assessment to inform the co‑design of a digital telerehabilitation tool for children and adolescents with ADHD.</x:v>
      </x:c>
      <x:c r="E2029" s="28" t="str">
        <x:v>Primary study - qualitative</x:v>
      </x:c>
      <x:c r="F2029" s="28" t="str">
        <x:v>Development &amp; presentation; Recognition &amp; diagnosis; Family &amp; education; Social &amp; structural; Environmental &amp; lifestyle; Treatment &amp; support; Life outcomes &amp; lived experience</x:v>
      </x:c>
      <x:c r="G2029" s="28" t="str">
        <x:v>Childhood; Adolescence</x:v>
      </x:c>
      <x:c r="H2029" s="28" t="str">
        <x:v>Batch 1 core</x:v>
      </x:c>
      <x:c r="I2029" s="28" t="str">
        <x:v>Direct ADHD primary study on diagnosis, family/education, structural conditions, lived experience/outcomes, or environment/lifestyle.</x:v>
      </x:c>
      <x:c r="J2029" s="38" t="e">
        <x:f>HYPERLINK("https://pubmed.ncbi.nlm.nih.gov/"&amp;C2029&amp;"/","Open PubMed")</x:f>
        <x:v>HYPERLINK is not implemented. linkLocation=https://pubmed.ncbi.nlm.nih.gov/41904958/, friendlyName=Open PubMed</x:v>
      </x:c>
    </x:row>
    <x:row r="2030">
      <x:c r="A2030" s="26" t="str">
        <x:v>PUBMED-41904444</x:v>
      </x:c>
      <x:c r="B2030" s="26" t="n">
        <x:v>2026</x:v>
      </x:c>
      <x:c r="C2030" s="26" t="str">
        <x:v>41904444</x:v>
      </x:c>
      <x:c r="D2030" s="28" t="str">
        <x:v>Socioeconomic burden of adult attention deficit/hyperactivity disorder in Japan: a nationwide cross-sectional observational study.</x:v>
      </x:c>
      <x:c r="E2030" s="28" t="str">
        <x:v>Primary study - cross-sectional</x:v>
      </x:c>
      <x:c r="F2030" s="28" t="str">
        <x:v>Development &amp; presentation; Recognition &amp; diagnosis; Family &amp; education; Social &amp; structural; Life outcomes &amp; lived experience</x:v>
      </x:c>
      <x:c r="G2030" s="28" t="str">
        <x:v>Childhood; Adulthood</x:v>
      </x:c>
      <x:c r="H2030" s="28" t="str">
        <x:v>Batch 1 core</x:v>
      </x:c>
      <x:c r="I2030" s="28" t="str">
        <x:v>Direct ADHD primary study on diagnosis, family/education, structural conditions, lived experience/outcomes, or environment/lifestyle.</x:v>
      </x:c>
      <x:c r="J2030" s="38" t="e">
        <x:f>HYPERLINK("https://pubmed.ncbi.nlm.nih.gov/"&amp;C2030&amp;"/","Open PubMed")</x:f>
        <x:v>HYPERLINK is not implemented. linkLocation=https://pubmed.ncbi.nlm.nih.gov/41904444/, friendlyName=Open PubMed</x:v>
      </x:c>
    </x:row>
    <x:row r="2031">
      <x:c r="A2031" s="26" t="str">
        <x:v>PUBMED-41901531</x:v>
      </x:c>
      <x:c r="B2031" s="26" t="n">
        <x:v>2026</x:v>
      </x:c>
      <x:c r="C2031" s="26" t="str">
        <x:v>41901531</x:v>
      </x:c>
      <x:c r="D2031" s="28" t="str">
        <x:v>Comparative Effects of BCI-Based Attention Training, Methylphenidate, and Citicoline on Attention and Executive Function in School-Age Children: A Quasi-Experimental Study.</x:v>
      </x:c>
      <x:c r="E2031" s="28" t="str">
        <x:v>Primary/contextual journal article</x:v>
      </x:c>
      <x:c r="F2031" s="28" t="str">
        <x:v>Development &amp; presentation; Recognition &amp; diagnosis; Family &amp; education; Social &amp; structural; Treatment &amp; support; Life outcomes &amp; lived experience</x:v>
      </x:c>
      <x:c r="G2031" s="28" t="str">
        <x:v>Childhood</x:v>
      </x:c>
      <x:c r="H2031" s="28" t="str">
        <x:v>Later specialized</x:v>
      </x:c>
      <x:c r="I2031" s="28" t="str">
        <x:v>Direct or strongly ADHD-related record retained for later screening; typically narrower treatment, biomarker, mechanistic, or single-comorbidity focus.</x:v>
      </x:c>
      <x:c r="J2031" s="38" t="e">
        <x:f>HYPERLINK("https://pubmed.ncbi.nlm.nih.gov/"&amp;C2031&amp;"/","Open PubMed")</x:f>
        <x:v>HYPERLINK is not implemented. linkLocation=https://pubmed.ncbi.nlm.nih.gov/41901531/, friendlyName=Open PubMed</x:v>
      </x:c>
    </x:row>
    <x:row r="2032">
      <x:c r="A2032" s="26" t="str">
        <x:v>PUBMED-41896813</x:v>
      </x:c>
      <x:c r="B2032" s="26" t="n">
        <x:v>2026</x:v>
      </x:c>
      <x:c r="C2032" s="26" t="str">
        <x:v>41896813</x:v>
      </x:c>
      <x:c r="D2032" s="28" t="str">
        <x:v>Inflammatory and immune profiling in children and adolescents with attention-deficit/hyperactivity disorder (ADHD): a matched case-control study with longitudinal on/off psychostimulant assessment (ANIME).</x:v>
      </x:c>
      <x:c r="E2032" s="28" t="str">
        <x:v>Primary study - clinical trial</x:v>
      </x:c>
      <x:c r="F2032" s="28" t="str">
        <x:v>Development &amp; presentation; Recognition &amp; diagnosis; Social &amp; structural; Environmental &amp; lifestyle; Treatment &amp; support; Life outcomes &amp; lived experience</x:v>
      </x:c>
      <x:c r="G2032" s="28" t="str">
        <x:v>Childhood; Adolescence</x:v>
      </x:c>
      <x:c r="H2032" s="28" t="str">
        <x:v>Later specialized</x:v>
      </x:c>
      <x:c r="I2032" s="28" t="str">
        <x:v>Direct or strongly ADHD-related record retained for later screening; typically narrower treatment, biomarker, mechanistic, or single-comorbidity focus.</x:v>
      </x:c>
      <x:c r="J2032" s="38" t="e">
        <x:f>HYPERLINK("https://pubmed.ncbi.nlm.nih.gov/"&amp;C2032&amp;"/","Open PubMed")</x:f>
        <x:v>HYPERLINK is not implemented. linkLocation=https://pubmed.ncbi.nlm.nih.gov/41896813/, friendlyName=Open PubMed</x:v>
      </x:c>
    </x:row>
    <x:row r="2033">
      <x:c r="A2033" s="26" t="str">
        <x:v>PUBMED-41896702</x:v>
      </x:c>
      <x:c r="B2033" s="26" t="n">
        <x:v>2026</x:v>
      </x:c>
      <x:c r="C2033" s="26" t="str">
        <x:v>41896702</x:v>
      </x:c>
      <x:c r="D2033" s="28" t="str">
        <x:v>The Relationship Between Inhibitory Control of Attention and fMRI Functional Connectivity in Children With and Without ADHD.</x:v>
      </x:c>
      <x:c r="E2033" s="28" t="str">
        <x:v>Primary/contextual journal article</x:v>
      </x:c>
      <x:c r="F2033" s="28" t="str">
        <x:v>Development &amp; presentation; Recognition &amp; diagnosis; Social &amp; structural; Life outcomes &amp; lived experience</x:v>
      </x:c>
      <x:c r="G2033" s="28" t="str">
        <x:v>Childhood; Adolescence</x:v>
      </x:c>
      <x:c r="H2033" s="28" t="str">
        <x:v>Later specialized</x:v>
      </x:c>
      <x:c r="I2033" s="28" t="str">
        <x:v>Direct or strongly ADHD-related record retained for later screening; typically narrower treatment, biomarker, mechanistic, or single-comorbidity focus.</x:v>
      </x:c>
      <x:c r="J2033" s="38" t="e">
        <x:f>HYPERLINK("https://pubmed.ncbi.nlm.nih.gov/"&amp;C2033&amp;"/","Open PubMed")</x:f>
        <x:v>HYPERLINK is not implemented. linkLocation=https://pubmed.ncbi.nlm.nih.gov/41896702/, friendlyName=Open PubMed</x:v>
      </x:c>
    </x:row>
    <x:row r="2034">
      <x:c r="A2034" s="26" t="str">
        <x:v>PUBMED-41896519</x:v>
      </x:c>
      <x:c r="B2034" s="26" t="n">
        <x:v>2026</x:v>
      </x:c>
      <x:c r="C2034" s="26" t="str">
        <x:v>41896519</x:v>
      </x:c>
      <x:c r="D2034" s="28" t="str">
        <x:v>Cardiovascular Medicine Use Among Adults With ADHD: A Nationwide Study in Australia.</x:v>
      </x:c>
      <x:c r="E2034" s="28" t="str">
        <x:v>Primary/contextual journal article</x:v>
      </x:c>
      <x:c r="F2034" s="28" t="str">
        <x:v>Development &amp; presentation; Social &amp; structural; Treatment &amp; support</x:v>
      </x:c>
      <x:c r="G2034" s="28" t="str">
        <x:v>Adolescence; Adulthood</x:v>
      </x:c>
      <x:c r="H2034" s="28" t="str">
        <x:v>Later specialized</x:v>
      </x:c>
      <x:c r="I2034" s="28" t="str">
        <x:v>Direct or strongly ADHD-related record retained for later screening; typically narrower treatment, biomarker, mechanistic, or single-comorbidity focus.</x:v>
      </x:c>
      <x:c r="J2034" s="38" t="e">
        <x:f>HYPERLINK("https://pubmed.ncbi.nlm.nih.gov/"&amp;C2034&amp;"/","Open PubMed")</x:f>
        <x:v>HYPERLINK is not implemented. linkLocation=https://pubmed.ncbi.nlm.nih.gov/41896519/, friendlyName=Open PubMed</x:v>
      </x:c>
    </x:row>
    <x:row r="2035">
      <x:c r="A2035" s="26" t="str">
        <x:v>PUBMED-41889015</x:v>
      </x:c>
      <x:c r="B2035" s="26" t="n">
        <x:v>2026</x:v>
      </x:c>
      <x:c r="C2035" s="26" t="str">
        <x:v>41889015</x:v>
      </x:c>
      <x:c r="D2035" s="28" t="str">
        <x:v>Attention Deficit/Hyperactivity Disorder (ADHD)-Related Strengths in Adults: A Scoping Review.</x:v>
      </x:c>
      <x:c r="E2035" s="28" t="str">
        <x:v>Evidence synthesis - systematic review</x:v>
      </x:c>
      <x:c r="F2035" s="28" t="str">
        <x:v>Development &amp; presentation; Social &amp; structural; Life outcomes &amp; lived experience; Historical &amp; contemporary context</x:v>
      </x:c>
      <x:c r="G2035" s="28" t="str">
        <x:v>Adulthood</x:v>
      </x:c>
      <x:c r="H2035" s="28" t="str">
        <x:v>Batch 1 core</x:v>
      </x:c>
      <x:c r="I2035" s="28" t="str">
        <x:v>Direct ADHD evidence synthesis/guideline with broad multi-topic relevance.</x:v>
      </x:c>
      <x:c r="J2035" s="38" t="e">
        <x:f>HYPERLINK("https://pubmed.ncbi.nlm.nih.gov/"&amp;C2035&amp;"/","Open PubMed")</x:f>
        <x:v>HYPERLINK is not implemented. linkLocation=https://pubmed.ncbi.nlm.nih.gov/41889015/, friendlyName=Open PubMed</x:v>
      </x:c>
    </x:row>
    <x:row r="2036">
      <x:c r="A2036" s="26" t="str">
        <x:v>PUBMED-41889008</x:v>
      </x:c>
      <x:c r="B2036" s="26" t="n">
        <x:v>2026</x:v>
      </x:c>
      <x:c r="C2036" s="26" t="str">
        <x:v>41889008</x:v>
      </x:c>
      <x:c r="D2036" s="28" t="str">
        <x:v>"Controlled by Female Hormones": A Qualitative Interview Study of Swedish Women's Experiences of Gender-Specific Aspects of Life With ADHD.</x:v>
      </x:c>
      <x:c r="E2036" s="28" t="str">
        <x:v>Primary study - qualitative</x:v>
      </x:c>
      <x:c r="F2036" s="28" t="str">
        <x:v>Development &amp; presentation; Social &amp; structural; Treatment &amp; support; Life outcomes &amp; lived experience</x:v>
      </x:c>
      <x:c r="G2036" s="28" t="str">
        <x:v>Adulthood</x:v>
      </x:c>
      <x:c r="H2036" s="28" t="str">
        <x:v>Batch 1 core</x:v>
      </x:c>
      <x:c r="I2036" s="28" t="str">
        <x:v>Direct ADHD primary study on diagnosis, family/education, structural conditions, lived experience/outcomes, or environment/lifestyle.</x:v>
      </x:c>
      <x:c r="J2036" s="38" t="e">
        <x:f>HYPERLINK("https://pubmed.ncbi.nlm.nih.gov/"&amp;C2036&amp;"/","Open PubMed")</x:f>
        <x:v>HYPERLINK is not implemented. linkLocation=https://pubmed.ncbi.nlm.nih.gov/41889008/, friendlyName=Open PubMed</x:v>
      </x:c>
    </x:row>
    <x:row r="2037">
      <x:c r="A2037" s="26" t="str">
        <x:v>PUBMED-41888544</x:v>
      </x:c>
      <x:c r="B2037" s="26" t="n">
        <x:v>2026</x:v>
      </x:c>
      <x:c r="C2037" s="26" t="str">
        <x:v>41888544</x:v>
      </x:c>
      <x:c r="D2037" s="28" t="str">
        <x:v>Resilience and coping styles mediate the associations of autistic and ADHD traits with internet addiction in general adolescents.</x:v>
      </x:c>
      <x:c r="E2037" s="28" t="str">
        <x:v>Primary study - cross-sectional</x:v>
      </x:c>
      <x:c r="F2037" s="28" t="str">
        <x:v>Development &amp; presentation; Recognition &amp; diagnosis; Family &amp; education; Social &amp; structural; Life outcomes &amp; lived experience</x:v>
      </x:c>
      <x:c r="G2037" s="28" t="str">
        <x:v>Adolescence</x:v>
      </x:c>
      <x:c r="H2037" s="28" t="str">
        <x:v>Later specialized</x:v>
      </x:c>
      <x:c r="I2037" s="28" t="str">
        <x:v>Direct or strongly ADHD-related record retained for later screening; typically narrower treatment, biomarker, mechanistic, or single-comorbidity focus.</x:v>
      </x:c>
      <x:c r="J2037" s="38" t="e">
        <x:f>HYPERLINK("https://pubmed.ncbi.nlm.nih.gov/"&amp;C2037&amp;"/","Open PubMed")</x:f>
        <x:v>HYPERLINK is not implemented. linkLocation=https://pubmed.ncbi.nlm.nih.gov/41888544/, friendlyName=Open PubMed</x:v>
      </x:c>
    </x:row>
    <x:row r="2038">
      <x:c r="A2038" s="26" t="str">
        <x:v>PUBMED-41885001</x:v>
      </x:c>
      <x:c r="B2038" s="26" t="n">
        <x:v>2026</x:v>
      </x:c>
      <x:c r="C2038" s="26" t="str">
        <x:v>41885001</x:v>
      </x:c>
      <x:c r="D2038" s="28" t="str">
        <x:v>Do Children and Adolescents with Attention Deficit Hyperactivity Disorder Use Screens More? A Systematic Review and Meta-Analysis.</x:v>
      </x:c>
      <x:c r="E2038" s="28" t="str">
        <x:v>Evidence synthesis - meta-analysis</x:v>
      </x:c>
      <x:c r="F2038" s="28" t="str">
        <x:v>Development &amp; presentation; Recognition &amp; diagnosis; Family &amp; education; Social &amp; structural; Environmental &amp; lifestyle; Treatment &amp; support</x:v>
      </x:c>
      <x:c r="G2038" s="28" t="str">
        <x:v>Childhood; Adolescence</x:v>
      </x:c>
      <x:c r="H2038" s="28" t="str">
        <x:v>Batch 1 core</x:v>
      </x:c>
      <x:c r="I2038" s="28" t="str">
        <x:v>Direct ADHD evidence synthesis/guideline with broad multi-topic relevance.</x:v>
      </x:c>
      <x:c r="J2038" s="38" t="e">
        <x:f>HYPERLINK("https://pubmed.ncbi.nlm.nih.gov/"&amp;C2038&amp;"/","Open PubMed")</x:f>
        <x:v>HYPERLINK is not implemented. linkLocation=https://pubmed.ncbi.nlm.nih.gov/41885001/, friendlyName=Open PubMed</x:v>
      </x:c>
    </x:row>
    <x:row r="2039">
      <x:c r="A2039" s="26" t="str">
        <x:v>PUBMED-41880936</x:v>
      </x:c>
      <x:c r="B2039" s="26" t="n">
        <x:v>2026</x:v>
      </x:c>
      <x:c r="C2039" s="26" t="str">
        <x:v>41880936</x:v>
      </x:c>
      <x:c r="D2039" s="28" t="str">
        <x:v>Steroid/thyroid hormones and inflammatory markers in adolescents with ADHD: comparisons with healthy controls and modifications by methylphenidate.</x:v>
      </x:c>
      <x:c r="E2039" s="28" t="str">
        <x:v>Primary/contextual journal article</x:v>
      </x:c>
      <x:c r="F2039" s="28" t="str">
        <x:v>Development &amp; presentation; Social &amp; structural; Treatment &amp; support</x:v>
      </x:c>
      <x:c r="G2039" s="28" t="str">
        <x:v>Childhood; Adolescence</x:v>
      </x:c>
      <x:c r="H2039" s="28" t="str">
        <x:v>Later specialized</x:v>
      </x:c>
      <x:c r="I2039" s="28" t="str">
        <x:v>Direct or strongly ADHD-related record retained for later screening; typically narrower treatment, biomarker, mechanistic, or single-comorbidity focus.</x:v>
      </x:c>
      <x:c r="J2039" s="38" t="e">
        <x:f>HYPERLINK("https://pubmed.ncbi.nlm.nih.gov/"&amp;C2039&amp;"/","Open PubMed")</x:f>
        <x:v>HYPERLINK is not implemented. linkLocation=https://pubmed.ncbi.nlm.nih.gov/41880936/, friendlyName=Open PubMed</x:v>
      </x:c>
    </x:row>
    <x:row r="2040">
      <x:c r="A2040" s="26" t="str">
        <x:v>PUBMED-41873689</x:v>
      </x:c>
      <x:c r="B2040" s="26" t="n">
        <x:v>2026</x:v>
      </x:c>
      <x:c r="C2040" s="26" t="str">
        <x:v>41873689</x:v>
      </x:c>
      <x:c r="D2040" s="28" t="str">
        <x:v>[ADHD in adults: more questions for the general practitioner].</x:v>
      </x:c>
      <x:c r="E2040" s="28" t="str">
        <x:v>Primary/contextual journal article</x:v>
      </x:c>
      <x:c r="F2040" s="28" t="str">
        <x:v>Development &amp; presentation; Recognition &amp; diagnosis; Family &amp; education; Social &amp; structural; Environmental &amp; lifestyle; Treatment &amp; support; Historical &amp; contemporary context</x:v>
      </x:c>
      <x:c r="G2040" s="28" t="str">
        <x:v>Adulthood</x:v>
      </x:c>
      <x:c r="H2040" s="28" t="str">
        <x:v>Later specialized</x:v>
      </x:c>
      <x:c r="I2040" s="28" t="str">
        <x:v>Direct or strongly ADHD-related record retained for later screening; typically narrower treatment, biomarker, mechanistic, or single-comorbidity focus.</x:v>
      </x:c>
      <x:c r="J2040" s="38" t="e">
        <x:f>HYPERLINK("https://pubmed.ncbi.nlm.nih.gov/"&amp;C2040&amp;"/","Open PubMed")</x:f>
        <x:v>HYPERLINK is not implemented. linkLocation=https://pubmed.ncbi.nlm.nih.gov/41873689/, friendlyName=Open PubMed</x:v>
      </x:c>
    </x:row>
    <x:row r="2041">
      <x:c r="A2041" s="26" t="str">
        <x:v>PUBMED-41872162</x:v>
      </x:c>
      <x:c r="B2041" s="26" t="n">
        <x:v>2026</x:v>
      </x:c>
      <x:c r="C2041" s="26" t="str">
        <x:v>41872162</x:v>
      </x:c>
      <x:c r="D2041" s="28" t="str">
        <x:v>Dynamic modeling in neurocognitive frameworks of childhood ADHD: a review of inhibitory control and reward systems.</x:v>
      </x:c>
      <x:c r="E2041" s="28" t="str">
        <x:v>Evidence synthesis - review</x:v>
      </x:c>
      <x:c r="F2041" s="28" t="str">
        <x:v>Development &amp; presentation; Recognition &amp; diagnosis; Social &amp; structural; Treatment &amp; support; Historical &amp; contemporary context</x:v>
      </x:c>
      <x:c r="G2041" s="28" t="str">
        <x:v>Childhood</x:v>
      </x:c>
      <x:c r="H2041" s="28" t="str">
        <x:v>Batch 1 core</x:v>
      </x:c>
      <x:c r="I2041" s="28" t="str">
        <x:v>Direct ADHD evidence synthesis/guideline with broad multi-topic relevance.</x:v>
      </x:c>
      <x:c r="J2041" s="38" t="e">
        <x:f>HYPERLINK("https://pubmed.ncbi.nlm.nih.gov/"&amp;C2041&amp;"/","Open PubMed")</x:f>
        <x:v>HYPERLINK is not implemented. linkLocation=https://pubmed.ncbi.nlm.nih.gov/41872162/, friendlyName=Open PubMed</x:v>
      </x:c>
    </x:row>
    <x:row r="2042">
      <x:c r="A2042" s="26" t="str">
        <x:v>PUBMED-41867063</x:v>
      </x:c>
      <x:c r="B2042" s="26" t="n">
        <x:v>2026</x:v>
      </x:c>
      <x:c r="C2042" s="26" t="str">
        <x:v>41867063</x:v>
      </x:c>
      <x:c r="D2042" s="28" t="str">
        <x:v>ADHD in Children, Adolescents, and Adults: Incidence, Prevalence, and Treatment. An Analysis of Routine Health Insurance Data.</x:v>
      </x:c>
      <x:c r="E2042" s="28" t="str">
        <x:v>Primary/contextual journal article</x:v>
      </x:c>
      <x:c r="F2042" s="28" t="str">
        <x:v>Development &amp; presentation; Recognition &amp; diagnosis; Social &amp; structural; Treatment &amp; support</x:v>
      </x:c>
      <x:c r="G2042" s="28" t="str">
        <x:v>Childhood; Adolescence; Adulthood</x:v>
      </x:c>
      <x:c r="H2042" s="28" t="str">
        <x:v>Later specialized</x:v>
      </x:c>
      <x:c r="I2042" s="28" t="str">
        <x:v>Direct or strongly ADHD-related record retained for later screening; typically narrower treatment, biomarker, mechanistic, or single-comorbidity focus.</x:v>
      </x:c>
      <x:c r="J2042" s="38" t="e">
        <x:f>HYPERLINK("https://pubmed.ncbi.nlm.nih.gov/"&amp;C2042&amp;"/","Open PubMed")</x:f>
        <x:v>HYPERLINK is not implemented. linkLocation=https://pubmed.ncbi.nlm.nih.gov/41867063/, friendlyName=Open PubMed</x:v>
      </x:c>
    </x:row>
    <x:row r="2043">
      <x:c r="A2043" s="26" t="str">
        <x:v>PUBMED-41858080</x:v>
      </x:c>
      <x:c r="B2043" s="26" t="n">
        <x:v>2026</x:v>
      </x:c>
      <x:c r="C2043" s="26" t="str">
        <x:v>41858080</x:v>
      </x:c>
      <x:c r="D2043" s="28" t="str">
        <x:v>The association between inflammatory markers in routine blood counts at 1 year and attention-deficit/hyperactivity disorder (ADHD): A case-control study.</x:v>
      </x:c>
      <x:c r="E2043" s="28" t="str">
        <x:v>Primary study - case-control</x:v>
      </x:c>
      <x:c r="F2043" s="28" t="str">
        <x:v>Development &amp; presentation; Recognition &amp; diagnosis; Social &amp; structural</x:v>
      </x:c>
      <x:c r="G2043" s="28" t="str">
        <x:v>Childhood</x:v>
      </x:c>
      <x:c r="H2043" s="28" t="str">
        <x:v>Later specialized</x:v>
      </x:c>
      <x:c r="I2043" s="28" t="str">
        <x:v>Direct or strongly ADHD-related record retained for later screening; typically narrower treatment, biomarker, mechanistic, or single-comorbidity focus.</x:v>
      </x:c>
      <x:c r="J2043" s="38" t="e">
        <x:f>HYPERLINK("https://pubmed.ncbi.nlm.nih.gov/"&amp;C2043&amp;"/","Open PubMed")</x:f>
        <x:v>HYPERLINK is not implemented. linkLocation=https://pubmed.ncbi.nlm.nih.gov/41858080/, friendlyName=Open PubMed</x:v>
      </x:c>
    </x:row>
    <x:row r="2044">
      <x:c r="A2044" s="26" t="str">
        <x:v>PUBMED-41856416</x:v>
      </x:c>
      <x:c r="B2044" s="26" t="n">
        <x:v>2026</x:v>
      </x:c>
      <x:c r="C2044" s="26" t="str">
        <x:v>41856416</x:v>
      </x:c>
      <x:c r="D2044" s="28" t="str">
        <x:v>Association between complete blood count-derived inflammatory markers and ADHD symptom trajectories in childhood: A prospective cohort study.</x:v>
      </x:c>
      <x:c r="E2044" s="28" t="str">
        <x:v>Primary study - cohort</x:v>
      </x:c>
      <x:c r="F2044" s="28" t="str">
        <x:v>Development &amp; presentation; Recognition &amp; diagnosis; Family &amp; education</x:v>
      </x:c>
      <x:c r="G2044" s="28" t="str">
        <x:v>Childhood; Adolescence</x:v>
      </x:c>
      <x:c r="H2044" s="28" t="str">
        <x:v>Later specialized</x:v>
      </x:c>
      <x:c r="I2044" s="28" t="str">
        <x:v>Direct or strongly ADHD-related record retained for later screening; typically narrower treatment, biomarker, mechanistic, or single-comorbidity focus.</x:v>
      </x:c>
      <x:c r="J2044" s="38" t="e">
        <x:f>HYPERLINK("https://pubmed.ncbi.nlm.nih.gov/"&amp;C2044&amp;"/","Open PubMed")</x:f>
        <x:v>HYPERLINK is not implemented. linkLocation=https://pubmed.ncbi.nlm.nih.gov/41856416/, friendlyName=Open PubMed</x:v>
      </x:c>
    </x:row>
    <x:row r="2045">
      <x:c r="A2045" s="26" t="str">
        <x:v>PUBMED-41844506</x:v>
      </x:c>
      <x:c r="B2045" s="26" t="n">
        <x:v>2026</x:v>
      </x:c>
      <x:c r="C2045" s="26" t="str">
        <x:v>41844506</x:v>
      </x:c>
      <x:c r="D2045" s="28" t="str">
        <x:v>Unpacking temperamental risk: Interactions among infant temperamental domains of reactivity and regulation differentially predict attention-deficit/hyperactivity and anxiety/depression symptoms.</x:v>
      </x:c>
      <x:c r="E2045" s="28" t="str">
        <x:v>Primary/contextual journal article</x:v>
      </x:c>
      <x:c r="F2045" s="28" t="str">
        <x:v>Development &amp; presentation; Recognition &amp; diagnosis; Family &amp; education; Social &amp; structural; Life outcomes &amp; lived experience</x:v>
      </x:c>
      <x:c r="G2045" s="28" t="str">
        <x:v>Childhood</x:v>
      </x:c>
      <x:c r="H2045" s="28" t="str">
        <x:v>Later specialized</x:v>
      </x:c>
      <x:c r="I2045" s="28" t="str">
        <x:v>Direct or strongly ADHD-related record retained for later screening; typically narrower treatment, biomarker, mechanistic, or single-comorbidity focus.</x:v>
      </x:c>
      <x:c r="J2045" s="38" t="e">
        <x:f>HYPERLINK("https://pubmed.ncbi.nlm.nih.gov/"&amp;C2045&amp;"/","Open PubMed")</x:f>
        <x:v>HYPERLINK is not implemented. linkLocation=https://pubmed.ncbi.nlm.nih.gov/41844506/, friendlyName=Open PubMed</x:v>
      </x:c>
    </x:row>
    <x:row r="2046">
      <x:c r="A2046" s="26" t="str">
        <x:v>PUBMED-41840046</x:v>
      </x:c>
      <x:c r="B2046" s="26" t="n">
        <x:v>2026</x:v>
      </x:c>
      <x:c r="C2046" s="26" t="str">
        <x:v>41840046</x:v>
      </x:c>
      <x:c r="D2046" s="28" t="str">
        <x:v>Delayed goal-directed processing underlies inhibitory control challenges in adult ADHD.</x:v>
      </x:c>
      <x:c r="E2046" s="28" t="str">
        <x:v>Primary/contextual journal article</x:v>
      </x:c>
      <x:c r="F2046" s="28" t="str">
        <x:v>Development &amp; presentation; Social &amp; structural; Environmental &amp; lifestyle; Treatment &amp; support</x:v>
      </x:c>
      <x:c r="G2046" s="28" t="str">
        <x:v>Adulthood</x:v>
      </x:c>
      <x:c r="H2046" s="28" t="str">
        <x:v>Later specialized</x:v>
      </x:c>
      <x:c r="I2046" s="28" t="str">
        <x:v>Direct or strongly ADHD-related record retained for later screening; typically narrower treatment, biomarker, mechanistic, or single-comorbidity focus.</x:v>
      </x:c>
      <x:c r="J2046" s="38" t="e">
        <x:f>HYPERLINK("https://pubmed.ncbi.nlm.nih.gov/"&amp;C2046&amp;"/","Open PubMed")</x:f>
        <x:v>HYPERLINK is not implemented. linkLocation=https://pubmed.ncbi.nlm.nih.gov/41840046/, friendlyName=Open PubMed</x:v>
      </x:c>
    </x:row>
    <x:row r="2047">
      <x:c r="A2047" s="26" t="str">
        <x:v>PUBMED-41811197</x:v>
      </x:c>
      <x:c r="B2047" s="26" t="n">
        <x:v>2026</x:v>
      </x:c>
      <x:c r="C2047" s="26" t="str">
        <x:v>41811197</x:v>
      </x:c>
      <x:c r="D2047" s="28" t="str">
        <x:v>Sociability, drinking motives, and alcohol use problems among young adults with and without childhood attention-deficit/hyperactivity disorder.</x:v>
      </x:c>
      <x:c r="E2047" s="28" t="str">
        <x:v>Primary/contextual journal article</x:v>
      </x:c>
      <x:c r="F2047" s="28" t="str">
        <x:v>Development &amp; presentation; Recognition &amp; diagnosis; Family &amp; education; Environmental &amp; lifestyle; Life outcomes &amp; lived experience</x:v>
      </x:c>
      <x:c r="G2047" s="28" t="str">
        <x:v>Childhood; Adolescence; Adulthood</x:v>
      </x:c>
      <x:c r="H2047" s="28" t="str">
        <x:v>Later specialized</x:v>
      </x:c>
      <x:c r="I2047" s="28" t="str">
        <x:v>Direct or strongly ADHD-related record retained for later screening; typically narrower treatment, biomarker, mechanistic, or single-comorbidity focus.</x:v>
      </x:c>
      <x:c r="J2047" s="38" t="e">
        <x:f>HYPERLINK("https://pubmed.ncbi.nlm.nih.gov/"&amp;C2047&amp;"/","Open PubMed")</x:f>
        <x:v>HYPERLINK is not implemented. linkLocation=https://pubmed.ncbi.nlm.nih.gov/41811197/, friendlyName=Open PubMed</x:v>
      </x:c>
    </x:row>
    <x:row r="2048">
      <x:c r="A2048" s="26" t="str">
        <x:v>PUBMED-41806431</x:v>
      </x:c>
      <x:c r="B2048" s="26" t="n">
        <x:v>2026</x:v>
      </x:c>
      <x:c r="C2048" s="26" t="str">
        <x:v>41806431</x:v>
      </x:c>
      <x:c r="D2048" s="28" t="str">
        <x:v>The relationship between multisensory temporal processing and ADHD traits.</x:v>
      </x:c>
      <x:c r="E2048" s="28" t="str">
        <x:v>Primary/contextual journal article</x:v>
      </x:c>
      <x:c r="F2048" s="28" t="str">
        <x:v>Development &amp; presentation; Social &amp; structural; Life outcomes &amp; lived experience</x:v>
      </x:c>
      <x:c r="G2048" s="28" t="str">
        <x:v>Adolescence; Adulthood</x:v>
      </x:c>
      <x:c r="H2048" s="28" t="str">
        <x:v>Later specialized</x:v>
      </x:c>
      <x:c r="I2048" s="28" t="str">
        <x:v>Direct or strongly ADHD-related record retained for later screening; typically narrower treatment, biomarker, mechanistic, or single-comorbidity focus.</x:v>
      </x:c>
      <x:c r="J2048" s="38" t="e">
        <x:f>HYPERLINK("https://pubmed.ncbi.nlm.nih.gov/"&amp;C2048&amp;"/","Open PubMed")</x:f>
        <x:v>HYPERLINK is not implemented. linkLocation=https://pubmed.ncbi.nlm.nih.gov/41806431/, friendlyName=Open PubMed</x:v>
      </x:c>
    </x:row>
    <x:row r="2049">
      <x:c r="A2049" s="26" t="str">
        <x:v>PUBMED-41806415</x:v>
      </x:c>
      <x:c r="B2049" s="26" t="n">
        <x:v>2026</x:v>
      </x:c>
      <x:c r="C2049" s="26" t="str">
        <x:v>41806415</x:v>
      </x:c>
      <x:c r="D2049" s="28" t="str">
        <x:v>Neurodiversity and workplace relationships: The impact of ADHD on social network ties.</x:v>
      </x:c>
      <x:c r="E2049" s="28" t="str">
        <x:v>Primary/contextual journal article</x:v>
      </x:c>
      <x:c r="F2049" s="28" t="str">
        <x:v>Development &amp; presentation; Life outcomes &amp; lived experience; Historical &amp; contemporary context</x:v>
      </x:c>
      <x:c r="G2049" s="28" t="str">
        <x:v>Adulthood</x:v>
      </x:c>
      <x:c r="H2049" s="28" t="str">
        <x:v>Later specialized</x:v>
      </x:c>
      <x:c r="I2049" s="28" t="str">
        <x:v>Direct or strongly ADHD-related record retained for later screening; typically narrower treatment, biomarker, mechanistic, or single-comorbidity focus.</x:v>
      </x:c>
      <x:c r="J2049" s="38" t="e">
        <x:f>HYPERLINK("https://pubmed.ncbi.nlm.nih.gov/"&amp;C2049&amp;"/","Open PubMed")</x:f>
        <x:v>HYPERLINK is not implemented. linkLocation=https://pubmed.ncbi.nlm.nih.gov/41806415/, friendlyName=Open PubMed</x:v>
      </x:c>
    </x:row>
    <x:row r="2050">
      <x:c r="A2050" s="26" t="str">
        <x:v>PUBMED-41794144</x:v>
      </x:c>
      <x:c r="B2050" s="26" t="n">
        <x:v>2026</x:v>
      </x:c>
      <x:c r="C2050" s="26" t="str">
        <x:v>41794144</x:v>
      </x:c>
      <x:c r="D2050" s="28" t="str">
        <x:v>Latent profiles of mood: Toward an empirical definition of mixed mood in youth.</x:v>
      </x:c>
      <x:c r="E2050" s="28" t="str">
        <x:v>Primary/contextual journal article</x:v>
      </x:c>
      <x:c r="F2050" s="28" t="str">
        <x:v>Development &amp; presentation; Recognition &amp; diagnosis; Family &amp; education; Social &amp; structural; Environmental &amp; lifestyle; Treatment &amp; support; Life outcomes &amp; lived experience</x:v>
      </x:c>
      <x:c r="G2050" s="28" t="str">
        <x:v>Childhood; Adolescence</x:v>
      </x:c>
      <x:c r="H2050" s="28" t="str">
        <x:v>Exclude/incidental</x:v>
      </x:c>
      <x:c r="I2050" s="28" t="str">
        <x:v>ADHD appears peripheral or insufficiently aligned with the requested corpus scope based on accessible metadata/abstract.</x:v>
      </x:c>
      <x:c r="J2050" s="38" t="e">
        <x:f>HYPERLINK("https://pubmed.ncbi.nlm.nih.gov/"&amp;C2050&amp;"/","Open PubMed")</x:f>
        <x:v>HYPERLINK is not implemented. linkLocation=https://pubmed.ncbi.nlm.nih.gov/41794144/, friendlyName=Open PubMed</x:v>
      </x:c>
    </x:row>
    <x:row r="2051">
      <x:c r="A2051" s="26" t="str">
        <x:v>PUBMED-41794018</x:v>
      </x:c>
      <x:c r="B2051" s="26" t="n">
        <x:v>2026</x:v>
      </x:c>
      <x:c r="C2051" s="26" t="str">
        <x:v>41794018</x:v>
      </x:c>
      <x:c r="D2051" s="28" t="str">
        <x:v>Generation of iPSC lines from an ADHD patient (UKWi008-A, UKWi008-A-1) and a healthy control (UKWi009-A, UKWi009-A-1).</x:v>
      </x:c>
      <x:c r="E2051" s="28" t="str">
        <x:v>Primary/contextual journal article</x:v>
      </x:c>
      <x:c r="F2051" s="28" t="str">
        <x:v>Development &amp; presentation; Social &amp; structural; Treatment &amp; support</x:v>
      </x:c>
      <x:c r="G2051" s="28" t="str">
        <x:v>Adulthood</x:v>
      </x:c>
      <x:c r="H2051" s="28" t="str">
        <x:v>Later specialized</x:v>
      </x:c>
      <x:c r="I2051" s="28" t="str">
        <x:v>Direct or strongly ADHD-related record retained for later screening; typically narrower treatment, biomarker, mechanistic, or single-comorbidity focus.</x:v>
      </x:c>
      <x:c r="J2051" s="38" t="e">
        <x:f>HYPERLINK("https://pubmed.ncbi.nlm.nih.gov/"&amp;C2051&amp;"/","Open PubMed")</x:f>
        <x:v>HYPERLINK is not implemented. linkLocation=https://pubmed.ncbi.nlm.nih.gov/41794018/, friendlyName=Open PubMed</x:v>
      </x:c>
    </x:row>
    <x:row r="2052">
      <x:c r="A2052" s="26" t="str">
        <x:v>PUBMED-41782535</x:v>
      </x:c>
      <x:c r="B2052" s="26" t="n">
        <x:v>2026</x:v>
      </x:c>
      <x:c r="C2052" s="26" t="str">
        <x:v>41782535</x:v>
      </x:c>
      <x:c r="D2052" s="28" t="str">
        <x:v>[Clinical experience with melatonin and memantine combination (Miladean) in children with cognitive and behavioral impairments].</x:v>
      </x:c>
      <x:c r="E2052" s="28" t="str">
        <x:v>Primary/contextual journal article</x:v>
      </x:c>
      <x:c r="F2052" s="28" t="str">
        <x:v>Development &amp; presentation; Recognition &amp; diagnosis; Social &amp; structural; Environmental &amp; lifestyle; Treatment &amp; support; Life outcomes &amp; lived experience</x:v>
      </x:c>
      <x:c r="G2052" s="28" t="str">
        <x:v>Childhood; Adolescence</x:v>
      </x:c>
      <x:c r="H2052" s="28" t="str">
        <x:v>Later specialized</x:v>
      </x:c>
      <x:c r="I2052" s="28" t="str">
        <x:v>Direct or strongly ADHD-related record retained for later screening; typically narrower treatment, biomarker, mechanistic, or single-comorbidity focus.</x:v>
      </x:c>
      <x:c r="J2052" s="38" t="e">
        <x:f>HYPERLINK("https://pubmed.ncbi.nlm.nih.gov/"&amp;C2052&amp;"/","Open PubMed")</x:f>
        <x:v>HYPERLINK is not implemented. linkLocation=https://pubmed.ncbi.nlm.nih.gov/41782535/, friendlyName=Open PubMed</x:v>
      </x:c>
    </x:row>
    <x:row r="2053">
      <x:c r="A2053" s="26" t="str">
        <x:v>PUBMED-41774972</x:v>
      </x:c>
      <x:c r="B2053" s="26" t="n">
        <x:v>2026</x:v>
      </x:c>
      <x:c r="C2053" s="26" t="str">
        <x:v>41774972</x:v>
      </x:c>
      <x:c r="D2053" s="28" t="str">
        <x:v>Likely neurodivergence and variant connective tissue in patients with chronic pain/chronic fatigue: a case-control study.</x:v>
      </x:c>
      <x:c r="E2053" s="28" t="str">
        <x:v>Primary study - case-control</x:v>
      </x:c>
      <x:c r="F2053" s="28" t="str">
        <x:v>Development &amp; presentation; Recognition &amp; diagnosis; Life outcomes &amp; lived experience; Historical &amp; contemporary context</x:v>
      </x:c>
      <x:c r="G2053" s="28" t="str">
        <x:v>Adulthood</x:v>
      </x:c>
      <x:c r="H2053" s="28" t="str">
        <x:v>Later specialized</x:v>
      </x:c>
      <x:c r="I2053" s="28" t="str">
        <x:v>Direct or strongly ADHD-related record retained for later screening; typically narrower treatment, biomarker, mechanistic, or single-comorbidity focus.</x:v>
      </x:c>
      <x:c r="J2053" s="38" t="e">
        <x:f>HYPERLINK("https://pubmed.ncbi.nlm.nih.gov/"&amp;C2053&amp;"/","Open PubMed")</x:f>
        <x:v>HYPERLINK is not implemented. linkLocation=https://pubmed.ncbi.nlm.nih.gov/41774972/, friendlyName=Open PubMed</x:v>
      </x:c>
    </x:row>
    <x:row r="2054">
      <x:c r="A2054" s="26" t="str">
        <x:v>PUBMED-41770751</x:v>
      </x:c>
      <x:c r="B2054" s="26" t="n">
        <x:v>2026</x:v>
      </x:c>
      <x:c r="C2054" s="26" t="str">
        <x:v>41770751</x:v>
      </x:c>
      <x:c r="D2054" s="28" t="str">
        <x:v>Association among serum uric acid, hyperactivity, impulsivity and dietary components in adults: a cross-sectional study Uric acid, hyperactivity/impulsivity symptoms, and dietary components in adults.</x:v>
      </x:c>
      <x:c r="E2054" s="28" t="str">
        <x:v>Primary study - cross-sectional</x:v>
      </x:c>
      <x:c r="F2054" s="28" t="str">
        <x:v>Development &amp; presentation; Environmental &amp; lifestyle</x:v>
      </x:c>
      <x:c r="G2054" s="28" t="str">
        <x:v>Adulthood</x:v>
      </x:c>
      <x:c r="H2054" s="28" t="str">
        <x:v>Later specialized</x:v>
      </x:c>
      <x:c r="I2054" s="28" t="str">
        <x:v>Direct or strongly ADHD-related record retained for later screening; typically narrower treatment, biomarker, mechanistic, or single-comorbidity focus.</x:v>
      </x:c>
      <x:c r="J2054" s="38" t="e">
        <x:f>HYPERLINK("https://pubmed.ncbi.nlm.nih.gov/"&amp;C2054&amp;"/","Open PubMed")</x:f>
        <x:v>HYPERLINK is not implemented. linkLocation=https://pubmed.ncbi.nlm.nih.gov/41770751/, friendlyName=Open PubMed</x:v>
      </x:c>
    </x:row>
    <x:row r="2055">
      <x:c r="A2055" s="26" t="str">
        <x:v>PUBMED-41765196</x:v>
      </x:c>
      <x:c r="B2055" s="26" t="n">
        <x:v>2026</x:v>
      </x:c>
      <x:c r="C2055" s="26" t="str">
        <x:v>41765196</x:v>
      </x:c>
      <x:c r="D2055" s="28" t="str">
        <x:v>Energy deficit hyperactivity disorder (EDHD): A neurobiological energy dysregulation model for ADHD.</x:v>
      </x:c>
      <x:c r="E2055" s="28" t="str">
        <x:v>Evidence synthesis - review</x:v>
      </x:c>
      <x:c r="F2055" s="28" t="str">
        <x:v>Development &amp; presentation; Recognition &amp; diagnosis; Social &amp; structural; Environmental &amp; lifestyle; Treatment &amp; support</x:v>
      </x:c>
      <x:c r="G2055" s="28" t="str">
        <x:v>Not specified</x:v>
      </x:c>
      <x:c r="H2055" s="28" t="str">
        <x:v>Later specialized</x:v>
      </x:c>
      <x:c r="I2055" s="28" t="str">
        <x:v>Direct or strongly ADHD-related record retained for later screening; typically narrower treatment, biomarker, mechanistic, or single-comorbidity focus.</x:v>
      </x:c>
      <x:c r="J2055" s="38" t="e">
        <x:f>HYPERLINK("https://pubmed.ncbi.nlm.nih.gov/"&amp;C2055&amp;"/","Open PubMed")</x:f>
        <x:v>HYPERLINK is not implemented. linkLocation=https://pubmed.ncbi.nlm.nih.gov/41765196/, friendlyName=Open PubMed</x:v>
      </x:c>
    </x:row>
    <x:row r="2056">
      <x:c r="A2056" s="26" t="str">
        <x:v>PUBMED-41747831</x:v>
      </x:c>
      <x:c r="B2056" s="26" t="n">
        <x:v>2026</x:v>
      </x:c>
      <x:c r="C2056" s="26" t="str">
        <x:v>41747831</x:v>
      </x:c>
      <x:c r="D2056" s="28" t="str">
        <x:v>Parent-of-origin effects and cross-disorder transmission in familial psychiatric risk: A nationwide study of 1.77 million offspring.</x:v>
      </x:c>
      <x:c r="E2056" s="28" t="str">
        <x:v>Primary study - cohort</x:v>
      </x:c>
      <x:c r="F2056" s="28" t="str">
        <x:v>Development &amp; presentation; Recognition &amp; diagnosis; Family &amp; education; Social &amp; structural; Environmental &amp; lifestyle; Life outcomes &amp; lived experience</x:v>
      </x:c>
      <x:c r="G2056" s="28" t="str">
        <x:v>Childhood; Adolescence; Adulthood</x:v>
      </x:c>
      <x:c r="H2056" s="28" t="str">
        <x:v>Later specialized</x:v>
      </x:c>
      <x:c r="I2056" s="28" t="str">
        <x:v>Direct or strongly ADHD-related record retained for later screening; typically narrower treatment, biomarker, mechanistic, or single-comorbidity focus.</x:v>
      </x:c>
      <x:c r="J2056" s="38" t="e">
        <x:f>HYPERLINK("https://pubmed.ncbi.nlm.nih.gov/"&amp;C2056&amp;"/","Open PubMed")</x:f>
        <x:v>HYPERLINK is not implemented. linkLocation=https://pubmed.ncbi.nlm.nih.gov/41747831/, friendlyName=Open PubMed</x:v>
      </x:c>
    </x:row>
    <x:row r="2057">
      <x:c r="A2057" s="26" t="str">
        <x:v>PUBMED-41740334</x:v>
      </x:c>
      <x:c r="B2057" s="26" t="n">
        <x:v>2026</x:v>
      </x:c>
      <x:c r="C2057" s="26" t="str">
        <x:v>41740334</x:v>
      </x:c>
      <x:c r="D2057" s="28" t="str">
        <x:v>Response inhibition and working memory in children with attention deficit hyperactivity disorders: An event-related potential study.</x:v>
      </x:c>
      <x:c r="E2057" s="28" t="str">
        <x:v>Primary/contextual journal article</x:v>
      </x:c>
      <x:c r="F2057" s="28" t="str">
        <x:v>Development &amp; presentation; Recognition &amp; diagnosis; Social &amp; structural; Treatment &amp; support</x:v>
      </x:c>
      <x:c r="G2057" s="28" t="str">
        <x:v>Childhood</x:v>
      </x:c>
      <x:c r="H2057" s="28" t="str">
        <x:v>Later specialized</x:v>
      </x:c>
      <x:c r="I2057" s="28" t="str">
        <x:v>Direct or strongly ADHD-related record retained for later screening; typically narrower treatment, biomarker, mechanistic, or single-comorbidity focus.</x:v>
      </x:c>
      <x:c r="J2057" s="38" t="e">
        <x:f>HYPERLINK("https://pubmed.ncbi.nlm.nih.gov/"&amp;C2057&amp;"/","Open PubMed")</x:f>
        <x:v>HYPERLINK is not implemented. linkLocation=https://pubmed.ncbi.nlm.nih.gov/41740334/, friendlyName=Open PubMed</x:v>
      </x:c>
    </x:row>
    <x:row r="2058">
      <x:c r="A2058" s="26" t="str">
        <x:v>PUBMED-41738103</x:v>
      </x:c>
      <x:c r="B2058" s="26" t="n">
        <x:v>2026</x:v>
      </x:c>
      <x:c r="C2058" s="26" t="str">
        <x:v>41738103</x:v>
      </x:c>
      <x:c r="D2058" s="28" t="str">
        <x:v>[Effect of medication breaks in children and adolescents treated with central stimulants for ADHD].</x:v>
      </x:c>
      <x:c r="E2058" s="28" t="str">
        <x:v>Evidence synthesis - review</x:v>
      </x:c>
      <x:c r="F2058" s="28" t="str">
        <x:v>Development &amp; presentation; Family &amp; education; Social &amp; structural; Treatment &amp; support</x:v>
      </x:c>
      <x:c r="G2058" s="28" t="str">
        <x:v>Childhood; Adolescence</x:v>
      </x:c>
      <x:c r="H2058" s="28" t="str">
        <x:v>Later specialized</x:v>
      </x:c>
      <x:c r="I2058" s="28" t="str">
        <x:v>Direct or strongly ADHD-related record retained for later screening; typically narrower treatment, biomarker, mechanistic, or single-comorbidity focus.</x:v>
      </x:c>
      <x:c r="J2058" s="38" t="e">
        <x:f>HYPERLINK("https://pubmed.ncbi.nlm.nih.gov/"&amp;C2058&amp;"/","Open PubMed")</x:f>
        <x:v>HYPERLINK is not implemented. linkLocation=https://pubmed.ncbi.nlm.nih.gov/41738103/, friendlyName=Open PubMed</x:v>
      </x:c>
    </x:row>
    <x:row r="2059">
      <x:c r="A2059" s="26" t="str">
        <x:v>PUBMED-41729885</x:v>
      </x:c>
      <x:c r="B2059" s="26" t="n">
        <x:v>2026</x:v>
      </x:c>
      <x:c r="C2059" s="26" t="str">
        <x:v>41729885</x:v>
      </x:c>
      <x:c r="D2059" s="28" t="str">
        <x:v>Global, regional, and national burdens of attention deficit hyperactivity disorder in adolescents and young adults aged 10-24 years from 1990 to 2021: A trend analysis.</x:v>
      </x:c>
      <x:c r="E2059" s="28" t="str">
        <x:v>Primary/contextual journal article</x:v>
      </x:c>
      <x:c r="F2059" s="28" t="str">
        <x:v>Development &amp; presentation; Recognition &amp; diagnosis; Social &amp; structural; Treatment &amp; support; Life outcomes &amp; lived experience; Historical &amp; contemporary context</x:v>
      </x:c>
      <x:c r="G2059" s="28" t="str">
        <x:v>Childhood; Adolescence; Adulthood</x:v>
      </x:c>
      <x:c r="H2059" s="28" t="str">
        <x:v>Later specialized</x:v>
      </x:c>
      <x:c r="I2059" s="28" t="str">
        <x:v>Direct or strongly ADHD-related record retained for later screening; typically narrower treatment, biomarker, mechanistic, or single-comorbidity focus.</x:v>
      </x:c>
      <x:c r="J2059" s="38" t="e">
        <x:f>HYPERLINK("https://pubmed.ncbi.nlm.nih.gov/"&amp;C2059&amp;"/","Open PubMed")</x:f>
        <x:v>HYPERLINK is not implemented. linkLocation=https://pubmed.ncbi.nlm.nih.gov/41729885/, friendlyName=Open PubMed</x:v>
      </x:c>
    </x:row>
    <x:row r="2060">
      <x:c r="A2060" s="26" t="str">
        <x:v>PUBMED-41725142</x:v>
      </x:c>
      <x:c r="B2060" s="26" t="n">
        <x:v>2026</x:v>
      </x:c>
      <x:c r="C2060" s="26" t="str">
        <x:v>41725142</x:v>
      </x:c>
      <x:c r="D2060" s="28" t="str">
        <x:v>Editorial Perspective: Overdiagnosis of ADHD? Here we go again.</x:v>
      </x:c>
      <x:c r="E2060" s="28" t="str">
        <x:v>Contextual - editorial/comment</x:v>
      </x:c>
      <x:c r="F2060" s="28" t="str">
        <x:v>Development &amp; presentation; Recognition &amp; diagnosis; Social &amp; structural; Treatment &amp; support; Life outcomes &amp; lived experience</x:v>
      </x:c>
      <x:c r="G2060" s="28" t="str">
        <x:v>Childhood</x:v>
      </x:c>
      <x:c r="H2060" s="28" t="str">
        <x:v>Later specialized</x:v>
      </x:c>
      <x:c r="I2060" s="28" t="str">
        <x:v>Direct or strongly ADHD-related record retained for later screening; typically narrower treatment, biomarker, mechanistic, or single-comorbidity focus.</x:v>
      </x:c>
      <x:c r="J2060" s="38" t="e">
        <x:f>HYPERLINK("https://pubmed.ncbi.nlm.nih.gov/"&amp;C2060&amp;"/","Open PubMed")</x:f>
        <x:v>HYPERLINK is not implemented. linkLocation=https://pubmed.ncbi.nlm.nih.gov/41725142/, friendlyName=Open PubMed</x:v>
      </x:c>
    </x:row>
    <x:row r="2061">
      <x:c r="A2061" s="26" t="str">
        <x:v>PUBMED-41724026</x:v>
      </x:c>
      <x:c r="B2061" s="26" t="n">
        <x:v>2026</x:v>
      </x:c>
      <x:c r="C2061" s="26" t="str">
        <x:v>41724026</x:v>
      </x:c>
      <x:c r="D2061" s="28" t="str">
        <x:v>Blurred lines: Investigating functional profiles in autism and ADHD across key developmental domains.</x:v>
      </x:c>
      <x:c r="E2061" s="28" t="str">
        <x:v>Primary study - case-control</x:v>
      </x:c>
      <x:c r="F2061" s="28" t="str">
        <x:v>Development &amp; presentation; Recognition &amp; diagnosis; Family &amp; education; Social &amp; structural; Treatment &amp; support</x:v>
      </x:c>
      <x:c r="G2061" s="28" t="str">
        <x:v>Childhood; Adolescence</x:v>
      </x:c>
      <x:c r="H2061" s="28" t="str">
        <x:v>Later specialized</x:v>
      </x:c>
      <x:c r="I2061" s="28" t="str">
        <x:v>Direct or strongly ADHD-related record retained for later screening; typically narrower treatment, biomarker, mechanistic, or single-comorbidity focus.</x:v>
      </x:c>
      <x:c r="J2061" s="38" t="e">
        <x:f>HYPERLINK("https://pubmed.ncbi.nlm.nih.gov/"&amp;C2061&amp;"/","Open PubMed")</x:f>
        <x:v>HYPERLINK is not implemented. linkLocation=https://pubmed.ncbi.nlm.nih.gov/41724026/, friendlyName=Open PubMed</x:v>
      </x:c>
    </x:row>
    <x:row r="2062">
      <x:c r="A2062" s="26" t="str">
        <x:v>PUBMED-41721349</x:v>
      </x:c>
      <x:c r="B2062" s="26" t="n">
        <x:v>2026</x:v>
      </x:c>
      <x:c r="C2062" s="26" t="str">
        <x:v>41721349</x:v>
      </x:c>
      <x:c r="D2062" s="28" t="str">
        <x:v>ADHD and adherence to antihypertensive medication treatment: a multinational cohort study.</x:v>
      </x:c>
      <x:c r="E2062" s="28" t="str">
        <x:v>Evidence synthesis - meta-analysis</x:v>
      </x:c>
      <x:c r="F2062" s="28" t="str">
        <x:v>Development &amp; presentation; Recognition &amp; diagnosis; Social &amp; structural; Treatment &amp; support; Life outcomes &amp; lived experience</x:v>
      </x:c>
      <x:c r="G2062" s="28" t="str">
        <x:v>Adulthood</x:v>
      </x:c>
      <x:c r="H2062" s="28" t="str">
        <x:v>Later specialized</x:v>
      </x:c>
      <x:c r="I2062" s="28" t="str">
        <x:v>Direct or strongly ADHD-related record retained for later screening; typically narrower treatment, biomarker, mechanistic, or single-comorbidity focus.</x:v>
      </x:c>
      <x:c r="J2062" s="38" t="e">
        <x:f>HYPERLINK("https://pubmed.ncbi.nlm.nih.gov/"&amp;C2062&amp;"/","Open PubMed")</x:f>
        <x:v>HYPERLINK is not implemented. linkLocation=https://pubmed.ncbi.nlm.nih.gov/41721349/, friendlyName=Open PubMed</x:v>
      </x:c>
    </x:row>
    <x:row r="2063">
      <x:c r="A2063" s="26" t="str">
        <x:v>PUBMED-41721292</x:v>
      </x:c>
      <x:c r="B2063" s="26" t="n">
        <x:v>2026</x:v>
      </x:c>
      <x:c r="C2063" s="26" t="str">
        <x:v>41721292</x:v>
      </x:c>
      <x:c r="D2063" s="28" t="str">
        <x:v>Prenatal exposure to maternal asthma and asthma medication and neurodevelopmental outcomes: a population cohort study of 179,024 children.</x:v>
      </x:c>
      <x:c r="E2063" s="28" t="str">
        <x:v>Primary study - cohort</x:v>
      </x:c>
      <x:c r="F2063" s="28" t="str">
        <x:v>Development &amp; presentation; Family &amp; education; Social &amp; structural; Environmental &amp; lifestyle; Treatment &amp; support; Life outcomes &amp; lived experience</x:v>
      </x:c>
      <x:c r="G2063" s="28" t="str">
        <x:v>Childhood; Adulthood</x:v>
      </x:c>
      <x:c r="H2063" s="28" t="str">
        <x:v>Later specialized</x:v>
      </x:c>
      <x:c r="I2063" s="28" t="str">
        <x:v>Direct or strongly ADHD-related record retained for later screening; typically narrower treatment, biomarker, mechanistic, or single-comorbidity focus.</x:v>
      </x:c>
      <x:c r="J2063" s="38" t="e">
        <x:f>HYPERLINK("https://pubmed.ncbi.nlm.nih.gov/"&amp;C2063&amp;"/","Open PubMed")</x:f>
        <x:v>HYPERLINK is not implemented. linkLocation=https://pubmed.ncbi.nlm.nih.gov/41721292/, friendlyName=Open PubMed</x:v>
      </x:c>
    </x:row>
    <x:row r="2064">
      <x:c r="A2064" s="26" t="str">
        <x:v>PUBMED-41714759</x:v>
      </x:c>
      <x:c r="B2064" s="26" t="n">
        <x:v>2026</x:v>
      </x:c>
      <x:c r="C2064" s="26" t="str">
        <x:v>41714759</x:v>
      </x:c>
      <x:c r="D2064" s="28" t="str">
        <x:v>Structural integrity of the anterior thalamic radiation predicts alpha oscillations and inattention during visual encoding.</x:v>
      </x:c>
      <x:c r="E2064" s="28" t="str">
        <x:v>Primary/contextual journal article</x:v>
      </x:c>
      <x:c r="F2064" s="28" t="str">
        <x:v>Development &amp; presentation; Recognition &amp; diagnosis; Social &amp; structural; Life outcomes &amp; lived experience</x:v>
      </x:c>
      <x:c r="G2064" s="28" t="str">
        <x:v>Childhood</x:v>
      </x:c>
      <x:c r="H2064" s="28" t="str">
        <x:v>Later specialized</x:v>
      </x:c>
      <x:c r="I2064" s="28" t="str">
        <x:v>Direct or strongly ADHD-related record retained for later screening; typically narrower treatment, biomarker, mechanistic, or single-comorbidity focus.</x:v>
      </x:c>
      <x:c r="J2064" s="38" t="e">
        <x:f>HYPERLINK("https://pubmed.ncbi.nlm.nih.gov/"&amp;C2064&amp;"/","Open PubMed")</x:f>
        <x:v>HYPERLINK is not implemented. linkLocation=https://pubmed.ncbi.nlm.nih.gov/41714759/, friendlyName=Open PubMed</x:v>
      </x:c>
    </x:row>
    <x:row r="2065">
      <x:c r="A2065" s="26" t="str">
        <x:v>PUBMED-41707716</x:v>
      </x:c>
      <x:c r="B2065" s="26" t="n">
        <x:v>2026</x:v>
      </x:c>
      <x:c r="C2065" s="26" t="str">
        <x:v>41707716</x:v>
      </x:c>
      <x:c r="D2065" s="28" t="str">
        <x:v>The role of ADHD, medical, social, and relational health risk in depression: Evidence from a nationally representative sample of U.S. children and adolescents.</x:v>
      </x:c>
      <x:c r="E2065" s="28" t="str">
        <x:v>Primary/contextual journal article</x:v>
      </x:c>
      <x:c r="F2065" s="28" t="str">
        <x:v>Development &amp; presentation; Recognition &amp; diagnosis; Family &amp; education; Social &amp; structural; Environmental &amp; lifestyle; Treatment &amp; support; Life outcomes &amp; lived experience</x:v>
      </x:c>
      <x:c r="G2065" s="28" t="str">
        <x:v>Childhood; Adolescence</x:v>
      </x:c>
      <x:c r="H2065" s="28" t="str">
        <x:v>Later specialized</x:v>
      </x:c>
      <x:c r="I2065" s="28" t="str">
        <x:v>Direct or strongly ADHD-related record retained for later screening; typically narrower treatment, biomarker, mechanistic, or single-comorbidity focus.</x:v>
      </x:c>
      <x:c r="J2065" s="38" t="e">
        <x:f>HYPERLINK("https://pubmed.ncbi.nlm.nih.gov/"&amp;C2065&amp;"/","Open PubMed")</x:f>
        <x:v>HYPERLINK is not implemented. linkLocation=https://pubmed.ncbi.nlm.nih.gov/41707716/, friendlyName=Open PubMed</x:v>
      </x:c>
    </x:row>
    <x:row r="2066">
      <x:c r="A2066" s="26" t="str">
        <x:v>PUBMED-41698805</x:v>
      </x:c>
      <x:c r="B2066" s="26" t="n">
        <x:v>2026</x:v>
      </x:c>
      <x:c r="C2066" s="26" t="str">
        <x:v>41698805</x:v>
      </x:c>
      <x:c r="D2066" s="28" t="str">
        <x:v>[Formula: see text] Exploring the association between social skills, social intelligence, and executive dysfunction in adolescents with attention deficit hyperactivity disorder: a mediational analysis.</x:v>
      </x:c>
      <x:c r="E2066" s="28" t="str">
        <x:v>Primary/contextual journal article</x:v>
      </x:c>
      <x:c r="F2066" s="28" t="str">
        <x:v>Development &amp; presentation; Recognition &amp; diagnosis; Family &amp; education; Social &amp; structural; Treatment &amp; support; Life outcomes &amp; lived experience</x:v>
      </x:c>
      <x:c r="G2066" s="28" t="str">
        <x:v>Childhood; Adolescence</x:v>
      </x:c>
      <x:c r="H2066" s="28" t="str">
        <x:v>Later specialized</x:v>
      </x:c>
      <x:c r="I2066" s="28" t="str">
        <x:v>Direct or strongly ADHD-related record retained for later screening; typically narrower treatment, biomarker, mechanistic, or single-comorbidity focus.</x:v>
      </x:c>
      <x:c r="J2066" s="38" t="e">
        <x:f>HYPERLINK("https://pubmed.ncbi.nlm.nih.gov/"&amp;C2066&amp;"/","Open PubMed")</x:f>
        <x:v>HYPERLINK is not implemented. linkLocation=https://pubmed.ncbi.nlm.nih.gov/41698805/, friendlyName=Open PubMed</x:v>
      </x:c>
    </x:row>
    <x:row r="2067">
      <x:c r="A2067" s="26" t="str">
        <x:v>PUBMED-41696834</x:v>
      </x:c>
      <x:c r="B2067" s="26" t="n">
        <x:v>2026</x:v>
      </x:c>
      <x:c r="C2067" s="26" t="str">
        <x:v>41696834</x:v>
      </x:c>
      <x:c r="D2067" s="28" t="str">
        <x:v>[Cerebral neuromodulation in neurodevelopmental disorders].</x:v>
      </x:c>
      <x:c r="E2067" s="28" t="str">
        <x:v>Evidence synthesis - review</x:v>
      </x:c>
      <x:c r="F2067" s="28" t="str">
        <x:v>Development &amp; presentation; Social &amp; structural; Treatment &amp; support; Life outcomes &amp; lived experience</x:v>
      </x:c>
      <x:c r="G2067" s="28" t="str">
        <x:v>Childhood; Adolescence</x:v>
      </x:c>
      <x:c r="H2067" s="28" t="str">
        <x:v>Exclude/incidental</x:v>
      </x:c>
      <x:c r="I2067" s="28" t="str">
        <x:v>ADHD appears peripheral or insufficiently aligned with the requested corpus scope based on accessible metadata/abstract.</x:v>
      </x:c>
      <x:c r="J2067" s="38" t="e">
        <x:f>HYPERLINK("https://pubmed.ncbi.nlm.nih.gov/"&amp;C2067&amp;"/","Open PubMed")</x:f>
        <x:v>HYPERLINK is not implemented. linkLocation=https://pubmed.ncbi.nlm.nih.gov/41696834/, friendlyName=Open PubMed</x:v>
      </x:c>
    </x:row>
    <x:row r="2068">
      <x:c r="A2068" s="26" t="str">
        <x:v>PUBMED-41691204</x:v>
      </x:c>
      <x:c r="B2068" s="26" t="n">
        <x:v>2026</x:v>
      </x:c>
      <x:c r="C2068" s="26" t="str">
        <x:v>41691204</x:v>
      </x:c>
      <x:c r="D2068" s="28" t="str">
        <x:v>Plaque removal using powered and manual toothbrushes in children with and without attention deficit hyperactivity disorder: a randomized controlled trial.</x:v>
      </x:c>
      <x:c r="E2068" s="28" t="str">
        <x:v>Primary study - randomized controlled trial</x:v>
      </x:c>
      <x:c r="F2068" s="28" t="str">
        <x:v>Development &amp; presentation; Social &amp; structural; Treatment &amp; support; Life outcomes &amp; lived experience</x:v>
      </x:c>
      <x:c r="G2068" s="28" t="str">
        <x:v>Childhood</x:v>
      </x:c>
      <x:c r="H2068" s="28" t="str">
        <x:v>Later specialized</x:v>
      </x:c>
      <x:c r="I2068" s="28" t="str">
        <x:v>Direct or strongly ADHD-related record retained for later screening; typically narrower treatment, biomarker, mechanistic, or single-comorbidity focus.</x:v>
      </x:c>
      <x:c r="J2068" s="38" t="e">
        <x:f>HYPERLINK("https://pubmed.ncbi.nlm.nih.gov/"&amp;C2068&amp;"/","Open PubMed")</x:f>
        <x:v>HYPERLINK is not implemented. linkLocation=https://pubmed.ncbi.nlm.nih.gov/41691204/, friendlyName=Open PubMed</x:v>
      </x:c>
    </x:row>
    <x:row r="2069">
      <x:c r="A2069" s="26" t="str">
        <x:v>PUBMED-41689052</x:v>
      </x:c>
      <x:c r="B2069" s="26" t="n">
        <x:v>2026</x:v>
      </x:c>
      <x:c r="C2069" s="26" t="str">
        <x:v>41689052</x:v>
      </x:c>
      <x:c r="D2069" s="28" t="str">
        <x:v>Maternal migraine and offspring ADHD: triangulating the evidence.</x:v>
      </x:c>
      <x:c r="E2069" s="28" t="str">
        <x:v>Primary/contextual journal article</x:v>
      </x:c>
      <x:c r="F2069" s="28" t="str">
        <x:v>Development &amp; presentation; Family &amp; education; Social &amp; structural; Environmental &amp; lifestyle</x:v>
      </x:c>
      <x:c r="G2069" s="28" t="str">
        <x:v>Childhood</x:v>
      </x:c>
      <x:c r="H2069" s="28" t="str">
        <x:v>Later specialized</x:v>
      </x:c>
      <x:c r="I2069" s="28" t="str">
        <x:v>Direct or strongly ADHD-related record retained for later screening; typically narrower treatment, biomarker, mechanistic, or single-comorbidity focus.</x:v>
      </x:c>
      <x:c r="J2069" s="38" t="e">
        <x:f>HYPERLINK("https://pubmed.ncbi.nlm.nih.gov/"&amp;C2069&amp;"/","Open PubMed")</x:f>
        <x:v>HYPERLINK is not implemented. linkLocation=https://pubmed.ncbi.nlm.nih.gov/41689052/, friendlyName=Open PubMed</x:v>
      </x:c>
    </x:row>
    <x:row r="2070">
      <x:c r="A2070" s="26" t="str">
        <x:v>PUBMED-41688432</x:v>
      </x:c>
      <x:c r="B2070" s="26" t="n">
        <x:v>2026</x:v>
      </x:c>
      <x:c r="C2070" s="26" t="str">
        <x:v>41688432</x:v>
      </x:c>
      <x:c r="D2070" s="28" t="str">
        <x:v>Developmental trajectories of glutamate and the variable clinical course of ADHD in youth.</x:v>
      </x:c>
      <x:c r="E2070" s="28" t="str">
        <x:v>Primary/contextual journal article</x:v>
      </x:c>
      <x:c r="F2070" s="28" t="str">
        <x:v>Development &amp; presentation; Recognition &amp; diagnosis; Social &amp; structural</x:v>
      </x:c>
      <x:c r="G2070" s="28" t="str">
        <x:v>Childhood; Adolescence; Adulthood</x:v>
      </x:c>
      <x:c r="H2070" s="28" t="str">
        <x:v>Later specialized</x:v>
      </x:c>
      <x:c r="I2070" s="28" t="str">
        <x:v>Direct or strongly ADHD-related record retained for later screening; typically narrower treatment, biomarker, mechanistic, or single-comorbidity focus.</x:v>
      </x:c>
      <x:c r="J2070" s="38" t="e">
        <x:f>HYPERLINK("https://pubmed.ncbi.nlm.nih.gov/"&amp;C2070&amp;"/","Open PubMed")</x:f>
        <x:v>HYPERLINK is not implemented. linkLocation=https://pubmed.ncbi.nlm.nih.gov/41688432/, friendlyName=Open PubMed</x:v>
      </x:c>
    </x:row>
    <x:row r="2071">
      <x:c r="A2071" s="26" t="str">
        <x:v>PUBMED-41686757</x:v>
      </x:c>
      <x:c r="B2071" s="26" t="n">
        <x:v>2026</x:v>
      </x:c>
      <x:c r="C2071" s="26" t="str">
        <x:v>41686757</x:v>
      </x:c>
      <x:c r="D2071" s="28" t="str">
        <x:v>Bend the fingers: Ehlers Danlos syndrome and the associated disorders that impact treatment of chronic musculoskeletal pain.</x:v>
      </x:c>
      <x:c r="E2071" s="28" t="str">
        <x:v>Contextual - editorial/comment</x:v>
      </x:c>
      <x:c r="F2071" s="28" t="str">
        <x:v>Development &amp; presentation; Recognition &amp; diagnosis; Social &amp; structural; Treatment &amp; support</x:v>
      </x:c>
      <x:c r="G2071" s="28" t="str">
        <x:v>Not specified</x:v>
      </x:c>
      <x:c r="H2071" s="28" t="str">
        <x:v>Exclude/incidental</x:v>
      </x:c>
      <x:c r="I2071" s="28" t="str">
        <x:v>ADHD appears peripheral or insufficiently aligned with the requested corpus scope based on accessible metadata/abstract.</x:v>
      </x:c>
      <x:c r="J2071" s="38" t="e">
        <x:f>HYPERLINK("https://pubmed.ncbi.nlm.nih.gov/"&amp;C2071&amp;"/","Open PubMed")</x:f>
        <x:v>HYPERLINK is not implemented. linkLocation=https://pubmed.ncbi.nlm.nih.gov/41686757/, friendlyName=Open PubMed</x:v>
      </x:c>
    </x:row>
    <x:row r="2072">
      <x:c r="A2072" s="26" t="str">
        <x:v>PUBMED-41684214</x:v>
      </x:c>
      <x:c r="B2072" s="26" t="n">
        <x:v>2026</x:v>
      </x:c>
      <x:c r="C2072" s="26" t="str">
        <x:v>41684214</x:v>
      </x:c>
      <x:c r="D2072" s="28" t="str">
        <x:v>Indirect genetic effects of siblings.</x:v>
      </x:c>
      <x:c r="E2072" s="28" t="str">
        <x:v>Primary study - cohort</x:v>
      </x:c>
      <x:c r="F2072" s="28" t="str">
        <x:v>Development &amp; presentation; Family &amp; education</x:v>
      </x:c>
      <x:c r="G2072" s="28" t="str">
        <x:v>Childhood</x:v>
      </x:c>
      <x:c r="H2072" s="28" t="str">
        <x:v>Later specialized</x:v>
      </x:c>
      <x:c r="I2072" s="28" t="str">
        <x:v>Direct or strongly ADHD-related record retained for later screening; typically narrower treatment, biomarker, mechanistic, or single-comorbidity focus.</x:v>
      </x:c>
      <x:c r="J2072" s="38" t="e">
        <x:f>HYPERLINK("https://pubmed.ncbi.nlm.nih.gov/"&amp;C2072&amp;"/","Open PubMed")</x:f>
        <x:v>HYPERLINK is not implemented. linkLocation=https://pubmed.ncbi.nlm.nih.gov/41684214/, friendlyName=Open PubMed</x:v>
      </x:c>
    </x:row>
    <x:row r="2073">
      <x:c r="A2073" s="26" t="str">
        <x:v>PUBMED-41684048</x:v>
      </x:c>
      <x:c r="B2073" s="26" t="n">
        <x:v>2026</x:v>
      </x:c>
      <x:c r="C2073" s="26" t="str">
        <x:v>41684048</x:v>
      </x:c>
      <x:c r="D2073" s="28" t="str">
        <x:v>Episodic Future Thinking Improves Everyday Prospective Memory Performance in Adults With a Previous Diagnosis of Attention Deficit Hyperactivity Disorder by Community Providers.</x:v>
      </x:c>
      <x:c r="E2073" s="28" t="str">
        <x:v>Primary/contextual journal article</x:v>
      </x:c>
      <x:c r="F2073" s="28" t="str">
        <x:v>Development &amp; presentation; Recognition &amp; diagnosis; Social &amp; structural</x:v>
      </x:c>
      <x:c r="G2073" s="28" t="str">
        <x:v>Adulthood</x:v>
      </x:c>
      <x:c r="H2073" s="28" t="str">
        <x:v>Later specialized</x:v>
      </x:c>
      <x:c r="I2073" s="28" t="str">
        <x:v>Direct or strongly ADHD-related record retained for later screening; typically narrower treatment, biomarker, mechanistic, or single-comorbidity focus.</x:v>
      </x:c>
      <x:c r="J2073" s="38" t="e">
        <x:f>HYPERLINK("https://pubmed.ncbi.nlm.nih.gov/"&amp;C2073&amp;"/","Open PubMed")</x:f>
        <x:v>HYPERLINK is not implemented. linkLocation=https://pubmed.ncbi.nlm.nih.gov/41684048/, friendlyName=Open PubMed</x:v>
      </x:c>
    </x:row>
    <x:row r="2074">
      <x:c r="A2074" s="26" t="str">
        <x:v>PUBMED-41679734</x:v>
      </x:c>
      <x:c r="B2074" s="26" t="n">
        <x:v>2026</x:v>
      </x:c>
      <x:c r="C2074" s="26" t="str">
        <x:v>41679734</x:v>
      </x:c>
      <x:c r="D2074" s="28" t="str">
        <x:v>Treatment Patterns and Clinical Outcomes in Youth with Comorbid ADHD and PTSD: Insights from Real-World Data.</x:v>
      </x:c>
      <x:c r="E2074" s="28" t="str">
        <x:v>Primary study - cohort</x:v>
      </x:c>
      <x:c r="F2074" s="28" t="str">
        <x:v>Development &amp; presentation; Recognition &amp; diagnosis; Social &amp; structural; Environmental &amp; lifestyle; Treatment &amp; support; Life outcomes &amp; lived experience</x:v>
      </x:c>
      <x:c r="G2074" s="28" t="str">
        <x:v>Childhood; Adolescence</x:v>
      </x:c>
      <x:c r="H2074" s="28" t="str">
        <x:v>Later specialized</x:v>
      </x:c>
      <x:c r="I2074" s="28" t="str">
        <x:v>Direct or strongly ADHD-related record retained for later screening; typically narrower treatment, biomarker, mechanistic, or single-comorbidity focus.</x:v>
      </x:c>
      <x:c r="J2074" s="38" t="e">
        <x:f>HYPERLINK("https://pubmed.ncbi.nlm.nih.gov/"&amp;C2074&amp;"/","Open PubMed")</x:f>
        <x:v>HYPERLINK is not implemented. linkLocation=https://pubmed.ncbi.nlm.nih.gov/41679734/, friendlyName=Open PubMed</x:v>
      </x:c>
    </x:row>
    <x:row r="2075">
      <x:c r="A2075" s="26" t="str">
        <x:v>PUBMED-41666527</x:v>
      </x:c>
      <x:c r="B2075" s="26" t="n">
        <x:v>2026</x:v>
      </x:c>
      <x:c r="C2075" s="26" t="str">
        <x:v>41666527</x:v>
      </x:c>
      <x:c r="D2075" s="28" t="str">
        <x:v>From noise to signal: Interpreting heterogeneity in ADHD-related non-suicidal self-injury.</x:v>
      </x:c>
      <x:c r="E2075" s="28" t="str">
        <x:v>Evidence synthesis - meta-analysis</x:v>
      </x:c>
      <x:c r="F2075" s="28" t="str">
        <x:v>Development &amp; presentation; Recognition &amp; diagnosis; Social &amp; structural</x:v>
      </x:c>
      <x:c r="G2075" s="28" t="str">
        <x:v>Not specified</x:v>
      </x:c>
      <x:c r="H2075" s="28" t="str">
        <x:v>Later specialized</x:v>
      </x:c>
      <x:c r="I2075" s="28" t="str">
        <x:v>Direct or strongly ADHD-related record retained for later screening; typically narrower treatment, biomarker, mechanistic, or single-comorbidity focus.</x:v>
      </x:c>
      <x:c r="J2075" s="38" t="e">
        <x:f>HYPERLINK("https://pubmed.ncbi.nlm.nih.gov/"&amp;C2075&amp;"/","Open PubMed")</x:f>
        <x:v>HYPERLINK is not implemented. linkLocation=https://pubmed.ncbi.nlm.nih.gov/41666527/, friendlyName=Open PubMed</x:v>
      </x:c>
    </x:row>
    <x:row r="2076">
      <x:c r="A2076" s="26" t="str">
        <x:v>PUBMED-41665685</x:v>
      </x:c>
      <x:c r="B2076" s="26" t="n">
        <x:v>2026</x:v>
      </x:c>
      <x:c r="C2076" s="26" t="str">
        <x:v>41665685</x:v>
      </x:c>
      <x:c r="D2076" s="28" t="str">
        <x:v>Trends and incidence rates of neurodevelopmental disorders in Danish children and adolescents 2000-2024 : Short title: neurodevelopmental disorders in children and adolescents.</x:v>
      </x:c>
      <x:c r="E2076" s="28" t="str">
        <x:v>Primary study - cohort</x:v>
      </x:c>
      <x:c r="F2076" s="28" t="str">
        <x:v>Development &amp; presentation; Recognition &amp; diagnosis; Family &amp; education; Social &amp; structural; Environmental &amp; lifestyle; Historical &amp; contemporary context</x:v>
      </x:c>
      <x:c r="G2076" s="28" t="str">
        <x:v>Childhood; Adolescence</x:v>
      </x:c>
      <x:c r="H2076" s="28" t="str">
        <x:v>Later specialized</x:v>
      </x:c>
      <x:c r="I2076" s="28" t="str">
        <x:v>Direct or strongly ADHD-related record retained for later screening; typically narrower treatment, biomarker, mechanistic, or single-comorbidity focus.</x:v>
      </x:c>
      <x:c r="J2076" s="38" t="e">
        <x:f>HYPERLINK("https://pubmed.ncbi.nlm.nih.gov/"&amp;C2076&amp;"/","Open PubMed")</x:f>
        <x:v>HYPERLINK is not implemented. linkLocation=https://pubmed.ncbi.nlm.nih.gov/41665685/, friendlyName=Open PubMed</x:v>
      </x:c>
    </x:row>
    <x:row r="2077">
      <x:c r="A2077" s="26" t="str">
        <x:v>PUBMED-41661012</x:v>
      </x:c>
      <x:c r="B2077" s="26" t="n">
        <x:v>2026</x:v>
      </x:c>
      <x:c r="C2077" s="26" t="str">
        <x:v>41661012</x:v>
      </x:c>
      <x:c r="D2077" s="28" t="str">
        <x:v>[Problematic internet use by children with attention deficit hyperactivity disorder].</x:v>
      </x:c>
      <x:c r="E2077" s="28" t="str">
        <x:v>Primary/contextual journal article</x:v>
      </x:c>
      <x:c r="F2077" s="28" t="str">
        <x:v>Development &amp; presentation; Recognition &amp; diagnosis; Social &amp; structural</x:v>
      </x:c>
      <x:c r="G2077" s="28" t="str">
        <x:v>Childhood; Adolescence</x:v>
      </x:c>
      <x:c r="H2077" s="28" t="str">
        <x:v>Later specialized</x:v>
      </x:c>
      <x:c r="I2077" s="28" t="str">
        <x:v>Direct or strongly ADHD-related record retained for later screening; typically narrower treatment, biomarker, mechanistic, or single-comorbidity focus.</x:v>
      </x:c>
      <x:c r="J2077" s="38" t="e">
        <x:f>HYPERLINK("https://pubmed.ncbi.nlm.nih.gov/"&amp;C2077&amp;"/","Open PubMed")</x:f>
        <x:v>HYPERLINK is not implemented. linkLocation=https://pubmed.ncbi.nlm.nih.gov/41661012/, friendlyName=Open PubMed</x:v>
      </x:c>
    </x:row>
    <x:row r="2078">
      <x:c r="A2078" s="26" t="str">
        <x:v>PUBMED-41661004</x:v>
      </x:c>
      <x:c r="B2078" s="26" t="n">
        <x:v>2026</x:v>
      </x:c>
      <x:c r="C2078" s="26" t="str">
        <x:v>41661004</x:v>
      </x:c>
      <x:c r="D2078" s="28" t="str">
        <x:v>[Attention deficit disorder in adults: features of social and family relationships].</x:v>
      </x:c>
      <x:c r="E2078" s="28" t="str">
        <x:v>Evidence synthesis - review</x:v>
      </x:c>
      <x:c r="F2078" s="28" t="str">
        <x:v>Development &amp; presentation; Family &amp; education; Social &amp; structural; Treatment &amp; support; Life outcomes &amp; lived experience</x:v>
      </x:c>
      <x:c r="G2078" s="28" t="str">
        <x:v>Adulthood</x:v>
      </x:c>
      <x:c r="H2078" s="28" t="str">
        <x:v>Later specialized</x:v>
      </x:c>
      <x:c r="I2078" s="28" t="str">
        <x:v>Direct or strongly ADHD-related record retained for later screening; typically narrower treatment, biomarker, mechanistic, or single-comorbidity focus.</x:v>
      </x:c>
      <x:c r="J2078" s="38" t="e">
        <x:f>HYPERLINK("https://pubmed.ncbi.nlm.nih.gov/"&amp;C2078&amp;"/","Open PubMed")</x:f>
        <x:v>HYPERLINK is not implemented. linkLocation=https://pubmed.ncbi.nlm.nih.gov/41661004/, friendlyName=Open PubMed</x:v>
      </x:c>
    </x:row>
    <x:row r="2079">
      <x:c r="A2079" s="26" t="str">
        <x:v>PUBMED-41652302</x:v>
      </x:c>
      <x:c r="B2079" s="26" t="n">
        <x:v>2026</x:v>
      </x:c>
      <x:c r="C2079" s="26" t="str">
        <x:v>41652302</x:v>
      </x:c>
      <x:c r="D2079" s="28" t="str">
        <x:v>ROAR-Early Childhood: Pilot Testing a Brief Telemedicine Parent Training Program for Rural Children Diagnosed with ADHD.</x:v>
      </x:c>
      <x:c r="E2079" s="28" t="str">
        <x:v>Primary study - randomized controlled trial</x:v>
      </x:c>
      <x:c r="F2079" s="28" t="str">
        <x:v>Development &amp; presentation; Recognition &amp; diagnosis; Family &amp; education; Social &amp; structural; Treatment &amp; support</x:v>
      </x:c>
      <x:c r="G2079" s="28" t="str">
        <x:v>Childhood</x:v>
      </x:c>
      <x:c r="H2079" s="28" t="str">
        <x:v>Later specialized</x:v>
      </x:c>
      <x:c r="I2079" s="28" t="str">
        <x:v>Direct or strongly ADHD-related record retained for later screening; typically narrower treatment, biomarker, mechanistic, or single-comorbidity focus.</x:v>
      </x:c>
      <x:c r="J2079" s="38" t="e">
        <x:f>HYPERLINK("https://pubmed.ncbi.nlm.nih.gov/"&amp;C2079&amp;"/","Open PubMed")</x:f>
        <x:v>HYPERLINK is not implemented. linkLocation=https://pubmed.ncbi.nlm.nih.gov/41652302/, friendlyName=Open PubMed</x:v>
      </x:c>
    </x:row>
    <x:row r="2080">
      <x:c r="A2080" s="26" t="str">
        <x:v>PUBMED-41644999</x:v>
      </x:c>
      <x:c r="B2080" s="26" t="n">
        <x:v>2026</x:v>
      </x:c>
      <x:c r="C2080" s="26" t="str">
        <x:v>41644999</x:v>
      </x:c>
      <x:c r="D2080" s="28" t="str">
        <x:v>Aniracetam restores the excitation-inhibition balance of neurotransmitters in the prefrontal cortex of mice with ADHD.</x:v>
      </x:c>
      <x:c r="E2080" s="28" t="str">
        <x:v>Primary/contextual journal article</x:v>
      </x:c>
      <x:c r="F2080" s="28" t="str">
        <x:v>Development &amp; presentation; Family &amp; education; Social &amp; structural; Treatment &amp; support</x:v>
      </x:c>
      <x:c r="G2080" s="28" t="str">
        <x:v>Childhood; Adolescence</x:v>
      </x:c>
      <x:c r="H2080" s="28" t="str">
        <x:v>Exclude/incidental</x:v>
      </x:c>
      <x:c r="I2080" s="28" t="str">
        <x:v>Animal-only record; retained outside the human-focused core corpus.</x:v>
      </x:c>
      <x:c r="J2080" s="38" t="e">
        <x:f>HYPERLINK("https://pubmed.ncbi.nlm.nih.gov/"&amp;C2080&amp;"/","Open PubMed")</x:f>
        <x:v>HYPERLINK is not implemented. linkLocation=https://pubmed.ncbi.nlm.nih.gov/41644999/, friendlyName=Open PubMed</x:v>
      </x:c>
    </x:row>
    <x:row r="2081">
      <x:c r="A2081" s="26" t="str">
        <x:v>PUBMED-41642230</x:v>
      </x:c>
      <x:c r="B2081" s="26" t="n">
        <x:v>2026</x:v>
      </x:c>
      <x:c r="C2081" s="26" t="str">
        <x:v>41642230</x:v>
      </x:c>
      <x:c r="D2081" s="28" t="str">
        <x:v>Executive Function Performance in Bilingual and Monolingual Individuals with Attention Deficit Hyperactivity Disorder (ADHD): a Comparative Analysis of Cold (Inhibitory Control and Cognitive Flexibility) and Hot (Theory of Mind) Executive Functions.</x:v>
      </x:c>
      <x:c r="E2081" s="28" t="str">
        <x:v>Primary/contextual journal article</x:v>
      </x:c>
      <x:c r="F2081" s="28" t="str">
        <x:v>Development &amp; presentation; Recognition &amp; diagnosis; Social &amp; structural</x:v>
      </x:c>
      <x:c r="G2081" s="28" t="str">
        <x:v>Adulthood</x:v>
      </x:c>
      <x:c r="H2081" s="28" t="str">
        <x:v>Later specialized</x:v>
      </x:c>
      <x:c r="I2081" s="28" t="str">
        <x:v>Direct or strongly ADHD-related record retained for later screening; typically narrower treatment, biomarker, mechanistic, or single-comorbidity focus.</x:v>
      </x:c>
      <x:c r="J2081" s="38" t="e">
        <x:f>HYPERLINK("https://pubmed.ncbi.nlm.nih.gov/"&amp;C2081&amp;"/","Open PubMed")</x:f>
        <x:v>HYPERLINK is not implemented. linkLocation=https://pubmed.ncbi.nlm.nih.gov/41642230/, friendlyName=Open PubMed</x:v>
      </x:c>
    </x:row>
    <x:row r="2082">
      <x:c r="A2082" s="26" t="str">
        <x:v>PUBMED-41639801</x:v>
      </x:c>
      <x:c r="B2082" s="26" t="n">
        <x:v>2026</x:v>
      </x:c>
      <x:c r="C2082" s="26" t="str">
        <x:v>41639801</x:v>
      </x:c>
      <x:c r="D2082" s="28" t="str">
        <x:v>Comorbidities and comedication among individuals in treatment for ADHD: a Danish nationwide study.</x:v>
      </x:c>
      <x:c r="E2082" s="28" t="str">
        <x:v>Primary study - case-control</x:v>
      </x:c>
      <x:c r="F2082" s="28" t="str">
        <x:v>Development &amp; presentation; Social &amp; structural; Environmental &amp; lifestyle; Treatment &amp; support; Life outcomes &amp; lived experience</x:v>
      </x:c>
      <x:c r="G2082" s="28" t="str">
        <x:v>Childhood; Adolescence; Adulthood</x:v>
      </x:c>
      <x:c r="H2082" s="28" t="str">
        <x:v>Later specialized</x:v>
      </x:c>
      <x:c r="I2082" s="28" t="str">
        <x:v>Direct or strongly ADHD-related record retained for later screening; typically narrower treatment, biomarker, mechanistic, or single-comorbidity focus.</x:v>
      </x:c>
      <x:c r="J2082" s="38" t="e">
        <x:f>HYPERLINK("https://pubmed.ncbi.nlm.nih.gov/"&amp;C2082&amp;"/","Open PubMed")</x:f>
        <x:v>HYPERLINK is not implemented. linkLocation=https://pubmed.ncbi.nlm.nih.gov/41639801/, friendlyName=Open PubMed</x:v>
      </x:c>
    </x:row>
    <x:row r="2083">
      <x:c r="A2083" s="26" t="str">
        <x:v>PUBMED-41636111</x:v>
      </x:c>
      <x:c r="B2083" s="26" t="n">
        <x:v>2026</x:v>
      </x:c>
      <x:c r="C2083" s="26" t="str">
        <x:v>41636111</x:v>
      </x:c>
      <x:c r="D2083" s="28" t="str">
        <x:v>Relationships Between Cognitive Disengagement Syndrome, Impulsivity, and Emotion Regulation Among Adolescents.</x:v>
      </x:c>
      <x:c r="E2083" s="28" t="str">
        <x:v>Primary study - cross-sectional</x:v>
      </x:c>
      <x:c r="F2083" s="28" t="str">
        <x:v>Development &amp; presentation; Recognition &amp; diagnosis; Family &amp; education; Social &amp; structural; Environmental &amp; lifestyle; Treatment &amp; support; Life outcomes &amp; lived experience</x:v>
      </x:c>
      <x:c r="G2083" s="28" t="str">
        <x:v>Childhood; Adolescence</x:v>
      </x:c>
      <x:c r="H2083" s="28" t="str">
        <x:v>Later specialized</x:v>
      </x:c>
      <x:c r="I2083" s="28" t="str">
        <x:v>Direct or strongly ADHD-related record retained for later screening; typically narrower treatment, biomarker, mechanistic, or single-comorbidity focus.</x:v>
      </x:c>
      <x:c r="J2083" s="38" t="e">
        <x:f>HYPERLINK("https://pubmed.ncbi.nlm.nih.gov/"&amp;C2083&amp;"/","Open PubMed")</x:f>
        <x:v>HYPERLINK is not implemented. linkLocation=https://pubmed.ncbi.nlm.nih.gov/41636111/, friendlyName=Open PubMed</x:v>
      </x:c>
    </x:row>
    <x:row r="2084">
      <x:c r="A2084" s="26" t="str">
        <x:v>PUBMED-41633265</x:v>
      </x:c>
      <x:c r="B2084" s="26" t="n">
        <x:v>2026</x:v>
      </x:c>
      <x:c r="C2084" s="26" t="str">
        <x:v>41633265</x:v>
      </x:c>
      <x:c r="D2084" s="28" t="str">
        <x:v>Gut-brain axis in Attention Deficit Hyperactivity Disorder (ADHD): A narrative review of the links between gut microbiota and ADHD pathophysiology.</x:v>
      </x:c>
      <x:c r="E2084" s="28" t="str">
        <x:v>Evidence synthesis - review</x:v>
      </x:c>
      <x:c r="F2084" s="28" t="str">
        <x:v>Development &amp; presentation; Social &amp; structural; Treatment &amp; support</x:v>
      </x:c>
      <x:c r="G2084" s="28" t="str">
        <x:v>Not specified</x:v>
      </x:c>
      <x:c r="H2084" s="28" t="str">
        <x:v>Batch 1 core</x:v>
      </x:c>
      <x:c r="I2084" s="28" t="str">
        <x:v>Direct ADHD evidence synthesis/guideline with broad multi-topic relevance.</x:v>
      </x:c>
      <x:c r="J2084" s="38" t="e">
        <x:f>HYPERLINK("https://pubmed.ncbi.nlm.nih.gov/"&amp;C2084&amp;"/","Open PubMed")</x:f>
        <x:v>HYPERLINK is not implemented. linkLocation=https://pubmed.ncbi.nlm.nih.gov/41633265/, friendlyName=Open PubMed</x:v>
      </x:c>
    </x:row>
    <x:row r="2085">
      <x:c r="A2085" s="26" t="str">
        <x:v>PUBMED-41633106</x:v>
      </x:c>
      <x:c r="B2085" s="26" t="n">
        <x:v>2026</x:v>
      </x:c>
      <x:c r="C2085" s="26" t="str">
        <x:v>41633106</x:v>
      </x:c>
      <x:c r="D2085" s="28" t="str">
        <x:v>Non-suicidal self-injury in individuals with attention-deficit/hyperactivity disorder: A systematic review and Meta-analysis with Age- and Sex-stratified findings.</x:v>
      </x:c>
      <x:c r="E2085" s="28" t="str">
        <x:v>Evidence synthesis - meta-analysis</x:v>
      </x:c>
      <x:c r="F2085" s="28" t="str">
        <x:v>Development &amp; presentation; Recognition &amp; diagnosis; Social &amp; structural</x:v>
      </x:c>
      <x:c r="G2085" s="28" t="str">
        <x:v>Adolescence; Adulthood</x:v>
      </x:c>
      <x:c r="H2085" s="28" t="str">
        <x:v>Batch 1 core</x:v>
      </x:c>
      <x:c r="I2085" s="28" t="str">
        <x:v>Direct ADHD evidence synthesis/guideline with broad multi-topic relevance.</x:v>
      </x:c>
      <x:c r="J2085" s="38" t="e">
        <x:f>HYPERLINK("https://pubmed.ncbi.nlm.nih.gov/"&amp;C2085&amp;"/","Open PubMed")</x:f>
        <x:v>HYPERLINK is not implemented. linkLocation=https://pubmed.ncbi.nlm.nih.gov/41633106/, friendlyName=Open PubMed</x:v>
      </x:c>
    </x:row>
    <x:row r="2086">
      <x:c r="A2086" s="26" t="str">
        <x:v>PUBMED-41618215</x:v>
      </x:c>
      <x:c r="B2086" s="26" t="n">
        <x:v>2026</x:v>
      </x:c>
      <x:c r="C2086" s="26" t="str">
        <x:v>41618215</x:v>
      </x:c>
      <x:c r="D2086" s="28" t="str">
        <x:v>The impact of ADHD symptoms on insomnia severity in adolescents: the mediating role of emotion dysregulation, self-compassion, and experiential avoidance.</x:v>
      </x:c>
      <x:c r="E2086" s="28" t="str">
        <x:v>Primary study - cross-sectional</x:v>
      </x:c>
      <x:c r="F2086" s="28" t="str">
        <x:v>Development &amp; presentation; Family &amp; education; Environmental &amp; lifestyle; Life outcomes &amp; lived experience</x:v>
      </x:c>
      <x:c r="G2086" s="28" t="str">
        <x:v>Adolescence; Adulthood</x:v>
      </x:c>
      <x:c r="H2086" s="28" t="str">
        <x:v>Later specialized</x:v>
      </x:c>
      <x:c r="I2086" s="28" t="str">
        <x:v>Direct or strongly ADHD-related record retained for later screening; typically narrower treatment, biomarker, mechanistic, or single-comorbidity focus.</x:v>
      </x:c>
      <x:c r="J2086" s="38" t="e">
        <x:f>HYPERLINK("https://pubmed.ncbi.nlm.nih.gov/"&amp;C2086&amp;"/","Open PubMed")</x:f>
        <x:v>HYPERLINK is not implemented. linkLocation=https://pubmed.ncbi.nlm.nih.gov/41618215/, friendlyName=Open PubMed</x:v>
      </x:c>
    </x:row>
    <x:row r="2087">
      <x:c r="A2087" s="26" t="str">
        <x:v>PUBMED-41610600</x:v>
      </x:c>
      <x:c r="B2087" s="26" t="n">
        <x:v>2026</x:v>
      </x:c>
      <x:c r="C2087" s="26" t="str">
        <x:v>41610600</x:v>
      </x:c>
      <x:c r="D2087" s="28" t="str">
        <x:v>A systematic review of transcranial direct current stimulation (tDCS) for adults with attention deficit/hyperactivity disorder (ADHD).</x:v>
      </x:c>
      <x:c r="E2087" s="28" t="str">
        <x:v>Evidence synthesis - meta-analysis</x:v>
      </x:c>
      <x:c r="F2087" s="28" t="str">
        <x:v>Development &amp; presentation; Recognition &amp; diagnosis; Social &amp; structural; Treatment &amp; support; Life outcomes &amp; lived experience</x:v>
      </x:c>
      <x:c r="G2087" s="28" t="str">
        <x:v>Childhood; Adulthood</x:v>
      </x:c>
      <x:c r="H2087" s="28" t="str">
        <x:v>Batch 1 core</x:v>
      </x:c>
      <x:c r="I2087" s="28" t="str">
        <x:v>Direct ADHD evidence synthesis/guideline with broad multi-topic relevance.</x:v>
      </x:c>
      <x:c r="J2087" s="38" t="e">
        <x:f>HYPERLINK("https://pubmed.ncbi.nlm.nih.gov/"&amp;C2087&amp;"/","Open PubMed")</x:f>
        <x:v>HYPERLINK is not implemented. linkLocation=https://pubmed.ncbi.nlm.nih.gov/41610600/, friendlyName=Open PubMed</x:v>
      </x:c>
    </x:row>
    <x:row r="2088">
      <x:c r="A2088" s="26" t="str">
        <x:v>PUBMED-41610559</x:v>
      </x:c>
      <x:c r="B2088" s="26" t="n">
        <x:v>2026</x:v>
      </x:c>
      <x:c r="C2088" s="26" t="str">
        <x:v>41610559</x:v>
      </x:c>
      <x:c r="D2088" s="28" t="str">
        <x:v>The relationship between chronic stress, co-occurring conditions, sleep, and autistic features including severity using hair cortisol concentration.</x:v>
      </x:c>
      <x:c r="E2088" s="28" t="str">
        <x:v>Primary study - cross-sectional</x:v>
      </x:c>
      <x:c r="F2088" s="28" t="str">
        <x:v>Development &amp; presentation; Recognition &amp; diagnosis; Family &amp; education; Social &amp; structural; Environmental &amp; lifestyle; Life outcomes &amp; lived experience</x:v>
      </x:c>
      <x:c r="G2088" s="28" t="str">
        <x:v>Childhood; Adolescence</x:v>
      </x:c>
      <x:c r="H2088" s="28" t="str">
        <x:v>Exclude/incidental</x:v>
      </x:c>
      <x:c r="I2088" s="28" t="str">
        <x:v>ADHD appears peripheral or insufficiently aligned with the requested corpus scope based on accessible metadata/abstract.</x:v>
      </x:c>
      <x:c r="J2088" s="38" t="e">
        <x:f>HYPERLINK("https://pubmed.ncbi.nlm.nih.gov/"&amp;C2088&amp;"/","Open PubMed")</x:f>
        <x:v>HYPERLINK is not implemented. linkLocation=https://pubmed.ncbi.nlm.nih.gov/41610559/, friendlyName=Open PubMed</x:v>
      </x:c>
    </x:row>
    <x:row r="2089">
      <x:c r="A2089" s="26" t="str">
        <x:v>PUBMED-41610199</x:v>
      </x:c>
      <x:c r="B2089" s="26" t="n">
        <x:v>2026</x:v>
      </x:c>
      <x:c r="C2089" s="26" t="str">
        <x:v>41610199</x:v>
      </x:c>
      <x:c r="D2089" s="28" t="str">
        <x:v>Metacognitive Deficits in Attention Deficit Hyperactivity Disorder: Insights From Adolescents and Their Parents.</x:v>
      </x:c>
      <x:c r="E2089" s="28" t="str">
        <x:v>Primary/contextual journal article</x:v>
      </x:c>
      <x:c r="F2089" s="28" t="str">
        <x:v>Development &amp; presentation; Recognition &amp; diagnosis; Family &amp; education; Social &amp; structural; Treatment &amp; support; Life outcomes &amp; lived experience</x:v>
      </x:c>
      <x:c r="G2089" s="28" t="str">
        <x:v>Childhood; Adolescence; Adulthood</x:v>
      </x:c>
      <x:c r="H2089" s="28" t="str">
        <x:v>Later specialized</x:v>
      </x:c>
      <x:c r="I2089" s="28" t="str">
        <x:v>Direct or strongly ADHD-related record retained for later screening; typically narrower treatment, biomarker, mechanistic, or single-comorbidity focus.</x:v>
      </x:c>
      <x:c r="J2089" s="38" t="e">
        <x:f>HYPERLINK("https://pubmed.ncbi.nlm.nih.gov/"&amp;C2089&amp;"/","Open PubMed")</x:f>
        <x:v>HYPERLINK is not implemented. linkLocation=https://pubmed.ncbi.nlm.nih.gov/41610199/, friendlyName=Open PubMed</x:v>
      </x:c>
    </x:row>
    <x:row r="2090">
      <x:c r="A2090" s="26" t="str">
        <x:v>PUBMED-41606005</x:v>
      </x:c>
      <x:c r="B2090" s="26" t="n">
        <x:v>2026</x:v>
      </x:c>
      <x:c r="C2090" s="26" t="str">
        <x:v>41606005</x:v>
      </x:c>
      <x:c r="D2090" s="28" t="str">
        <x:v>Comparing qualitative thematic analysis and machine-based topic modelling in the analysis of autistic and ADHD young people's accounts of emotions.</x:v>
      </x:c>
      <x:c r="E2090" s="28" t="str">
        <x:v>Primary study - qualitative</x:v>
      </x:c>
      <x:c r="F2090" s="28" t="str">
        <x:v>Development &amp; presentation; Family &amp; education; Social &amp; structural; Life outcomes &amp; lived experience</x:v>
      </x:c>
      <x:c r="G2090" s="28" t="str">
        <x:v>Adolescence</x:v>
      </x:c>
      <x:c r="H2090" s="28" t="str">
        <x:v>Batch 1 core</x:v>
      </x:c>
      <x:c r="I2090" s="28" t="str">
        <x:v>Direct ADHD primary study on diagnosis, family/education, structural conditions, lived experience/outcomes, or environment/lifestyle.</x:v>
      </x:c>
      <x:c r="J2090" s="38" t="e">
        <x:f>HYPERLINK("https://pubmed.ncbi.nlm.nih.gov/"&amp;C2090&amp;"/","Open PubMed")</x:f>
        <x:v>HYPERLINK is not implemented. linkLocation=https://pubmed.ncbi.nlm.nih.gov/41606005/, friendlyName=Open PubMed</x:v>
      </x:c>
    </x:row>
    <x:row r="2091">
      <x:c r="A2091" s="26" t="str">
        <x:v>PUBMED-41604392</x:v>
      </x:c>
      <x:c r="B2091" s="26" t="n">
        <x:v>2026</x:v>
      </x:c>
      <x:c r="C2091" s="26" t="str">
        <x:v>41604392</x:v>
      </x:c>
      <x:c r="D2091" s="28" t="str">
        <x:v>From ADHD symptoms to parental stress: The roles of functional impairment, family functioning, and parental ADHD.</x:v>
      </x:c>
      <x:c r="E2091" s="28" t="str">
        <x:v>Primary study - cross-sectional</x:v>
      </x:c>
      <x:c r="F2091" s="28" t="str">
        <x:v>Development &amp; presentation; Family &amp; education; Social &amp; structural; Environmental &amp; lifestyle; Life outcomes &amp; lived experience</x:v>
      </x:c>
      <x:c r="G2091" s="28" t="str">
        <x:v>Childhood; Adolescence</x:v>
      </x:c>
      <x:c r="H2091" s="28" t="str">
        <x:v>Batch 1 core</x:v>
      </x:c>
      <x:c r="I2091" s="28" t="str">
        <x:v>Direct ADHD primary study on diagnosis, family/education, structural conditions, lived experience/outcomes, or environment/lifestyle.</x:v>
      </x:c>
      <x:c r="J2091" s="38" t="e">
        <x:f>HYPERLINK("https://pubmed.ncbi.nlm.nih.gov/"&amp;C2091&amp;"/","Open PubMed")</x:f>
        <x:v>HYPERLINK is not implemented. linkLocation=https://pubmed.ncbi.nlm.nih.gov/41604392/, friendlyName=Open PubMed</x:v>
      </x:c>
    </x:row>
    <x:row r="2092">
      <x:c r="A2092" s="26" t="str">
        <x:v>PUBMED-41603377</x:v>
      </x:c>
      <x:c r="B2092" s="26" t="n">
        <x:v>2026</x:v>
      </x:c>
      <x:c r="C2092" s="26" t="str">
        <x:v>41603377</x:v>
      </x:c>
      <x:c r="D2092" s="28" t="str">
        <x:v>'Until You Get the Diagnosis You're Forever in Limbo'-Parents' Experiences of Waiting for an Attention-Deficit/Hyperactivity Disorder Assessment With Child and Adolescent Mental Health Services.</x:v>
      </x:c>
      <x:c r="E2092" s="28" t="str">
        <x:v>Primary study - randomized controlled trial</x:v>
      </x:c>
      <x:c r="F2092" s="28" t="str">
        <x:v>Development &amp; presentation; Recognition &amp; diagnosis; Family &amp; education; Social &amp; structural; Environmental &amp; lifestyle; Treatment &amp; support; Life outcomes &amp; lived experience</x:v>
      </x:c>
      <x:c r="G2092" s="28" t="str">
        <x:v>Childhood; Adolescence; Adulthood</x:v>
      </x:c>
      <x:c r="H2092" s="28" t="str">
        <x:v>Later specialized</x:v>
      </x:c>
      <x:c r="I2092" s="28" t="str">
        <x:v>Direct or strongly ADHD-related record retained for later screening; typically narrower treatment, biomarker, mechanistic, or single-comorbidity focus.</x:v>
      </x:c>
      <x:c r="J2092" s="38" t="e">
        <x:f>HYPERLINK("https://pubmed.ncbi.nlm.nih.gov/"&amp;C2092&amp;"/","Open PubMed")</x:f>
        <x:v>HYPERLINK is not implemented. linkLocation=https://pubmed.ncbi.nlm.nih.gov/41603377/, friendlyName=Open PubMed</x:v>
      </x:c>
    </x:row>
    <x:row r="2093">
      <x:c r="A2093" s="26" t="str">
        <x:v>PUBMED-41601104</x:v>
      </x:c>
      <x:c r="B2093" s="26" t="n">
        <x:v>2026</x:v>
      </x:c>
      <x:c r="C2093" s="26" t="str">
        <x:v>41601104</x:v>
      </x:c>
      <x:c r="D2093" s="28" t="str">
        <x:v>Examining attention- deficit/ hyperactivity disorder in endurance and ultra-endurance runners.</x:v>
      </x:c>
      <x:c r="E2093" s="28" t="str">
        <x:v>Primary study - cross-sectional</x:v>
      </x:c>
      <x:c r="F2093" s="28" t="str">
        <x:v>Development &amp; presentation; Recognition &amp; diagnosis; Family &amp; education; Social &amp; structural</x:v>
      </x:c>
      <x:c r="G2093" s="28" t="str">
        <x:v>Adulthood</x:v>
      </x:c>
      <x:c r="H2093" s="28" t="str">
        <x:v>Later specialized</x:v>
      </x:c>
      <x:c r="I2093" s="28" t="str">
        <x:v>Direct or strongly ADHD-related record retained for later screening; typically narrower treatment, biomarker, mechanistic, or single-comorbidity focus.</x:v>
      </x:c>
      <x:c r="J2093" s="38" t="e">
        <x:f>HYPERLINK("https://pubmed.ncbi.nlm.nih.gov/"&amp;C2093&amp;"/","Open PubMed")</x:f>
        <x:v>HYPERLINK is not implemented. linkLocation=https://pubmed.ncbi.nlm.nih.gov/41601104/, friendlyName=Open PubMed</x:v>
      </x:c>
    </x:row>
    <x:row r="2094">
      <x:c r="A2094" s="26" t="str">
        <x:v>PUBMED-41599895</x:v>
      </x:c>
      <x:c r="B2094" s="26" t="n">
        <x:v>2026</x:v>
      </x:c>
      <x:c r="C2094" s="26" t="str">
        <x:v>41599895</x:v>
      </x:c>
      <x:c r="D2094" s="28" t="str">
        <x:v>Nutrition for Youth Athletes with ADHD: What We Know and Practical Applications.</x:v>
      </x:c>
      <x:c r="E2094" s="28" t="str">
        <x:v>Evidence synthesis - review</x:v>
      </x:c>
      <x:c r="F2094" s="28" t="str">
        <x:v>Development &amp; presentation; Social &amp; structural; Environmental &amp; lifestyle; Treatment &amp; support; Life outcomes &amp; lived experience</x:v>
      </x:c>
      <x:c r="G2094" s="28" t="str">
        <x:v>Childhood; Adolescence</x:v>
      </x:c>
      <x:c r="H2094" s="28" t="str">
        <x:v>Later specialized</x:v>
      </x:c>
      <x:c r="I2094" s="28" t="str">
        <x:v>Direct or strongly ADHD-related record retained for later screening; typically narrower treatment, biomarker, mechanistic, or single-comorbidity focus.</x:v>
      </x:c>
      <x:c r="J2094" s="38" t="e">
        <x:f>HYPERLINK("https://pubmed.ncbi.nlm.nih.gov/"&amp;C2094&amp;"/","Open PubMed")</x:f>
        <x:v>HYPERLINK is not implemented. linkLocation=https://pubmed.ncbi.nlm.nih.gov/41599895/, friendlyName=Open PubMed</x:v>
      </x:c>
    </x:row>
    <x:row r="2095">
      <x:c r="A2095" s="26" t="str">
        <x:v>PUBMED-41593863</x:v>
      </x:c>
      <x:c r="B2095" s="26" t="n">
        <x:v>2026</x:v>
      </x:c>
      <x:c r="C2095" s="26" t="str">
        <x:v>41593863</x:v>
      </x:c>
      <x:c r="D2095" s="28" t="str">
        <x:v>Genome-wide investigation highlights global and local pleiotropy linking neurodevelopmental disorders to acquired hearing problems.</x:v>
      </x:c>
      <x:c r="E2095" s="28" t="str">
        <x:v>Primary/contextual journal article</x:v>
      </x:c>
      <x:c r="F2095" s="28" t="str">
        <x:v>Development &amp; presentation; Social &amp; structural; Environmental &amp; lifestyle; Life outcomes &amp; lived experience</x:v>
      </x:c>
      <x:c r="G2095" s="28" t="str">
        <x:v>Not specified</x:v>
      </x:c>
      <x:c r="H2095" s="28" t="str">
        <x:v>Later specialized</x:v>
      </x:c>
      <x:c r="I2095" s="28" t="str">
        <x:v>Direct or strongly ADHD-related record retained for later screening; typically narrower treatment, biomarker, mechanistic, or single-comorbidity focus.</x:v>
      </x:c>
      <x:c r="J2095" s="38" t="e">
        <x:f>HYPERLINK("https://pubmed.ncbi.nlm.nih.gov/"&amp;C2095&amp;"/","Open PubMed")</x:f>
        <x:v>HYPERLINK is not implemented. linkLocation=https://pubmed.ncbi.nlm.nih.gov/41593863/, friendlyName=Open PubMed</x:v>
      </x:c>
    </x:row>
    <x:row r="2096">
      <x:c r="A2096" s="26" t="str">
        <x:v>PUBMED-41591415</x:v>
      </x:c>
      <x:c r="B2096" s="26" t="n">
        <x:v>2026</x:v>
      </x:c>
      <x:c r="C2096" s="26" t="str">
        <x:v>41591415</x:v>
      </x:c>
      <x:c r="D2096" s="28" t="str">
        <x:v>"Which resilience factors are the most effective for which Outcomes?" A systematic review and Meta-Analysis of multisystemic resilience of children with ADHD.</x:v>
      </x:c>
      <x:c r="E2096" s="28" t="str">
        <x:v>Evidence synthesis - meta-analysis</x:v>
      </x:c>
      <x:c r="F2096" s="28" t="str">
        <x:v>Development &amp; presentation; Family &amp; education; Social &amp; structural; Environmental &amp; lifestyle; Life outcomes &amp; lived experience; Historical &amp; contemporary context</x:v>
      </x:c>
      <x:c r="G2096" s="28" t="str">
        <x:v>Childhood</x:v>
      </x:c>
      <x:c r="H2096" s="28" t="str">
        <x:v>Batch 1 core</x:v>
      </x:c>
      <x:c r="I2096" s="28" t="str">
        <x:v>Direct ADHD evidence synthesis/guideline with broad multi-topic relevance.</x:v>
      </x:c>
      <x:c r="J2096" s="38" t="e">
        <x:f>HYPERLINK("https://pubmed.ncbi.nlm.nih.gov/"&amp;C2096&amp;"/","Open PubMed")</x:f>
        <x:v>HYPERLINK is not implemented. linkLocation=https://pubmed.ncbi.nlm.nih.gov/41591415/, friendlyName=Open PubMed</x:v>
      </x:c>
    </x:row>
    <x:row r="2097">
      <x:c r="A2097" s="26" t="str">
        <x:v>PUBMED-41589316</x:v>
      </x:c>
      <x:c r="B2097" s="26" t="n">
        <x:v>2026</x:v>
      </x:c>
      <x:c r="C2097" s="26" t="str">
        <x:v>41589316</x:v>
      </x:c>
      <x:c r="D2097" s="28" t="str">
        <x:v>Psychostimulant medication for ADHD and socioeconomic status in Australia (2003-2022).</x:v>
      </x:c>
      <x:c r="E2097" s="28" t="str">
        <x:v>Primary/contextual journal article</x:v>
      </x:c>
      <x:c r="F2097" s="28" t="str">
        <x:v>Development &amp; presentation; Family &amp; education; Social &amp; structural; Treatment &amp; support</x:v>
      </x:c>
      <x:c r="G2097" s="28" t="str">
        <x:v>Childhood; Adolescence</x:v>
      </x:c>
      <x:c r="H2097" s="28" t="str">
        <x:v>Later specialized</x:v>
      </x:c>
      <x:c r="I2097" s="28" t="str">
        <x:v>Direct or strongly ADHD-related record retained for later screening; typically narrower treatment, biomarker, mechanistic, or single-comorbidity focus.</x:v>
      </x:c>
      <x:c r="J2097" s="38" t="e">
        <x:f>HYPERLINK("https://pubmed.ncbi.nlm.nih.gov/"&amp;C2097&amp;"/","Open PubMed")</x:f>
        <x:v>HYPERLINK is not implemented. linkLocation=https://pubmed.ncbi.nlm.nih.gov/41589316/, friendlyName=Open PubMed</x:v>
      </x:c>
    </x:row>
    <x:row r="2098">
      <x:c r="A2098" s="26" t="str">
        <x:v>PUBMED-41564005</x:v>
      </x:c>
      <x:c r="B2098" s="26" t="n">
        <x:v>2026</x:v>
      </x:c>
      <x:c r="C2098" s="26" t="str">
        <x:v>41564005</x:v>
      </x:c>
      <x:c r="D2098" s="28" t="str">
        <x:v>The lived experience of rejection sensitivity in ADHD - A qualitative exploration.</x:v>
      </x:c>
      <x:c r="E2098" s="28" t="str">
        <x:v>Primary study - qualitative</x:v>
      </x:c>
      <x:c r="F2098" s="28" t="str">
        <x:v>Development &amp; presentation; Family &amp; education; Social &amp; structural; Life outcomes &amp; lived experience</x:v>
      </x:c>
      <x:c r="G2098" s="28" t="str">
        <x:v>Adulthood</x:v>
      </x:c>
      <x:c r="H2098" s="28" t="str">
        <x:v>Batch 1 core</x:v>
      </x:c>
      <x:c r="I2098" s="28" t="str">
        <x:v>Direct ADHD primary study on diagnosis, family/education, structural conditions, lived experience/outcomes, or environment/lifestyle.</x:v>
      </x:c>
      <x:c r="J2098" s="38" t="e">
        <x:f>HYPERLINK("https://pubmed.ncbi.nlm.nih.gov/"&amp;C2098&amp;"/","Open PubMed")</x:f>
        <x:v>HYPERLINK is not implemented. linkLocation=https://pubmed.ncbi.nlm.nih.gov/41564005/, friendlyName=Open PubMed</x:v>
      </x:c>
    </x:row>
    <x:row r="2099">
      <x:c r="A2099" s="26" t="str">
        <x:v>PUBMED-41558143</x:v>
      </x:c>
      <x:c r="B2099" s="26" t="n">
        <x:v>2026</x:v>
      </x:c>
      <x:c r="C2099" s="26" t="str">
        <x:v>41558143</x:v>
      </x:c>
      <x:c r="D2099" s="28" t="str">
        <x:v>[Cochran-Mantel-Haenszel Test: A key tool in medical research for controlling confounding variables].</x:v>
      </x:c>
      <x:c r="E2099" s="28" t="str">
        <x:v>Evidence synthesis - review</x:v>
      </x:c>
      <x:c r="F2099" s="28" t="str">
        <x:v>Development &amp; presentation; Family &amp; education; Environmental &amp; lifestyle; Life outcomes &amp; lived experience</x:v>
      </x:c>
      <x:c r="G2099" s="28" t="str">
        <x:v>Childhood</x:v>
      </x:c>
      <x:c r="H2099" s="28" t="str">
        <x:v>Later specialized</x:v>
      </x:c>
      <x:c r="I2099" s="28" t="str">
        <x:v>Direct or strongly ADHD-related record retained for later screening; typically narrower treatment, biomarker, mechanistic, or single-comorbidity focus.</x:v>
      </x:c>
      <x:c r="J2099" s="38" t="e">
        <x:f>HYPERLINK("https://pubmed.ncbi.nlm.nih.gov/"&amp;C2099&amp;"/","Open PubMed")</x:f>
        <x:v>HYPERLINK is not implemented. linkLocation=https://pubmed.ncbi.nlm.nih.gov/41558143/, friendlyName=Open PubMed</x:v>
      </x:c>
    </x:row>
    <x:row r="2100">
      <x:c r="A2100" s="26" t="str">
        <x:v>PUBMED-41556101</x:v>
      </x:c>
      <x:c r="B2100" s="26" t="n">
        <x:v>2026</x:v>
      </x:c>
      <x:c r="C2100" s="26" t="str">
        <x:v>41556101</x:v>
      </x:c>
      <x:c r="D2100" s="28" t="str">
        <x:v>Association of parental prenatal mental health with offspring neurodevelopmental disorders: a systematic review and meta-analysis.</x:v>
      </x:c>
      <x:c r="E2100" s="28" t="str">
        <x:v>Evidence synthesis - meta-analysis</x:v>
      </x:c>
      <x:c r="F2100" s="28" t="str">
        <x:v>Development &amp; presentation; Recognition &amp; diagnosis; Family &amp; education; Social &amp; structural; Environmental &amp; lifestyle</x:v>
      </x:c>
      <x:c r="G2100" s="28" t="str">
        <x:v>Childhood</x:v>
      </x:c>
      <x:c r="H2100" s="28" t="str">
        <x:v>Later specialized</x:v>
      </x:c>
      <x:c r="I2100" s="28" t="str">
        <x:v>Direct or strongly ADHD-related record retained for later screening; typically narrower treatment, biomarker, mechanistic, or single-comorbidity focus.</x:v>
      </x:c>
      <x:c r="J2100" s="38" t="e">
        <x:f>HYPERLINK("https://pubmed.ncbi.nlm.nih.gov/"&amp;C2100&amp;"/","Open PubMed")</x:f>
        <x:v>HYPERLINK is not implemented. linkLocation=https://pubmed.ncbi.nlm.nih.gov/41556101/, friendlyName=Open PubMed</x:v>
      </x:c>
    </x:row>
    <x:row r="2101">
      <x:c r="A2101" s="26" t="str">
        <x:v>PUBMED-41554769</x:v>
      </x:c>
      <x:c r="B2101" s="26" t="n">
        <x:v>2026</x:v>
      </x:c>
      <x:c r="C2101" s="26" t="str">
        <x:v>41554769</x:v>
      </x:c>
      <x:c r="D2101" s="28" t="str">
        <x:v>The negative impact of neurodevelopmental disorders and multiple co-occurring conditions on academic performance of school-age children and adolescents.</x:v>
      </x:c>
      <x:c r="E2101" s="28" t="str">
        <x:v>Primary/contextual journal article</x:v>
      </x:c>
      <x:c r="F2101" s="28" t="str">
        <x:v>Development &amp; presentation; Recognition &amp; diagnosis; Family &amp; education; Social &amp; structural; Life outcomes &amp; lived experience</x:v>
      </x:c>
      <x:c r="G2101" s="28" t="str">
        <x:v>Childhood; Adolescence</x:v>
      </x:c>
      <x:c r="H2101" s="28" t="str">
        <x:v>Exclude/incidental</x:v>
      </x:c>
      <x:c r="I2101" s="28" t="str">
        <x:v>ADHD appears peripheral or insufficiently aligned with the requested corpus scope based on accessible metadata/abstract.</x:v>
      </x:c>
      <x:c r="J2101" s="38" t="e">
        <x:f>HYPERLINK("https://pubmed.ncbi.nlm.nih.gov/"&amp;C2101&amp;"/","Open PubMed")</x:f>
        <x:v>HYPERLINK is not implemented. linkLocation=https://pubmed.ncbi.nlm.nih.gov/41554769/, friendlyName=Open PubMed</x:v>
      </x:c>
    </x:row>
    <x:row r="2102">
      <x:c r="A2102" s="26" t="str">
        <x:v>PUBMED-41546008</x:v>
      </x:c>
      <x:c r="B2102" s="26" t="n">
        <x:v>2026</x:v>
      </x:c>
      <x:c r="C2102" s="26" t="str">
        <x:v>41546008</x:v>
      </x:c>
      <x:c r="D2102" s="28" t="str">
        <x:v>The association between attention deficit hyperactivity disorder and orthodontic outcomes: a systematic review.</x:v>
      </x:c>
      <x:c r="E2102" s="28" t="str">
        <x:v>Evidence synthesis - systematic review</x:v>
      </x:c>
      <x:c r="F2102" s="28" t="str">
        <x:v>Development &amp; presentation; Recognition &amp; diagnosis; Social &amp; structural; Treatment &amp; support; Life outcomes &amp; lived experience</x:v>
      </x:c>
      <x:c r="G2102" s="28" t="str">
        <x:v>Not specified</x:v>
      </x:c>
      <x:c r="H2102" s="28" t="str">
        <x:v>Batch 1 core</x:v>
      </x:c>
      <x:c r="I2102" s="28" t="str">
        <x:v>Direct ADHD evidence synthesis/guideline with broad multi-topic relevance.</x:v>
      </x:c>
      <x:c r="J2102" s="38" t="e">
        <x:f>HYPERLINK("https://pubmed.ncbi.nlm.nih.gov/"&amp;C2102&amp;"/","Open PubMed")</x:f>
        <x:v>HYPERLINK is not implemented. linkLocation=https://pubmed.ncbi.nlm.nih.gov/41546008/, friendlyName=Open PubMed</x:v>
      </x:c>
    </x:row>
    <x:row r="2103">
      <x:c r="A2103" s="26" t="str">
        <x:v>PUBMED-41545182</x:v>
      </x:c>
      <x:c r="B2103" s="26" t="n">
        <x:v>2026</x:v>
      </x:c>
      <x:c r="C2103" s="26" t="str">
        <x:v>41545182</x:v>
      </x:c>
      <x:c r="D2103" s="28" t="str">
        <x:v>Clinical manifestations of chromosome 19p13.11 duplication.</x:v>
      </x:c>
      <x:c r="E2103" s="28" t="str">
        <x:v>Primary/contextual journal article</x:v>
      </x:c>
      <x:c r="F2103" s="28" t="str">
        <x:v>Development &amp; presentation; Recognition &amp; diagnosis; Family &amp; education; Social &amp; structural</x:v>
      </x:c>
      <x:c r="G2103" s="28" t="str">
        <x:v>Not specified</x:v>
      </x:c>
      <x:c r="H2103" s="28" t="str">
        <x:v>Exclude/incidental</x:v>
      </x:c>
      <x:c r="I2103" s="28" t="str">
        <x:v>ADHD appears peripheral or insufficiently aligned with the requested corpus scope based on accessible metadata/abstract.</x:v>
      </x:c>
      <x:c r="J2103" s="38" t="e">
        <x:f>HYPERLINK("https://pubmed.ncbi.nlm.nih.gov/"&amp;C2103&amp;"/","Open PubMed")</x:f>
        <x:v>HYPERLINK is not implemented. linkLocation=https://pubmed.ncbi.nlm.nih.gov/41545182/, friendlyName=Open PubMed</x:v>
      </x:c>
    </x:row>
    <x:row r="2104">
      <x:c r="A2104" s="26" t="str">
        <x:v>PUBMED-41540897</x:v>
      </x:c>
      <x:c r="B2104" s="26" t="n">
        <x:v>2026</x:v>
      </x:c>
      <x:c r="C2104" s="26" t="str">
        <x:v>41540897</x:v>
      </x:c>
      <x:c r="D2104" s="28" t="str">
        <x:v>Using facial morphology traits related to attention problems in children to identify prenatal exposure history.</x:v>
      </x:c>
      <x:c r="E2104" s="28" t="str">
        <x:v>Primary/contextual journal article</x:v>
      </x:c>
      <x:c r="F2104" s="28" t="str">
        <x:v>Development &amp; presentation; Recognition &amp; diagnosis; Social &amp; structural; Environmental &amp; lifestyle; Historical &amp; contemporary context</x:v>
      </x:c>
      <x:c r="G2104" s="28" t="str">
        <x:v>Childhood</x:v>
      </x:c>
      <x:c r="H2104" s="28" t="str">
        <x:v>Later specialized</x:v>
      </x:c>
      <x:c r="I2104" s="28" t="str">
        <x:v>Direct or strongly ADHD-related record retained for later screening; typically narrower treatment, biomarker, mechanistic, or single-comorbidity focus.</x:v>
      </x:c>
      <x:c r="J2104" s="38" t="e">
        <x:f>HYPERLINK("https://pubmed.ncbi.nlm.nih.gov/"&amp;C2104&amp;"/","Open PubMed")</x:f>
        <x:v>HYPERLINK is not implemented. linkLocation=https://pubmed.ncbi.nlm.nih.gov/41540897/, friendlyName=Open PubMed</x:v>
      </x:c>
    </x:row>
    <x:row r="2105">
      <x:c r="A2105" s="26" t="str">
        <x:v>PUBMED-41534506</x:v>
      </x:c>
      <x:c r="B2105" s="26" t="n">
        <x:v>2026</x:v>
      </x:c>
      <x:c r="C2105" s="26" t="str">
        <x:v>41534506</x:v>
      </x:c>
      <x:c r="D2105" s="28" t="str">
        <x:v>Stimulant and non-stimulant ADHD medication prescriptions for homeless veteran service users with mental illness.</x:v>
      </x:c>
      <x:c r="E2105" s="28" t="str">
        <x:v>Primary/contextual journal article</x:v>
      </x:c>
      <x:c r="F2105" s="28" t="str">
        <x:v>Development &amp; presentation; Social &amp; structural; Treatment &amp; support</x:v>
      </x:c>
      <x:c r="G2105" s="28" t="str">
        <x:v>Adulthood</x:v>
      </x:c>
      <x:c r="H2105" s="28" t="str">
        <x:v>Later specialized</x:v>
      </x:c>
      <x:c r="I2105" s="28" t="str">
        <x:v>Direct or strongly ADHD-related record retained for later screening; typically narrower treatment, biomarker, mechanistic, or single-comorbidity focus.</x:v>
      </x:c>
      <x:c r="J2105" s="38" t="e">
        <x:f>HYPERLINK("https://pubmed.ncbi.nlm.nih.gov/"&amp;C2105&amp;"/","Open PubMed")</x:f>
        <x:v>HYPERLINK is not implemented. linkLocation=https://pubmed.ncbi.nlm.nih.gov/41534506/, friendlyName=Open PubMed</x:v>
      </x:c>
    </x:row>
    <x:row r="2106">
      <x:c r="A2106" s="26" t="str">
        <x:v>PUBMED-41521020</x:v>
      </x:c>
      <x:c r="B2106" s="26" t="n">
        <x:v>2026</x:v>
      </x:c>
      <x:c r="C2106" s="26" t="str">
        <x:v>41521020</x:v>
      </x:c>
      <x:c r="D2106" s="28" t="str">
        <x:v>Examining Social Barriers in Adults With ADHD: The Role of Autistic Traits, Empathy, Theory of Mind in Social Anxiety and Avoidance.</x:v>
      </x:c>
      <x:c r="E2106" s="28" t="str">
        <x:v>Primary study - case-control</x:v>
      </x:c>
      <x:c r="F2106" s="28" t="str">
        <x:v>Development &amp; presentation; Recognition &amp; diagnosis; Social &amp; structural; Life outcomes &amp; lived experience</x:v>
      </x:c>
      <x:c r="G2106" s="28" t="str">
        <x:v>Adulthood</x:v>
      </x:c>
      <x:c r="H2106" s="28" t="str">
        <x:v>Later specialized</x:v>
      </x:c>
      <x:c r="I2106" s="28" t="str">
        <x:v>Direct or strongly ADHD-related record retained for later screening; typically narrower treatment, biomarker, mechanistic, or single-comorbidity focus.</x:v>
      </x:c>
      <x:c r="J2106" s="38" t="e">
        <x:f>HYPERLINK("https://pubmed.ncbi.nlm.nih.gov/"&amp;C2106&amp;"/","Open PubMed")</x:f>
        <x:v>HYPERLINK is not implemented. linkLocation=https://pubmed.ncbi.nlm.nih.gov/41521020/, friendlyName=Open PubMed</x:v>
      </x:c>
    </x:row>
    <x:row r="2107">
      <x:c r="A2107" s="26" t="str">
        <x:v>PUBMED-41520800</x:v>
      </x:c>
      <x:c r="B2107" s="26" t="n">
        <x:v>2026</x:v>
      </x:c>
      <x:c r="C2107" s="26" t="str">
        <x:v>41520800</x:v>
      </x:c>
      <x:c r="D2107" s="28" t="str">
        <x:v>Hyperactivity, compulsive-like behaviours, and impaired flexibility in mouse models of Duchenne muscular dystrophy.</x:v>
      </x:c>
      <x:c r="E2107" s="28" t="str">
        <x:v>Primary/contextual journal article</x:v>
      </x:c>
      <x:c r="F2107" s="28" t="str">
        <x:v>Development &amp; presentation; Recognition &amp; diagnosis; Social &amp; structural; Treatment &amp; support; Life outcomes &amp; lived experience</x:v>
      </x:c>
      <x:c r="G2107" s="28" t="str">
        <x:v>Not specified</x:v>
      </x:c>
      <x:c r="H2107" s="28" t="str">
        <x:v>Exclude/incidental</x:v>
      </x:c>
      <x:c r="I2107" s="28" t="str">
        <x:v>Animal-only record; retained outside the human-focused core corpus.</x:v>
      </x:c>
      <x:c r="J2107" s="38" t="e">
        <x:f>HYPERLINK("https://pubmed.ncbi.nlm.nih.gov/"&amp;C2107&amp;"/","Open PubMed")</x:f>
        <x:v>HYPERLINK is not implemented. linkLocation=https://pubmed.ncbi.nlm.nih.gov/41520800/, friendlyName=Open PubMed</x:v>
      </x:c>
    </x:row>
    <x:row r="2108">
      <x:c r="A2108" s="26" t="str">
        <x:v>PUBMED-41520374</x:v>
      </x:c>
      <x:c r="B2108" s="26" t="n">
        <x:v>2026</x:v>
      </x:c>
      <x:c r="C2108" s="26" t="str">
        <x:v>41520374</x:v>
      </x:c>
      <x:c r="D2108" s="28" t="str">
        <x:v>Beyond the label: identifying modifiable predictors of ADHD-like adaptation in young adults.</x:v>
      </x:c>
      <x:c r="E2108" s="28" t="str">
        <x:v>Primary/contextual journal article</x:v>
      </x:c>
      <x:c r="F2108" s="28" t="str">
        <x:v>Development &amp; presentation; Recognition &amp; diagnosis; Social &amp; structural; Environmental &amp; lifestyle; Treatment &amp; support</x:v>
      </x:c>
      <x:c r="G2108" s="28" t="str">
        <x:v>Childhood; Adolescence; Adulthood</x:v>
      </x:c>
      <x:c r="H2108" s="28" t="str">
        <x:v>Later specialized</x:v>
      </x:c>
      <x:c r="I2108" s="28" t="str">
        <x:v>Direct or strongly ADHD-related record retained for later screening; typically narrower treatment, biomarker, mechanistic, or single-comorbidity focus.</x:v>
      </x:c>
      <x:c r="J2108" s="38" t="e">
        <x:f>HYPERLINK("https://pubmed.ncbi.nlm.nih.gov/"&amp;C2108&amp;"/","Open PubMed")</x:f>
        <x:v>HYPERLINK is not implemented. linkLocation=https://pubmed.ncbi.nlm.nih.gov/41520374/, friendlyName=Open PubMed</x:v>
      </x:c>
    </x:row>
    <x:row r="2109">
      <x:c r="A2109" s="26" t="str">
        <x:v>PUBMED-41499416</x:v>
      </x:c>
      <x:c r="B2109" s="26" t="n">
        <x:v>2026</x:v>
      </x:c>
      <x:c r="C2109" s="26" t="str">
        <x:v>41499416</x:v>
      </x:c>
      <x:c r="D2109" s="28" t="str">
        <x:v>The mediation effect of general self-efficacy in relation to procrastination and sense of coherence among adults with attention deficit hyperactivity disorder.</x:v>
      </x:c>
      <x:c r="E2109" s="28" t="str">
        <x:v>Primary/contextual journal article</x:v>
      </x:c>
      <x:c r="F2109" s="28" t="str">
        <x:v>Development &amp; presentation; Recognition &amp; diagnosis; Social &amp; structural; Treatment &amp; support; Life outcomes &amp; lived experience</x:v>
      </x:c>
      <x:c r="G2109" s="28" t="str">
        <x:v>Adolescence; Adulthood</x:v>
      </x:c>
      <x:c r="H2109" s="28" t="str">
        <x:v>Later specialized</x:v>
      </x:c>
      <x:c r="I2109" s="28" t="str">
        <x:v>Direct or strongly ADHD-related record retained for later screening; typically narrower treatment, biomarker, mechanistic, or single-comorbidity focus.</x:v>
      </x:c>
      <x:c r="J2109" s="38" t="e">
        <x:f>HYPERLINK("https://pubmed.ncbi.nlm.nih.gov/"&amp;C2109&amp;"/","Open PubMed")</x:f>
        <x:v>HYPERLINK is not implemented. linkLocation=https://pubmed.ncbi.nlm.nih.gov/41499416/, friendlyName=Open PubMed</x:v>
      </x:c>
    </x:row>
    <x:row r="2110">
      <x:c r="A2110" s="26" t="str">
        <x:v>PUBMED-41496381</x:v>
      </x:c>
      <x:c r="B2110" s="26" t="n">
        <x:v>2026</x:v>
      </x:c>
      <x:c r="C2110" s="26" t="str">
        <x:v>41496381</x:v>
      </x:c>
      <x:c r="D2110" s="28" t="str">
        <x:v>The effects of transcranial random noise stimulation on excitation/inhibition balance in ADHD.</x:v>
      </x:c>
      <x:c r="E2110" s="28" t="str">
        <x:v>Primary study - randomized controlled trial</x:v>
      </x:c>
      <x:c r="F2110" s="28" t="str">
        <x:v>Development &amp; presentation; Social &amp; structural; Treatment &amp; support</x:v>
      </x:c>
      <x:c r="G2110" s="28" t="str">
        <x:v>Childhood; Adolescence</x:v>
      </x:c>
      <x:c r="H2110" s="28" t="str">
        <x:v>Later specialized</x:v>
      </x:c>
      <x:c r="I2110" s="28" t="str">
        <x:v>Direct or strongly ADHD-related record retained for later screening; typically narrower treatment, biomarker, mechanistic, or single-comorbidity focus.</x:v>
      </x:c>
      <x:c r="J2110" s="38" t="e">
        <x:f>HYPERLINK("https://pubmed.ncbi.nlm.nih.gov/"&amp;C2110&amp;"/","Open PubMed")</x:f>
        <x:v>HYPERLINK is not implemented. linkLocation=https://pubmed.ncbi.nlm.nih.gov/41496381/, friendlyName=Open PubMed</x:v>
      </x:c>
    </x:row>
    <x:row r="2111">
      <x:c r="A2111" s="26" t="str">
        <x:v>PUBMED-41495966</x:v>
      </x:c>
      <x:c r="B2111" s="26" t="n">
        <x:v>2026</x:v>
      </x:c>
      <x:c r="C2111" s="26" t="str">
        <x:v>41495966</x:v>
      </x:c>
      <x:c r="D2111" s="28" t="str">
        <x:v>Cross-national differences in methylphenidate utilization in primarily adult psychiatric inpatients.</x:v>
      </x:c>
      <x:c r="E2111" s="28" t="str">
        <x:v>Primary/contextual journal article</x:v>
      </x:c>
      <x:c r="F2111" s="28" t="str">
        <x:v>Development &amp; presentation; Recognition &amp; diagnosis; Social &amp; structural; Treatment &amp; support; Life outcomes &amp; lived experience</x:v>
      </x:c>
      <x:c r="G2111" s="28" t="str">
        <x:v>Adulthood</x:v>
      </x:c>
      <x:c r="H2111" s="28" t="str">
        <x:v>Later specialized</x:v>
      </x:c>
      <x:c r="I2111" s="28" t="str">
        <x:v>Direct or strongly ADHD-related record retained for later screening; typically narrower treatment, biomarker, mechanistic, or single-comorbidity focus.</x:v>
      </x:c>
      <x:c r="J2111" s="38" t="e">
        <x:f>HYPERLINK("https://pubmed.ncbi.nlm.nih.gov/"&amp;C2111&amp;"/","Open PubMed")</x:f>
        <x:v>HYPERLINK is not implemented. linkLocation=https://pubmed.ncbi.nlm.nih.gov/41495966/, friendlyName=Open PubMed</x:v>
      </x:c>
    </x:row>
    <x:row r="2112">
      <x:c r="A2112" s="26" t="str">
        <x:v>PUBMED-41490109</x:v>
      </x:c>
      <x:c r="B2112" s="26" t="n">
        <x:v>2026</x:v>
      </x:c>
      <x:c r="C2112" s="26" t="str">
        <x:v>41490109</x:v>
      </x:c>
      <x:c r="D2112" s="28" t="str">
        <x:v>ADHD and Methylphenidate Use in Prepubertal Children and BMI and Height at Adulthood.</x:v>
      </x:c>
      <x:c r="E2112" s="28" t="str">
        <x:v>Primary study - cohort</x:v>
      </x:c>
      <x:c r="F2112" s="28" t="str">
        <x:v>Development &amp; presentation; Recognition &amp; diagnosis; Social &amp; structural; Environmental &amp; lifestyle; Treatment &amp; support; Life outcomes &amp; lived experience</x:v>
      </x:c>
      <x:c r="G2112" s="28" t="str">
        <x:v>Childhood; Adolescence; Adulthood</x:v>
      </x:c>
      <x:c r="H2112" s="28" t="str">
        <x:v>Later specialized</x:v>
      </x:c>
      <x:c r="I2112" s="28" t="str">
        <x:v>Direct or strongly ADHD-related record retained for later screening; typically narrower treatment, biomarker, mechanistic, or single-comorbidity focus.</x:v>
      </x:c>
      <x:c r="J2112" s="38" t="e">
        <x:f>HYPERLINK("https://pubmed.ncbi.nlm.nih.gov/"&amp;C2112&amp;"/","Open PubMed")</x:f>
        <x:v>HYPERLINK is not implemented. linkLocation=https://pubmed.ncbi.nlm.nih.gov/41490109/, friendlyName=Open PubMed</x:v>
      </x:c>
    </x:row>
    <x:row r="2113">
      <x:c r="A2113" s="26" t="str">
        <x:v>PUBMED-41485000</x:v>
      </x:c>
      <x:c r="B2113" s="26" t="n">
        <x:v>2026</x:v>
      </x:c>
      <x:c r="C2113" s="26" t="str">
        <x:v>41485000</x:v>
      </x:c>
      <x:c r="D2113" s="28" t="str">
        <x:v>Dietary inflammatory index (DII) and attention deficit hyperactivity disorder: a cross-sectional study in US children and adolescents and Mendelian randomization study.</x:v>
      </x:c>
      <x:c r="E2113" s="28" t="str">
        <x:v>Primary study - cross-sectional</x:v>
      </x:c>
      <x:c r="F2113" s="28" t="str">
        <x:v>Development &amp; presentation; Social &amp; structural; Environmental &amp; lifestyle; Treatment &amp; support; Life outcomes &amp; lived experience</x:v>
      </x:c>
      <x:c r="G2113" s="28" t="str">
        <x:v>Childhood; Adolescence; Adulthood</x:v>
      </x:c>
      <x:c r="H2113" s="28" t="str">
        <x:v>Batch 1 core</x:v>
      </x:c>
      <x:c r="I2113" s="28" t="str">
        <x:v>Direct ADHD primary study on diagnosis, family/education, structural conditions, lived experience/outcomes, or environment/lifestyle.</x:v>
      </x:c>
      <x:c r="J2113" s="38" t="e">
        <x:f>HYPERLINK("https://pubmed.ncbi.nlm.nih.gov/"&amp;C2113&amp;"/","Open PubMed")</x:f>
        <x:v>HYPERLINK is not implemented. linkLocation=https://pubmed.ncbi.nlm.nih.gov/41485000/, friendlyName=Open PubMed</x:v>
      </x:c>
    </x:row>
    <x:row r="2114">
      <x:c r="A2114" s="26" t="str">
        <x:v>PUBMED-41450035</x:v>
      </x:c>
      <x:c r="B2114" s="26" t="n">
        <x:v>2026</x:v>
      </x:c>
      <x:c r="C2114" s="26" t="str">
        <x:v>41450035</x:v>
      </x:c>
      <x:c r="D2114" s="28" t="str">
        <x:v>Probiotic Supplementation and Executive Function in Children With Attention-Deficit/Hyperactivity Disorder.</x:v>
      </x:c>
      <x:c r="E2114" s="28" t="str">
        <x:v>Primary study - randomized controlled trial</x:v>
      </x:c>
      <x:c r="F2114" s="28" t="str">
        <x:v>Development &amp; presentation; Family &amp; education; Social &amp; structural; Environmental &amp; lifestyle; Treatment &amp; support; Life outcomes &amp; lived experience</x:v>
      </x:c>
      <x:c r="G2114" s="28" t="str">
        <x:v>Childhood</x:v>
      </x:c>
      <x:c r="H2114" s="28" t="str">
        <x:v>Later specialized</x:v>
      </x:c>
      <x:c r="I2114" s="28" t="str">
        <x:v>Direct or strongly ADHD-related record retained for later screening; typically narrower treatment, biomarker, mechanistic, or single-comorbidity focus.</x:v>
      </x:c>
      <x:c r="J2114" s="38" t="e">
        <x:f>HYPERLINK("https://pubmed.ncbi.nlm.nih.gov/"&amp;C2114&amp;"/","Open PubMed")</x:f>
        <x:v>HYPERLINK is not implemented. linkLocation=https://pubmed.ncbi.nlm.nih.gov/41450035/, friendlyName=Open PubMed</x:v>
      </x:c>
    </x:row>
    <x:row r="2115">
      <x:c r="A2115" s="26" t="str">
        <x:v>PUBMED-41436907</x:v>
      </x:c>
      <x:c r="B2115" s="26" t="n">
        <x:v>2026</x:v>
      </x:c>
      <x:c r="C2115" s="26" t="str">
        <x:v>41436907</x:v>
      </x:c>
      <x:c r="D2115" s="28" t="str">
        <x:v>Improving Community-Based Care for Adolescents with ADHD: a Randomized Controlled Trial of Artificial Intelligence-Assisted Fidelity Supports.</x:v>
      </x:c>
      <x:c r="E2115" s="28" t="str">
        <x:v>Primary study - randomized controlled trial</x:v>
      </x:c>
      <x:c r="F2115" s="28" t="str">
        <x:v>Development &amp; presentation; Social &amp; structural; Environmental &amp; lifestyle; Treatment &amp; support; Life outcomes &amp; lived experience</x:v>
      </x:c>
      <x:c r="G2115" s="28" t="str">
        <x:v>Adolescence</x:v>
      </x:c>
      <x:c r="H2115" s="28" t="str">
        <x:v>Later specialized</x:v>
      </x:c>
      <x:c r="I2115" s="28" t="str">
        <x:v>Direct or strongly ADHD-related record retained for later screening; typically narrower treatment, biomarker, mechanistic, or single-comorbidity focus.</x:v>
      </x:c>
      <x:c r="J2115" s="38" t="e">
        <x:f>HYPERLINK("https://pubmed.ncbi.nlm.nih.gov/"&amp;C2115&amp;"/","Open PubMed")</x:f>
        <x:v>HYPERLINK is not implemented. linkLocation=https://pubmed.ncbi.nlm.nih.gov/41436907/, friendlyName=Open PubMed</x:v>
      </x:c>
    </x:row>
    <x:row r="2116">
      <x:c r="A2116" s="26" t="str">
        <x:v>PUBMED-41427840</x:v>
      </x:c>
      <x:c r="B2116" s="26" t="n">
        <x:v>2026</x:v>
      </x:c>
      <x:c r="C2116" s="26" t="str">
        <x:v>41427840</x:v>
      </x:c>
      <x:c r="D2116" s="28" t="str">
        <x:v>Atomoxetine as a Viable ADHD Treatment in Breastfeeding Mothers: Evidence From Human Milk Pharmacokinetic Analysis.</x:v>
      </x:c>
      <x:c r="E2116" s="28" t="str">
        <x:v>Primary/contextual journal article</x:v>
      </x:c>
      <x:c r="F2116" s="28" t="str">
        <x:v>Development &amp; presentation; Social &amp; structural; Treatment &amp; support</x:v>
      </x:c>
      <x:c r="G2116" s="28" t="str">
        <x:v>Adulthood</x:v>
      </x:c>
      <x:c r="H2116" s="28" t="str">
        <x:v>Later specialized</x:v>
      </x:c>
      <x:c r="I2116" s="28" t="str">
        <x:v>Direct or strongly ADHD-related record retained for later screening; typically narrower treatment, biomarker, mechanistic, or single-comorbidity focus.</x:v>
      </x:c>
      <x:c r="J2116" s="38" t="e">
        <x:f>HYPERLINK("https://pubmed.ncbi.nlm.nih.gov/"&amp;C2116&amp;"/","Open PubMed")</x:f>
        <x:v>HYPERLINK is not implemented. linkLocation=https://pubmed.ncbi.nlm.nih.gov/41427840/, friendlyName=Open PubMed</x:v>
      </x:c>
    </x:row>
    <x:row r="2117">
      <x:c r="A2117" s="26" t="str">
        <x:v>PUBMED-41420112</x:v>
      </x:c>
      <x:c r="B2117" s="26" t="n">
        <x:v>2026</x:v>
      </x:c>
      <x:c r="C2117" s="26" t="str">
        <x:v>41420112</x:v>
      </x:c>
      <x:c r="D2117" s="28" t="str">
        <x:v>Efficacy and safety of transcranial alternating current stimulation in adults with attention deficit hyperactivity disorder: a double-blind randomized sham-controlled trial.</x:v>
      </x:c>
      <x:c r="E2117" s="28" t="str">
        <x:v>Primary study - randomized controlled trial</x:v>
      </x:c>
      <x:c r="F2117" s="28" t="str">
        <x:v>Development &amp; presentation; Recognition &amp; diagnosis; Social &amp; structural; Treatment &amp; support; Life outcomes &amp; lived experience</x:v>
      </x:c>
      <x:c r="G2117" s="28" t="str">
        <x:v>Adulthood</x:v>
      </x:c>
      <x:c r="H2117" s="28" t="str">
        <x:v>Later specialized</x:v>
      </x:c>
      <x:c r="I2117" s="28" t="str">
        <x:v>Direct or strongly ADHD-related record retained for later screening; typically narrower treatment, biomarker, mechanistic, or single-comorbidity focus.</x:v>
      </x:c>
      <x:c r="J2117" s="38" t="e">
        <x:f>HYPERLINK("https://pubmed.ncbi.nlm.nih.gov/"&amp;C2117&amp;"/","Open PubMed")</x:f>
        <x:v>HYPERLINK is not implemented. linkLocation=https://pubmed.ncbi.nlm.nih.gov/41420112/, friendlyName=Open PubMed</x:v>
      </x:c>
    </x:row>
    <x:row r="2118">
      <x:c r="A2118" s="26" t="str">
        <x:v>PUBMED-41416939</x:v>
      </x:c>
      <x:c r="B2118" s="26" t="n">
        <x:v>2026</x:v>
      </x:c>
      <x:c r="C2118" s="26" t="str">
        <x:v>41416939</x:v>
      </x:c>
      <x:c r="D2118" s="28" t="str">
        <x:v>Transdiagnostic Behavioral Phenotypes and Comorbid Gastrointestinal Symptoms in Neurodevelopmental Disorders: An Exploratory Study.</x:v>
      </x:c>
      <x:c r="E2118" s="28" t="str">
        <x:v>Primary/contextual journal article</x:v>
      </x:c>
      <x:c r="F2118" s="28" t="str">
        <x:v>Development &amp; presentation; Recognition &amp; diagnosis; Family &amp; education; Social &amp; structural; Treatment &amp; support</x:v>
      </x:c>
      <x:c r="G2118" s="28" t="str">
        <x:v>Childhood; Adolescence</x:v>
      </x:c>
      <x:c r="H2118" s="28" t="str">
        <x:v>Later specialized</x:v>
      </x:c>
      <x:c r="I2118" s="28" t="str">
        <x:v>Direct or strongly ADHD-related record retained for later screening; typically narrower treatment, biomarker, mechanistic, or single-comorbidity focus.</x:v>
      </x:c>
      <x:c r="J2118" s="38" t="e">
        <x:f>HYPERLINK("https://pubmed.ncbi.nlm.nih.gov/"&amp;C2118&amp;"/","Open PubMed")</x:f>
        <x:v>HYPERLINK is not implemented. linkLocation=https://pubmed.ncbi.nlm.nih.gov/41416939/, friendlyName=Open PubMed</x:v>
      </x:c>
    </x:row>
    <x:row r="2119">
      <x:c r="A2119" s="26" t="str">
        <x:v>PUBMED-41411026</x:v>
      </x:c>
      <x:c r="B2119" s="26" t="n">
        <x:v>2026</x:v>
      </x:c>
      <x:c r="C2119" s="26" t="str">
        <x:v>41411026</x:v>
      </x:c>
      <x:c r="D2119" s="28" t="str">
        <x:v>Attention-deficit hyperactivity disorder as a moderator of the efficacy of family-based problem solving after pediatric traumatic brain injury.</x:v>
      </x:c>
      <x:c r="E2119" s="28" t="str">
        <x:v>Primary/contextual journal article</x:v>
      </x:c>
      <x:c r="F2119" s="28" t="str">
        <x:v>Development &amp; presentation; Family &amp; education; Social &amp; structural; Environmental &amp; lifestyle; Treatment &amp; support; Life outcomes &amp; lived experience</x:v>
      </x:c>
      <x:c r="G2119" s="28" t="str">
        <x:v>Childhood; Adolescence</x:v>
      </x:c>
      <x:c r="H2119" s="28" t="str">
        <x:v>Later specialized</x:v>
      </x:c>
      <x:c r="I2119" s="28" t="str">
        <x:v>Direct or strongly ADHD-related record retained for later screening; typically narrower treatment, biomarker, mechanistic, or single-comorbidity focus.</x:v>
      </x:c>
      <x:c r="J2119" s="38" t="e">
        <x:f>HYPERLINK("https://pubmed.ncbi.nlm.nih.gov/"&amp;C2119&amp;"/","Open PubMed")</x:f>
        <x:v>HYPERLINK is not implemented. linkLocation=https://pubmed.ncbi.nlm.nih.gov/41411026/, friendlyName=Open PubMed</x:v>
      </x:c>
    </x:row>
    <x:row r="2120">
      <x:c r="A2120" s="26" t="str">
        <x:v>PUBMED-41407034</x:v>
      </x:c>
      <x:c r="B2120" s="26" t="n">
        <x:v>2026</x:v>
      </x:c>
      <x:c r="C2120" s="26" t="str">
        <x:v>41407034</x:v>
      </x:c>
      <x:c r="D2120" s="28" t="str">
        <x:v>Editorial: Genetic Predisposition to Attention-Deficit/Hyperactivity Disorder Increases the Risk of Emotional and Behavioral Difficulties.</x:v>
      </x:c>
      <x:c r="E2120" s="28" t="str">
        <x:v>Contextual - editorial/comment</x:v>
      </x:c>
      <x:c r="F2120" s="28" t="str">
        <x:v>Development &amp; presentation; Family &amp; education; Social &amp; structural; Treatment &amp; support; Life outcomes &amp; lived experience</x:v>
      </x:c>
      <x:c r="G2120" s="28" t="str">
        <x:v>Childhood; Adolescence</x:v>
      </x:c>
      <x:c r="H2120" s="28" t="str">
        <x:v>Later specialized</x:v>
      </x:c>
      <x:c r="I2120" s="28" t="str">
        <x:v>Direct or strongly ADHD-related record retained for later screening; typically narrower treatment, biomarker, mechanistic, or single-comorbidity focus.</x:v>
      </x:c>
      <x:c r="J2120" s="38" t="e">
        <x:f>HYPERLINK("https://pubmed.ncbi.nlm.nih.gov/"&amp;C2120&amp;"/","Open PubMed")</x:f>
        <x:v>HYPERLINK is not implemented. linkLocation=https://pubmed.ncbi.nlm.nih.gov/41407034/, friendlyName=Open PubMed</x:v>
      </x:c>
    </x:row>
    <x:row r="2121">
      <x:c r="A2121" s="26" t="str">
        <x:v>PUBMED-41403111</x:v>
      </x:c>
      <x:c r="B2121" s="26" t="n">
        <x:v>2026</x:v>
      </x:c>
      <x:c r="C2121" s="26" t="str">
        <x:v>41403111</x:v>
      </x:c>
      <x:c r="D2121" s="28" t="str">
        <x:v>Co-occurrence Patterns of ADHD Symptoms and Reactive and Proactive Aggression in Chinese Adolescents: Associations With Parenting Practices.</x:v>
      </x:c>
      <x:c r="E2121" s="28" t="str">
        <x:v>Primary/contextual journal article</x:v>
      </x:c>
      <x:c r="F2121" s="28" t="str">
        <x:v>Development &amp; presentation; Family &amp; education; Social &amp; structural; Life outcomes &amp; lived experience</x:v>
      </x:c>
      <x:c r="G2121" s="28" t="str">
        <x:v>Adolescence</x:v>
      </x:c>
      <x:c r="H2121" s="28" t="str">
        <x:v>Later specialized</x:v>
      </x:c>
      <x:c r="I2121" s="28" t="str">
        <x:v>Direct or strongly ADHD-related record retained for later screening; typically narrower treatment, biomarker, mechanistic, or single-comorbidity focus.</x:v>
      </x:c>
      <x:c r="J2121" s="38" t="e">
        <x:f>HYPERLINK("https://pubmed.ncbi.nlm.nih.gov/"&amp;C2121&amp;"/","Open PubMed")</x:f>
        <x:v>HYPERLINK is not implemented. linkLocation=https://pubmed.ncbi.nlm.nih.gov/41403111/, friendlyName=Open PubMed</x:v>
      </x:c>
    </x:row>
    <x:row r="2122">
      <x:c r="A2122" s="26" t="str">
        <x:v>PUBMED-41397339</x:v>
      </x:c>
      <x:c r="B2122" s="26" t="n">
        <x:v>2026</x:v>
      </x:c>
      <x:c r="C2122" s="26" t="str">
        <x:v>41397339</x:v>
      </x:c>
      <x:c r="D2122" s="28" t="str">
        <x:v>Effects of medications on sleep quality, insomnia, and circadian rhythm in adults with ADHD: A pragmatic longitudinal study.</x:v>
      </x:c>
      <x:c r="E2122" s="28" t="str">
        <x:v>Primary/contextual journal article</x:v>
      </x:c>
      <x:c r="F2122" s="28" t="str">
        <x:v>Development &amp; presentation; Recognition &amp; diagnosis; Social &amp; structural; Environmental &amp; lifestyle; Treatment &amp; support; Life outcomes &amp; lived experience</x:v>
      </x:c>
      <x:c r="G2122" s="28" t="str">
        <x:v>Adulthood</x:v>
      </x:c>
      <x:c r="H2122" s="28" t="str">
        <x:v>Later specialized</x:v>
      </x:c>
      <x:c r="I2122" s="28" t="str">
        <x:v>Direct or strongly ADHD-related record retained for later screening; typically narrower treatment, biomarker, mechanistic, or single-comorbidity focus.</x:v>
      </x:c>
      <x:c r="J2122" s="38" t="e">
        <x:f>HYPERLINK("https://pubmed.ncbi.nlm.nih.gov/"&amp;C2122&amp;"/","Open PubMed")</x:f>
        <x:v>HYPERLINK is not implemented. linkLocation=https://pubmed.ncbi.nlm.nih.gov/41397339/, friendlyName=Open PubMed</x:v>
      </x:c>
    </x:row>
    <x:row r="2123">
      <x:c r="A2123" s="26" t="str">
        <x:v>PUBMED-41385914</x:v>
      </x:c>
      <x:c r="B2123" s="26" t="n">
        <x:v>2026</x:v>
      </x:c>
      <x:c r="C2123" s="26" t="str">
        <x:v>41385914</x:v>
      </x:c>
      <x:c r="D2123" s="28" t="str">
        <x:v>Maternal and paternal smoking during pregnancy and the risk of ADHD in offspring: An umbrella review of systematic reviews and meta-analyses.</x:v>
      </x:c>
      <x:c r="E2123" s="28" t="str">
        <x:v>Evidence synthesis - systematic review</x:v>
      </x:c>
      <x:c r="F2123" s="28" t="str">
        <x:v>Development &amp; presentation; Recognition &amp; diagnosis; Social &amp; structural; Environmental &amp; lifestyle; Treatment &amp; support</x:v>
      </x:c>
      <x:c r="G2123" s="28" t="str">
        <x:v>Not specified</x:v>
      </x:c>
      <x:c r="H2123" s="28" t="str">
        <x:v>Batch 1 core</x:v>
      </x:c>
      <x:c r="I2123" s="28" t="str">
        <x:v>Direct ADHD evidence synthesis/guideline with broad multi-topic relevance.</x:v>
      </x:c>
      <x:c r="J2123" s="38" t="e">
        <x:f>HYPERLINK("https://pubmed.ncbi.nlm.nih.gov/"&amp;C2123&amp;"/","Open PubMed")</x:f>
        <x:v>HYPERLINK is not implemented. linkLocation=https://pubmed.ncbi.nlm.nih.gov/41385914/, friendlyName=Open PubMed</x:v>
      </x:c>
    </x:row>
    <x:row r="2124">
      <x:c r="A2124" s="26" t="str">
        <x:v>PUBMED-41370974</x:v>
      </x:c>
      <x:c r="B2124" s="26" t="n">
        <x:v>2026</x:v>
      </x:c>
      <x:c r="C2124" s="26" t="str">
        <x:v>41370974</x:v>
      </x:c>
      <x:c r="D2124" s="28" t="str">
        <x:v>Effects of video game intervention on attention deficit in children with ADHD: A systematic review and meta-analysis.</x:v>
      </x:c>
      <x:c r="E2124" s="28" t="str">
        <x:v>Evidence synthesis - meta-analysis</x:v>
      </x:c>
      <x:c r="F2124" s="28" t="str">
        <x:v>Development &amp; presentation; Recognition &amp; diagnosis; Social &amp; structural; Treatment &amp; support</x:v>
      </x:c>
      <x:c r="G2124" s="28" t="str">
        <x:v>Childhood</x:v>
      </x:c>
      <x:c r="H2124" s="28" t="str">
        <x:v>Batch 1 core</x:v>
      </x:c>
      <x:c r="I2124" s="28" t="str">
        <x:v>Direct ADHD evidence synthesis/guideline with broad multi-topic relevance.</x:v>
      </x:c>
      <x:c r="J2124" s="38" t="e">
        <x:f>HYPERLINK("https://pubmed.ncbi.nlm.nih.gov/"&amp;C2124&amp;"/","Open PubMed")</x:f>
        <x:v>HYPERLINK is not implemented. linkLocation=https://pubmed.ncbi.nlm.nih.gov/41370974/, friendlyName=Open PubMed</x:v>
      </x:c>
    </x:row>
    <x:row r="2125">
      <x:c r="A2125" s="26" t="str">
        <x:v>PUBMED-41354103</x:v>
      </x:c>
      <x:c r="B2125" s="26" t="n">
        <x:v>2026</x:v>
      </x:c>
      <x:c r="C2125" s="26" t="str">
        <x:v>41354103</x:v>
      </x:c>
      <x:c r="D2125" s="28" t="str">
        <x:v>Multimodal-based deep learning detected disrupted precuneus connectivity and its related genetic profiles for predicting adults with ADHD.</x:v>
      </x:c>
      <x:c r="E2125" s="28" t="str">
        <x:v>Primary/contextual journal article</x:v>
      </x:c>
      <x:c r="F2125" s="28" t="str">
        <x:v>Development &amp; presentation; Recognition &amp; diagnosis</x:v>
      </x:c>
      <x:c r="G2125" s="28" t="str">
        <x:v>Adulthood</x:v>
      </x:c>
      <x:c r="H2125" s="28" t="str">
        <x:v>Later specialized</x:v>
      </x:c>
      <x:c r="I2125" s="28" t="str">
        <x:v>Direct or strongly ADHD-related record retained for later screening; typically narrower treatment, biomarker, mechanistic, or single-comorbidity focus.</x:v>
      </x:c>
      <x:c r="J2125" s="38" t="e">
        <x:f>HYPERLINK("https://pubmed.ncbi.nlm.nih.gov/"&amp;C2125&amp;"/","Open PubMed")</x:f>
        <x:v>HYPERLINK is not implemented. linkLocation=https://pubmed.ncbi.nlm.nih.gov/41354103/, friendlyName=Open PubMed</x:v>
      </x:c>
    </x:row>
    <x:row r="2126">
      <x:c r="A2126" s="26" t="str">
        <x:v>PUBMED-41351892</x:v>
      </x:c>
      <x:c r="B2126" s="26" t="n">
        <x:v>2026</x:v>
      </x:c>
      <x:c r="C2126" s="26" t="str">
        <x:v>41351892</x:v>
      </x:c>
      <x:c r="D2126" s="28" t="str">
        <x:v>Association of childhood adversities on the persistence and remission of drug-naïve attention-deficit/hyperactivity disorder in a longitudinal community-based sample.</x:v>
      </x:c>
      <x:c r="E2126" s="28" t="str">
        <x:v>Primary/contextual journal article</x:v>
      </x:c>
      <x:c r="F2126" s="28" t="str">
        <x:v>Development &amp; presentation; Recognition &amp; diagnosis; Treatment &amp; support</x:v>
      </x:c>
      <x:c r="G2126" s="28" t="str">
        <x:v>Childhood; Adolescence</x:v>
      </x:c>
      <x:c r="H2126" s="28" t="str">
        <x:v>Later specialized</x:v>
      </x:c>
      <x:c r="I2126" s="28" t="str">
        <x:v>Direct or strongly ADHD-related record retained for later screening; typically narrower treatment, biomarker, mechanistic, or single-comorbidity focus.</x:v>
      </x:c>
      <x:c r="J2126" s="38" t="e">
        <x:f>HYPERLINK("https://pubmed.ncbi.nlm.nih.gov/"&amp;C2126&amp;"/","Open PubMed")</x:f>
        <x:v>HYPERLINK is not implemented. linkLocation=https://pubmed.ncbi.nlm.nih.gov/41351892/, friendlyName=Open PubMed</x:v>
      </x:c>
    </x:row>
    <x:row r="2127">
      <x:c r="A2127" s="26" t="str">
        <x:v>PUBMED-41343283</x:v>
      </x:c>
      <x:c r="B2127" s="26" t="n">
        <x:v>2026</x:v>
      </x:c>
      <x:c r="C2127" s="26" t="str">
        <x:v>41343283</x:v>
      </x:c>
      <x:c r="D2127" s="28" t="str">
        <x:v>Comprehensive Effects of Occupational Therapy Using Ayres Sensory Integration® in Children With ADHD: A Randomized Controlled Trial.</x:v>
      </x:c>
      <x:c r="E2127" s="28" t="str">
        <x:v>Primary study - randomized controlled trial</x:v>
      </x:c>
      <x:c r="F2127" s="28" t="str">
        <x:v>Development &amp; presentation; Family &amp; education; Social &amp; structural; Environmental &amp; lifestyle; Treatment &amp; support; Life outcomes &amp; lived experience</x:v>
      </x:c>
      <x:c r="G2127" s="28" t="str">
        <x:v>Childhood</x:v>
      </x:c>
      <x:c r="H2127" s="28" t="str">
        <x:v>Later specialized</x:v>
      </x:c>
      <x:c r="I2127" s="28" t="str">
        <x:v>Direct or strongly ADHD-related record retained for later screening; typically narrower treatment, biomarker, mechanistic, or single-comorbidity focus.</x:v>
      </x:c>
      <x:c r="J2127" s="38" t="e">
        <x:f>HYPERLINK("https://pubmed.ncbi.nlm.nih.gov/"&amp;C2127&amp;"/","Open PubMed")</x:f>
        <x:v>HYPERLINK is not implemented. linkLocation=https://pubmed.ncbi.nlm.nih.gov/41343283/, friendlyName=Open PubMed</x:v>
      </x:c>
    </x:row>
    <x:row r="2128">
      <x:c r="A2128" s="26" t="str">
        <x:v>PUBMED-41338336</x:v>
      </x:c>
      <x:c r="B2128" s="26" t="n">
        <x:v>2026</x:v>
      </x:c>
      <x:c r="C2128" s="26" t="str">
        <x:v>41338336</x:v>
      </x:c>
      <x:c r="D2128" s="28" t="str">
        <x:v>Editorial: Early Metabolic Drivers of Neurodevelopmental Disorders: Potential Pathways to Early Detection and Novel Interventions.</x:v>
      </x:c>
      <x:c r="E2128" s="28" t="str">
        <x:v>Contextual - editorial/comment</x:v>
      </x:c>
      <x:c r="F2128" s="28" t="str">
        <x:v>Development &amp; presentation; Recognition &amp; diagnosis; Social &amp; structural</x:v>
      </x:c>
      <x:c r="G2128" s="28" t="str">
        <x:v>Not specified</x:v>
      </x:c>
      <x:c r="H2128" s="28" t="str">
        <x:v>Later specialized</x:v>
      </x:c>
      <x:c r="I2128" s="28" t="str">
        <x:v>Direct or strongly ADHD-related record retained for later screening; typically narrower treatment, biomarker, mechanistic, or single-comorbidity focus.</x:v>
      </x:c>
      <x:c r="J2128" s="38" t="e">
        <x:f>HYPERLINK("https://pubmed.ncbi.nlm.nih.gov/"&amp;C2128&amp;"/","Open PubMed")</x:f>
        <x:v>HYPERLINK is not implemented. linkLocation=https://pubmed.ncbi.nlm.nih.gov/41338336/, friendlyName=Open PubMed</x:v>
      </x:c>
    </x:row>
    <x:row r="2129">
      <x:c r="A2129" s="26" t="str">
        <x:v>PUBMED-41273568</x:v>
      </x:c>
      <x:c r="B2129" s="26" t="n">
        <x:v>2026</x:v>
      </x:c>
      <x:c r="C2129" s="26" t="str">
        <x:v>41273568</x:v>
      </x:c>
      <x:c r="D2129" s="28" t="str">
        <x:v>Electronic Media Use and Symptoms of Attention-Deficit/Hyperactivity Disorder in Greek Adolescents.</x:v>
      </x:c>
      <x:c r="E2129" s="28" t="str">
        <x:v>Primary/contextual journal article</x:v>
      </x:c>
      <x:c r="F2129" s="28" t="str">
        <x:v>Development &amp; presentation; Recognition &amp; diagnosis; Family &amp; education; Social &amp; structural; Environmental &amp; lifestyle; Treatment &amp; support; Historical &amp; contemporary context</x:v>
      </x:c>
      <x:c r="G2129" s="28" t="str">
        <x:v>Childhood; Adolescence</x:v>
      </x:c>
      <x:c r="H2129" s="28" t="str">
        <x:v>Later specialized</x:v>
      </x:c>
      <x:c r="I2129" s="28" t="str">
        <x:v>Direct or strongly ADHD-related record retained for later screening; typically narrower treatment, biomarker, mechanistic, or single-comorbidity focus.</x:v>
      </x:c>
      <x:c r="J2129" s="38" t="e">
        <x:f>HYPERLINK("https://pubmed.ncbi.nlm.nih.gov/"&amp;C2129&amp;"/","Open PubMed")</x:f>
        <x:v>HYPERLINK is not implemented. linkLocation=https://pubmed.ncbi.nlm.nih.gov/41273568/, friendlyName=Open PubMed</x:v>
      </x:c>
    </x:row>
    <x:row r="2130">
      <x:c r="A2130" s="26" t="str">
        <x:v>PUBMED-41267417</x:v>
      </x:c>
      <x:c r="B2130" s="26" t="n">
        <x:v>2026</x:v>
      </x:c>
      <x:c r="C2130" s="26" t="str">
        <x:v>41267417</x:v>
      </x:c>
      <x:c r="D2130" s="28" t="str">
        <x:v>Treatment Adherence in ADHD: A Systematic Review of Influencing Factors and Strategies for Improvement.</x:v>
      </x:c>
      <x:c r="E2130" s="28" t="str">
        <x:v>Evidence synthesis - systematic review</x:v>
      </x:c>
      <x:c r="F2130" s="28" t="str">
        <x:v>Development &amp; presentation; Family &amp; education; Social &amp; structural; Environmental &amp; lifestyle; Treatment &amp; support; Life outcomes &amp; lived experience; Historical &amp; contemporary context</x:v>
      </x:c>
      <x:c r="G2130" s="28" t="str">
        <x:v>Childhood; Adolescence; Adulthood</x:v>
      </x:c>
      <x:c r="H2130" s="28" t="str">
        <x:v>Batch 1 core</x:v>
      </x:c>
      <x:c r="I2130" s="28" t="str">
        <x:v>Direct ADHD evidence synthesis/guideline with broad multi-topic relevance.</x:v>
      </x:c>
      <x:c r="J2130" s="38" t="e">
        <x:f>HYPERLINK("https://pubmed.ncbi.nlm.nih.gov/"&amp;C2130&amp;"/","Open PubMed")</x:f>
        <x:v>HYPERLINK is not implemented. linkLocation=https://pubmed.ncbi.nlm.nih.gov/41267417/, friendlyName=Open PubMed</x:v>
      </x:c>
    </x:row>
    <x:row r="2131">
      <x:c r="A2131" s="26" t="str">
        <x:v>PUBMED-41264968</x:v>
      </x:c>
      <x:c r="B2131" s="26" t="n">
        <x:v>2026</x:v>
      </x:c>
      <x:c r="C2131" s="26" t="str">
        <x:v>41264968</x:v>
      </x:c>
      <x:c r="D2131" s="28" t="str">
        <x:v>Jingning formula alleviates ADHD by restoring gut microbiota dysbiosis and tryptophan metabolic dysfunction.</x:v>
      </x:c>
      <x:c r="E2131" s="28" t="str">
        <x:v>Primary/contextual journal article</x:v>
      </x:c>
      <x:c r="F2131" s="28" t="str">
        <x:v>Development &amp; presentation; Social &amp; structural; Treatment &amp; support</x:v>
      </x:c>
      <x:c r="G2131" s="28" t="str">
        <x:v>Childhood</x:v>
      </x:c>
      <x:c r="H2131" s="28" t="str">
        <x:v>Later specialized</x:v>
      </x:c>
      <x:c r="I2131" s="28" t="str">
        <x:v>Direct or strongly ADHD-related record retained for later screening; typically narrower treatment, biomarker, mechanistic, or single-comorbidity focus.</x:v>
      </x:c>
      <x:c r="J2131" s="38" t="e">
        <x:f>HYPERLINK("https://pubmed.ncbi.nlm.nih.gov/"&amp;C2131&amp;"/","Open PubMed")</x:f>
        <x:v>HYPERLINK is not implemented. linkLocation=https://pubmed.ncbi.nlm.nih.gov/41264968/, friendlyName=Open PubMed</x:v>
      </x:c>
    </x:row>
    <x:row r="2132">
      <x:c r="A2132" s="26" t="str">
        <x:v>PUBMED-41241082</x:v>
      </x:c>
      <x:c r="B2132" s="26" t="n">
        <x:v>2026</x:v>
      </x:c>
      <x:c r="C2132" s="26" t="str">
        <x:v>41241082</x:v>
      </x:c>
      <x:c r="D2132" s="28" t="str">
        <x:v>Altered Processing of Auditory Distractions Under Competing Inputs in Children With Attention-Deficit/Hyperactivity Disorder.</x:v>
      </x:c>
      <x:c r="E2132" s="28" t="str">
        <x:v>Primary/contextual journal article</x:v>
      </x:c>
      <x:c r="F2132" s="28" t="str">
        <x:v>Development &amp; presentation; Social &amp; structural; Historical &amp; contemporary context</x:v>
      </x:c>
      <x:c r="G2132" s="28" t="str">
        <x:v>Childhood</x:v>
      </x:c>
      <x:c r="H2132" s="28" t="str">
        <x:v>Later specialized</x:v>
      </x:c>
      <x:c r="I2132" s="28" t="str">
        <x:v>Direct or strongly ADHD-related record retained for later screening; typically narrower treatment, biomarker, mechanistic, or single-comorbidity focus.</x:v>
      </x:c>
      <x:c r="J2132" s="38" t="e">
        <x:f>HYPERLINK("https://pubmed.ncbi.nlm.nih.gov/"&amp;C2132&amp;"/","Open PubMed")</x:f>
        <x:v>HYPERLINK is not implemented. linkLocation=https://pubmed.ncbi.nlm.nih.gov/41241082/, friendlyName=Open PubMed</x:v>
      </x:c>
    </x:row>
    <x:row r="2133">
      <x:c r="A2133" s="26" t="str">
        <x:v>PUBMED-41223738</x:v>
      </x:c>
      <x:c r="B2133" s="26" t="n">
        <x:v>2026</x:v>
      </x:c>
      <x:c r="C2133" s="26" t="str">
        <x:v>41223738</x:v>
      </x:c>
      <x:c r="D2133" s="28" t="str">
        <x:v>Differences in symptom severity in hoarding disorder between those with and without attention deficit-hyperactivity disorder.</x:v>
      </x:c>
      <x:c r="E2133" s="28" t="str">
        <x:v>Primary/contextual journal article</x:v>
      </x:c>
      <x:c r="F2133" s="28" t="str">
        <x:v>Development &amp; presentation; Recognition &amp; diagnosis; Social &amp; structural</x:v>
      </x:c>
      <x:c r="G2133" s="28" t="str">
        <x:v>Adulthood</x:v>
      </x:c>
      <x:c r="H2133" s="28" t="str">
        <x:v>Later specialized</x:v>
      </x:c>
      <x:c r="I2133" s="28" t="str">
        <x:v>Direct or strongly ADHD-related record retained for later screening; typically narrower treatment, biomarker, mechanistic, or single-comorbidity focus.</x:v>
      </x:c>
      <x:c r="J2133" s="38" t="e">
        <x:f>HYPERLINK("https://pubmed.ncbi.nlm.nih.gov/"&amp;C2133&amp;"/","Open PubMed")</x:f>
        <x:v>HYPERLINK is not implemented. linkLocation=https://pubmed.ncbi.nlm.nih.gov/41223738/, friendlyName=Open PubMed</x:v>
      </x:c>
    </x:row>
    <x:row r="2134">
      <x:c r="A2134" s="26" t="str">
        <x:v>PUBMED-41222592</x:v>
      </x:c>
      <x:c r="B2134" s="26" t="n">
        <x:v>2026</x:v>
      </x:c>
      <x:c r="C2134" s="26" t="str">
        <x:v>41222592</x:v>
      </x:c>
      <x:c r="D2134" s="28" t="str">
        <x:v>A resting-state functional magnetic resonance imaging meta-analysis of differences in brain activity between children and adolescents with attention-deficit/hyperactivity disorder using activation likelihood estimation.</x:v>
      </x:c>
      <x:c r="E2134" s="28" t="str">
        <x:v>Evidence synthesis - meta-analysis</x:v>
      </x:c>
      <x:c r="F2134" s="28" t="str">
        <x:v>Development &amp; presentation; Recognition &amp; diagnosis; Social &amp; structural</x:v>
      </x:c>
      <x:c r="G2134" s="28" t="str">
        <x:v>Childhood; Adolescence; Adulthood</x:v>
      </x:c>
      <x:c r="H2134" s="28" t="str">
        <x:v>Batch 1 core</x:v>
      </x:c>
      <x:c r="I2134" s="28" t="str">
        <x:v>Direct ADHD evidence synthesis/guideline with broad multi-topic relevance.</x:v>
      </x:c>
      <x:c r="J2134" s="38" t="e">
        <x:f>HYPERLINK("https://pubmed.ncbi.nlm.nih.gov/"&amp;C2134&amp;"/","Open PubMed")</x:f>
        <x:v>HYPERLINK is not implemented. linkLocation=https://pubmed.ncbi.nlm.nih.gov/41222592/, friendlyName=Open PubMed</x:v>
      </x:c>
    </x:row>
    <x:row r="2135">
      <x:c r="A2135" s="26" t="str">
        <x:v>PUBMED-41207658</x:v>
      </x:c>
      <x:c r="B2135" s="26" t="n">
        <x:v>2026</x:v>
      </x:c>
      <x:c r="C2135" s="26" t="str">
        <x:v>41207658</x:v>
      </x:c>
      <x:c r="D2135" s="28" t="str">
        <x:v>The role of neuropsychological assessment in the investigation of neurodevelopmental disorders.</x:v>
      </x:c>
      <x:c r="E2135" s="28" t="str">
        <x:v>Evidence synthesis - review</x:v>
      </x:c>
      <x:c r="F2135" s="28" t="str">
        <x:v>Development &amp; presentation; Recognition &amp; diagnosis; Family &amp; education; Social &amp; structural; Treatment &amp; support; Life outcomes &amp; lived experience</x:v>
      </x:c>
      <x:c r="G2135" s="28" t="str">
        <x:v>Childhood</x:v>
      </x:c>
      <x:c r="H2135" s="28" t="str">
        <x:v>Exclude/incidental</x:v>
      </x:c>
      <x:c r="I2135" s="28" t="str">
        <x:v>ADHD appears peripheral or insufficiently aligned with the requested corpus scope based on accessible metadata/abstract.</x:v>
      </x:c>
      <x:c r="J2135" s="38" t="e">
        <x:f>HYPERLINK("https://pubmed.ncbi.nlm.nih.gov/"&amp;C2135&amp;"/","Open PubMed")</x:f>
        <x:v>HYPERLINK is not implemented. linkLocation=https://pubmed.ncbi.nlm.nih.gov/41207658/, friendlyName=Open PubMed</x:v>
      </x:c>
    </x:row>
    <x:row r="2136">
      <x:c r="A2136" s="26" t="str">
        <x:v>PUBMED-41204847</x:v>
      </x:c>
      <x:c r="B2136" s="26" t="n">
        <x:v>2026</x:v>
      </x:c>
      <x:c r="C2136" s="26" t="str">
        <x:v>41204847</x:v>
      </x:c>
      <x:c r="D2136" s="28" t="str">
        <x:v>Individual differences in effects of stressful life events on childhood ADHD: genetic, neural, and familial contributions.</x:v>
      </x:c>
      <x:c r="E2136" s="28" t="str">
        <x:v>Primary/contextual journal article</x:v>
      </x:c>
      <x:c r="F2136" s="28" t="str">
        <x:v>Development &amp; presentation; Recognition &amp; diagnosis; Family &amp; education; Social &amp; structural; Environmental &amp; lifestyle; Life outcomes &amp; lived experience; Historical &amp; contemporary context</x:v>
      </x:c>
      <x:c r="G2136" s="28" t="str">
        <x:v>Childhood; Adolescence</x:v>
      </x:c>
      <x:c r="H2136" s="28" t="str">
        <x:v>Later specialized</x:v>
      </x:c>
      <x:c r="I2136" s="28" t="str">
        <x:v>Direct or strongly ADHD-related record retained for later screening; typically narrower treatment, biomarker, mechanistic, or single-comorbidity focus.</x:v>
      </x:c>
      <x:c r="J2136" s="38" t="e">
        <x:f>HYPERLINK("https://pubmed.ncbi.nlm.nih.gov/"&amp;C2136&amp;"/","Open PubMed")</x:f>
        <x:v>HYPERLINK is not implemented. linkLocation=https://pubmed.ncbi.nlm.nih.gov/41204847/, friendlyName=Open PubMed</x:v>
      </x:c>
    </x:row>
    <x:row r="2137">
      <x:c r="A2137" s="26" t="str">
        <x:v>PUBMED-41199674</x:v>
      </x:c>
      <x:c r="B2137" s="26" t="n">
        <x:v>2026</x:v>
      </x:c>
      <x:c r="C2137" s="26" t="str">
        <x:v>41199674</x:v>
      </x:c>
      <x:c r="D2137" s="28" t="str">
        <x:v>Prevalence of Socio-Emotional and Behavioral Difficulties and Determinants Among Public School Adolescents in Hawassa, Sidama Regional State, Ethiopia.</x:v>
      </x:c>
      <x:c r="E2137" s="28" t="str">
        <x:v>Primary study - cross-sectional</x:v>
      </x:c>
      <x:c r="F2137" s="28" t="str">
        <x:v>Development &amp; presentation; Family &amp; education; Social &amp; structural; Treatment &amp; support</x:v>
      </x:c>
      <x:c r="G2137" s="28" t="str">
        <x:v>Childhood; Adolescence</x:v>
      </x:c>
      <x:c r="H2137" s="28" t="str">
        <x:v>Exclude/incidental</x:v>
      </x:c>
      <x:c r="I2137" s="28" t="str">
        <x:v>ADHD appears peripheral or insufficiently aligned with the requested corpus scope based on accessible metadata/abstract.</x:v>
      </x:c>
      <x:c r="J2137" s="38" t="e">
        <x:f>HYPERLINK("https://pubmed.ncbi.nlm.nih.gov/"&amp;C2137&amp;"/","Open PubMed")</x:f>
        <x:v>HYPERLINK is not implemented. linkLocation=https://pubmed.ncbi.nlm.nih.gov/41199674/, friendlyName=Open PubMed</x:v>
      </x:c>
    </x:row>
    <x:row r="2138">
      <x:c r="A2138" s="26" t="str">
        <x:v>PUBMED-41199539</x:v>
      </x:c>
      <x:c r="B2138" s="26" t="n">
        <x:v>2026</x:v>
      </x:c>
      <x:c r="C2138" s="26" t="str">
        <x:v>41199539</x:v>
      </x:c>
      <x:c r="D2138" s="28" t="str">
        <x:v>Differences in clinical symptoms and hot and cold executive function in girls and boys with ADHD with and without ODD.</x:v>
      </x:c>
      <x:c r="E2138" s="28" t="str">
        <x:v>Primary/contextual journal article</x:v>
      </x:c>
      <x:c r="F2138" s="28" t="str">
        <x:v>Development &amp; presentation; Family &amp; education; Social &amp; structural</x:v>
      </x:c>
      <x:c r="G2138" s="28" t="str">
        <x:v>Childhood</x:v>
      </x:c>
      <x:c r="H2138" s="28" t="str">
        <x:v>Later specialized</x:v>
      </x:c>
      <x:c r="I2138" s="28" t="str">
        <x:v>Direct or strongly ADHD-related record retained for later screening; typically narrower treatment, biomarker, mechanistic, or single-comorbidity focus.</x:v>
      </x:c>
      <x:c r="J2138" s="38" t="e">
        <x:f>HYPERLINK("https://pubmed.ncbi.nlm.nih.gov/"&amp;C2138&amp;"/","Open PubMed")</x:f>
        <x:v>HYPERLINK is not implemented. linkLocation=https://pubmed.ncbi.nlm.nih.gov/41199539/, friendlyName=Open PubMed</x:v>
      </x:c>
    </x:row>
    <x:row r="2139">
      <x:c r="A2139" s="26" t="str">
        <x:v>PUBMED-41197219</x:v>
      </x:c>
      <x:c r="B2139" s="26" t="n">
        <x:v>2026</x:v>
      </x:c>
      <x:c r="C2139" s="26" t="str">
        <x:v>41197219</x:v>
      </x:c>
      <x:c r="D2139" s="28" t="str">
        <x:v>Association of ADHD/ASD traits with premenstrual dysphoric disorder among full-time employed women in Japan: A cross-sectional study.</x:v>
      </x:c>
      <x:c r="E2139" s="28" t="str">
        <x:v>Primary study - cross-sectional</x:v>
      </x:c>
      <x:c r="F2139" s="28" t="str">
        <x:v>Development &amp; presentation; Recognition &amp; diagnosis; Family &amp; education; Social &amp; structural; Life outcomes &amp; lived experience; Historical &amp; contemporary context</x:v>
      </x:c>
      <x:c r="G2139" s="28" t="str">
        <x:v>Adulthood</x:v>
      </x:c>
      <x:c r="H2139" s="28" t="str">
        <x:v>Batch 1 core</x:v>
      </x:c>
      <x:c r="I2139" s="28" t="str">
        <x:v>Direct ADHD primary study on diagnosis, family/education, structural conditions, lived experience/outcomes, or environment/lifestyle.</x:v>
      </x:c>
      <x:c r="J2139" s="38" t="e">
        <x:f>HYPERLINK("https://pubmed.ncbi.nlm.nih.gov/"&amp;C2139&amp;"/","Open PubMed")</x:f>
        <x:v>HYPERLINK is not implemented. linkLocation=https://pubmed.ncbi.nlm.nih.gov/41197219/, friendlyName=Open PubMed</x:v>
      </x:c>
    </x:row>
    <x:row r="2140">
      <x:c r="A2140" s="26" t="str">
        <x:v>PUBMED-41193165</x:v>
      </x:c>
      <x:c r="B2140" s="26" t="n">
        <x:v>2026</x:v>
      </x:c>
      <x:c r="C2140" s="26" t="str">
        <x:v>41193165</x:v>
      </x:c>
      <x:c r="D2140" s="28" t="str">
        <x:v>The effectiveness of an online-based psychosocial program for parents of children with neurodevelopmental disorders - a randomized controlled trial.</x:v>
      </x:c>
      <x:c r="E2140" s="28" t="str">
        <x:v>Primary study - randomized controlled trial</x:v>
      </x:c>
      <x:c r="F2140" s="28" t="str">
        <x:v>Development &amp; presentation; Recognition &amp; diagnosis; Family &amp; education; Social &amp; structural; Environmental &amp; lifestyle; Treatment &amp; support; Life outcomes &amp; lived experience; Historical &amp; contemporary context</x:v>
      </x:c>
      <x:c r="G2140" s="28" t="str">
        <x:v>Childhood; Adulthood</x:v>
      </x:c>
      <x:c r="H2140" s="28" t="str">
        <x:v>Later specialized</x:v>
      </x:c>
      <x:c r="I2140" s="28" t="str">
        <x:v>Direct or strongly ADHD-related record retained for later screening; typically narrower treatment, biomarker, mechanistic, or single-comorbidity focus.</x:v>
      </x:c>
      <x:c r="J2140" s="38" t="e">
        <x:f>HYPERLINK("https://pubmed.ncbi.nlm.nih.gov/"&amp;C2140&amp;"/","Open PubMed")</x:f>
        <x:v>HYPERLINK is not implemented. linkLocation=https://pubmed.ncbi.nlm.nih.gov/41193165/, friendlyName=Open PubMed</x:v>
      </x:c>
    </x:row>
    <x:row r="2141">
      <x:c r="A2141" s="26" t="str">
        <x:v>PUBMED-41177936</x:v>
      </x:c>
      <x:c r="B2141" s="26" t="n">
        <x:v>2026</x:v>
      </x:c>
      <x:c r="C2141" s="26" t="str">
        <x:v>41177936</x:v>
      </x:c>
      <x:c r="D2141" s="28" t="str">
        <x:v>Psychometric properties of the operationalized ICF Core Sets for autism and ADHD: item metrics, reliability, and validity.</x:v>
      </x:c>
      <x:c r="E2141" s="28" t="str">
        <x:v>Primary study - cross-sectional</x:v>
      </x:c>
      <x:c r="F2141" s="28" t="str">
        <x:v>Development &amp; presentation; Recognition &amp; diagnosis; Social &amp; structural; Life outcomes &amp; lived experience</x:v>
      </x:c>
      <x:c r="G2141" s="28" t="str">
        <x:v>Childhood; Adolescence; Adulthood</x:v>
      </x:c>
      <x:c r="H2141" s="28" t="str">
        <x:v>Later specialized</x:v>
      </x:c>
      <x:c r="I2141" s="28" t="str">
        <x:v>Direct or strongly ADHD-related record retained for later screening; typically narrower treatment, biomarker, mechanistic, or single-comorbidity focus.</x:v>
      </x:c>
      <x:c r="J2141" s="38" t="e">
        <x:f>HYPERLINK("https://pubmed.ncbi.nlm.nih.gov/"&amp;C2141&amp;"/","Open PubMed")</x:f>
        <x:v>HYPERLINK is not implemented. linkLocation=https://pubmed.ncbi.nlm.nih.gov/41177936/, friendlyName=Open PubMed</x:v>
      </x:c>
    </x:row>
    <x:row r="2142">
      <x:c r="A2142" s="26" t="str">
        <x:v>PUBMED-41176249</x:v>
      </x:c>
      <x:c r="B2142" s="26" t="n">
        <x:v>2026</x:v>
      </x:c>
      <x:c r="C2142" s="26" t="str">
        <x:v>41176249</x:v>
      </x:c>
      <x:c r="D2142" s="28" t="str">
        <x:v>Large scale brain functional networks underlying non-suicidal self-injury behavior, addiction and functions in youth psychiatric disorders.</x:v>
      </x:c>
      <x:c r="E2142" s="28" t="str">
        <x:v>Primary study - cohort</x:v>
      </x:c>
      <x:c r="F2142" s="28" t="str">
        <x:v>Development &amp; presentation; Recognition &amp; diagnosis; Social &amp; structural</x:v>
      </x:c>
      <x:c r="G2142" s="28" t="str">
        <x:v>Adolescence</x:v>
      </x:c>
      <x:c r="H2142" s="28" t="str">
        <x:v>Exclude/incidental</x:v>
      </x:c>
      <x:c r="I2142" s="28" t="str">
        <x:v>ADHD appears peripheral or insufficiently aligned with the requested corpus scope based on accessible metadata/abstract.</x:v>
      </x:c>
      <x:c r="J2142" s="38" t="e">
        <x:f>HYPERLINK("https://pubmed.ncbi.nlm.nih.gov/"&amp;C2142&amp;"/","Open PubMed")</x:f>
        <x:v>HYPERLINK is not implemented. linkLocation=https://pubmed.ncbi.nlm.nih.gov/41176249/, friendlyName=Open PubMed</x:v>
      </x:c>
    </x:row>
    <x:row r="2143">
      <x:c r="A2143" s="26" t="str">
        <x:v>PUBMED-41169070</x:v>
      </x:c>
      <x:c r="B2143" s="26" t="n">
        <x:v>2026</x:v>
      </x:c>
      <x:c r="C2143" s="26" t="str">
        <x:v>41169070</x:v>
      </x:c>
      <x:c r="D2143" s="28" t="str">
        <x:v>Neurodevelopmental burden in young adults undergoing opioid substitution therapy: The role of inattentive and hyperactive/impulsive symptoms.</x:v>
      </x:c>
      <x:c r="E2143" s="28" t="str">
        <x:v>Primary/contextual journal article</x:v>
      </x:c>
      <x:c r="F2143" s="28" t="str">
        <x:v>Development &amp; presentation; Recognition &amp; diagnosis; Social &amp; structural; Treatment &amp; support; Life outcomes &amp; lived experience</x:v>
      </x:c>
      <x:c r="G2143" s="28" t="str">
        <x:v>Childhood; Adulthood</x:v>
      </x:c>
      <x:c r="H2143" s="28" t="str">
        <x:v>Later specialized</x:v>
      </x:c>
      <x:c r="I2143" s="28" t="str">
        <x:v>Direct or strongly ADHD-related record retained for later screening; typically narrower treatment, biomarker, mechanistic, or single-comorbidity focus.</x:v>
      </x:c>
      <x:c r="J2143" s="38" t="e">
        <x:f>HYPERLINK("https://pubmed.ncbi.nlm.nih.gov/"&amp;C2143&amp;"/","Open PubMed")</x:f>
        <x:v>HYPERLINK is not implemented. linkLocation=https://pubmed.ncbi.nlm.nih.gov/41169070/, friendlyName=Open PubMed</x:v>
      </x:c>
    </x:row>
    <x:row r="2144">
      <x:c r="A2144" s="26" t="str">
        <x:v>PUBMED-41131279</x:v>
      </x:c>
      <x:c r="B2144" s="26" t="n">
        <x:v>2026</x:v>
      </x:c>
      <x:c r="C2144" s="26" t="str">
        <x:v>41131279</x:v>
      </x:c>
      <x:c r="D2144" s="28" t="str">
        <x:v>Connectome-based symptom mapping and in silico related gene expression in children with autism and/or attention-deficit/hyperactivity disorder.</x:v>
      </x:c>
      <x:c r="E2144" s="28" t="str">
        <x:v>Primary/contextual journal article</x:v>
      </x:c>
      <x:c r="F2144" s="28" t="str">
        <x:v>Development &amp; presentation; Recognition &amp; diagnosis; Family &amp; education; Social &amp; structural; Life outcomes &amp; lived experience</x:v>
      </x:c>
      <x:c r="G2144" s="28" t="str">
        <x:v>Childhood</x:v>
      </x:c>
      <x:c r="H2144" s="28" t="str">
        <x:v>Later specialized</x:v>
      </x:c>
      <x:c r="I2144" s="28" t="str">
        <x:v>Direct or strongly ADHD-related record retained for later screening; typically narrower treatment, biomarker, mechanistic, or single-comorbidity focus.</x:v>
      </x:c>
      <x:c r="J2144" s="38" t="e">
        <x:f>HYPERLINK("https://pubmed.ncbi.nlm.nih.gov/"&amp;C2144&amp;"/","Open PubMed")</x:f>
        <x:v>HYPERLINK is not implemented. linkLocation=https://pubmed.ncbi.nlm.nih.gov/41131279/, friendlyName=Open PubMed</x:v>
      </x:c>
    </x:row>
    <x:row r="2145">
      <x:c r="A2145" s="26" t="str">
        <x:v>PUBMED-41123338</x:v>
      </x:c>
      <x:c r="B2145" s="26" t="n">
        <x:v>2026</x:v>
      </x:c>
      <x:c r="C2145" s="26" t="str">
        <x:v>41123338</x:v>
      </x:c>
      <x:c r="D2145" s="28" t="str">
        <x:v>Editorial Perspective: The challenge of evaluating ADHD parenting interventions - towards a hybrid approach.</x:v>
      </x:c>
      <x:c r="E2145" s="28" t="str">
        <x:v>Contextual - editorial/comment</x:v>
      </x:c>
      <x:c r="F2145" s="28" t="str">
        <x:v>Development &amp; presentation; Recognition &amp; diagnosis; Family &amp; education; Social &amp; structural; Treatment &amp; support; Life outcomes &amp; lived experience</x:v>
      </x:c>
      <x:c r="G2145" s="28" t="str">
        <x:v>Childhood</x:v>
      </x:c>
      <x:c r="H2145" s="28" t="str">
        <x:v>Later specialized</x:v>
      </x:c>
      <x:c r="I2145" s="28" t="str">
        <x:v>Direct or strongly ADHD-related record retained for later screening; typically narrower treatment, biomarker, mechanistic, or single-comorbidity focus.</x:v>
      </x:c>
      <x:c r="J2145" s="38" t="e">
        <x:f>HYPERLINK("https://pubmed.ncbi.nlm.nih.gov/"&amp;C2145&amp;"/","Open PubMed")</x:f>
        <x:v>HYPERLINK is not implemented. linkLocation=https://pubmed.ncbi.nlm.nih.gov/41123338/, friendlyName=Open PubMed</x:v>
      </x:c>
    </x:row>
    <x:row r="2146">
      <x:c r="A2146" s="26" t="str">
        <x:v>PUBMED-41120047</x:v>
      </x:c>
      <x:c r="B2146" s="26" t="n">
        <x:v>2026</x:v>
      </x:c>
      <x:c r="C2146" s="26" t="str">
        <x:v>41120047</x:v>
      </x:c>
      <x:c r="D2146" s="28" t="str">
        <x:v>Dietary and nutritional interventions in the treatment of childhood neuropsychiatric disorders: evidence and myths.</x:v>
      </x:c>
      <x:c r="E2146" s="28" t="str">
        <x:v>Evidence synthesis - review</x:v>
      </x:c>
      <x:c r="F2146" s="28" t="str">
        <x:v>Development &amp; presentation; Social &amp; structural; Environmental &amp; lifestyle; Treatment &amp; support; Life outcomes &amp; lived experience</x:v>
      </x:c>
      <x:c r="G2146" s="28" t="str">
        <x:v>Childhood; Adolescence</x:v>
      </x:c>
      <x:c r="H2146" s="28" t="str">
        <x:v>Later specialized</x:v>
      </x:c>
      <x:c r="I2146" s="28" t="str">
        <x:v>Direct or strongly ADHD-related record retained for later screening; typically narrower treatment, biomarker, mechanistic, or single-comorbidity focus.</x:v>
      </x:c>
      <x:c r="J2146" s="38" t="e">
        <x:f>HYPERLINK("https://pubmed.ncbi.nlm.nih.gov/"&amp;C2146&amp;"/","Open PubMed")</x:f>
        <x:v>HYPERLINK is not implemented. linkLocation=https://pubmed.ncbi.nlm.nih.gov/41120047/, friendlyName=Open PubMed</x:v>
      </x:c>
    </x:row>
    <x:row r="2147">
      <x:c r="A2147" s="26" t="str">
        <x:v>PUBMED-41120046</x:v>
      </x:c>
      <x:c r="B2147" s="26" t="n">
        <x:v>2026</x:v>
      </x:c>
      <x:c r="C2147" s="26" t="str">
        <x:v>41120046</x:v>
      </x:c>
      <x:c r="D2147" s="28" t="str">
        <x:v>Transition to adolescence in neurodevelopmental disorders: challenges and clinical perspectives.</x:v>
      </x:c>
      <x:c r="E2147" s="28" t="str">
        <x:v>Evidence synthesis - review</x:v>
      </x:c>
      <x:c r="F2147" s="28" t="str">
        <x:v>Development &amp; presentation; Family &amp; education; Social &amp; structural; Treatment &amp; support</x:v>
      </x:c>
      <x:c r="G2147" s="28" t="str">
        <x:v>Adolescence; Adulthood</x:v>
      </x:c>
      <x:c r="H2147" s="28" t="str">
        <x:v>Later specialized</x:v>
      </x:c>
      <x:c r="I2147" s="28" t="str">
        <x:v>Direct or strongly ADHD-related record retained for later screening; typically narrower treatment, biomarker, mechanistic, or single-comorbidity focus.</x:v>
      </x:c>
      <x:c r="J2147" s="38" t="e">
        <x:f>HYPERLINK("https://pubmed.ncbi.nlm.nih.gov/"&amp;C2147&amp;"/","Open PubMed")</x:f>
        <x:v>HYPERLINK is not implemented. linkLocation=https://pubmed.ncbi.nlm.nih.gov/41120046/, friendlyName=Open PubMed</x:v>
      </x:c>
    </x:row>
    <x:row r="2148">
      <x:c r="A2148" s="26" t="str">
        <x:v>PUBMED-41117722</x:v>
      </x:c>
      <x:c r="B2148" s="26" t="n">
        <x:v>2026</x:v>
      </x:c>
      <x:c r="C2148" s="26" t="str">
        <x:v>41117722</x:v>
      </x:c>
      <x:c r="D2148" s="28" t="str">
        <x:v>The Mediating Role of Sleep Problems in the Association Between Attention-Deficit/Hyperactivity Disorder and Self-Injurious Thoughts and Behaviors in Children Aged 9-12 in the United States.</x:v>
      </x:c>
      <x:c r="E2148" s="28" t="str">
        <x:v>Primary/contextual journal article</x:v>
      </x:c>
      <x:c r="F2148" s="28" t="str">
        <x:v>Development &amp; presentation; Recognition &amp; diagnosis; Family &amp; education; Social &amp; structural; Environmental &amp; lifestyle; Life outcomes &amp; lived experience</x:v>
      </x:c>
      <x:c r="G2148" s="28" t="str">
        <x:v>Childhood; Adolescence; Adulthood</x:v>
      </x:c>
      <x:c r="H2148" s="28" t="str">
        <x:v>Later specialized</x:v>
      </x:c>
      <x:c r="I2148" s="28" t="str">
        <x:v>Direct or strongly ADHD-related record retained for later screening; typically narrower treatment, biomarker, mechanistic, or single-comorbidity focus.</x:v>
      </x:c>
      <x:c r="J2148" s="38" t="e">
        <x:f>HYPERLINK("https://pubmed.ncbi.nlm.nih.gov/"&amp;C2148&amp;"/","Open PubMed")</x:f>
        <x:v>HYPERLINK is not implemented. linkLocation=https://pubmed.ncbi.nlm.nih.gov/41117722/, friendlyName=Open PubMed</x:v>
      </x:c>
    </x:row>
    <x:row r="2149">
      <x:c r="A2149" s="26" t="str">
        <x:v>PUBMED-41091176</x:v>
      </x:c>
      <x:c r="B2149" s="26" t="n">
        <x:v>2026</x:v>
      </x:c>
      <x:c r="C2149" s="26" t="str">
        <x:v>41091176</x:v>
      </x:c>
      <x:c r="D2149" s="28" t="str">
        <x:v>Prescriber-recorded indications for antipsychotic use in children and adolescents in Spain, 2015-2023: a population-based, real-world study.</x:v>
      </x:c>
      <x:c r="E2149" s="28" t="str">
        <x:v>Primary/contextual journal article</x:v>
      </x:c>
      <x:c r="F2149" s="28" t="str">
        <x:v>Development &amp; presentation; Family &amp; education; Social &amp; structural; Treatment &amp; support; Historical &amp; contemporary context</x:v>
      </x:c>
      <x:c r="G2149" s="28" t="str">
        <x:v>Childhood; Adolescence; Adulthood</x:v>
      </x:c>
      <x:c r="H2149" s="28" t="str">
        <x:v>Exclude/incidental</x:v>
      </x:c>
      <x:c r="I2149" s="28" t="str">
        <x:v>ADHD appears peripheral or insufficiently aligned with the requested corpus scope based on accessible metadata/abstract.</x:v>
      </x:c>
      <x:c r="J2149" s="38" t="e">
        <x:f>HYPERLINK("https://pubmed.ncbi.nlm.nih.gov/"&amp;C2149&amp;"/","Open PubMed")</x:f>
        <x:v>HYPERLINK is not implemented. linkLocation=https://pubmed.ncbi.nlm.nih.gov/41091176/, friendlyName=Open PubMed</x:v>
      </x:c>
    </x:row>
    <x:row r="2150">
      <x:c r="A2150" s="26" t="str">
        <x:v>PUBMED-41085555</x:v>
      </x:c>
      <x:c r="B2150" s="26" t="n">
        <x:v>2026</x:v>
      </x:c>
      <x:c r="C2150" s="26" t="str">
        <x:v>41085555</x:v>
      </x:c>
      <x:c r="D2150" s="28" t="str">
        <x:v>Temperament and personality profile of children and adolescents with attention-deficit/hyperactivity disorder: a meta-analysis.</x:v>
      </x:c>
      <x:c r="E2150" s="28" t="str">
        <x:v>Evidence synthesis - meta-analysis</x:v>
      </x:c>
      <x:c r="F2150" s="28" t="str">
        <x:v>Development &amp; presentation; Social &amp; structural</x:v>
      </x:c>
      <x:c r="G2150" s="28" t="str">
        <x:v>Childhood; Adolescence</x:v>
      </x:c>
      <x:c r="H2150" s="28" t="str">
        <x:v>Later specialized</x:v>
      </x:c>
      <x:c r="I2150" s="28" t="str">
        <x:v>Direct or strongly ADHD-related record retained for later screening; typically narrower treatment, biomarker, mechanistic, or single-comorbidity focus.</x:v>
      </x:c>
      <x:c r="J2150" s="38" t="e">
        <x:f>HYPERLINK("https://pubmed.ncbi.nlm.nih.gov/"&amp;C2150&amp;"/","Open PubMed")</x:f>
        <x:v>HYPERLINK is not implemented. linkLocation=https://pubmed.ncbi.nlm.nih.gov/41085555/, friendlyName=Open PubMed</x:v>
      </x:c>
    </x:row>
    <x:row r="2151">
      <x:c r="A2151" s="26" t="str">
        <x:v>PUBMED-41076512</x:v>
      </x:c>
      <x:c r="B2151" s="26" t="n">
        <x:v>2026</x:v>
      </x:c>
      <x:c r="C2151" s="26" t="str">
        <x:v>41076512</x:v>
      </x:c>
      <x:c r="D2151" s="28" t="str">
        <x:v>Trace Element Imbalances in ADHD: Hair Mineral Profiling via Synchrotron X-ray Fluorescence and Wavelength-Dispersive X-ray Fluorescence.</x:v>
      </x:c>
      <x:c r="E2151" s="28" t="str">
        <x:v>Primary/contextual journal article</x:v>
      </x:c>
      <x:c r="F2151" s="28" t="str">
        <x:v>Development &amp; presentation; Recognition &amp; diagnosis; Social &amp; structural; Environmental &amp; lifestyle; Treatment &amp; support</x:v>
      </x:c>
      <x:c r="G2151" s="28" t="str">
        <x:v>Childhood; Adolescence</x:v>
      </x:c>
      <x:c r="H2151" s="28" t="str">
        <x:v>Later specialized</x:v>
      </x:c>
      <x:c r="I2151" s="28" t="str">
        <x:v>Direct or strongly ADHD-related record retained for later screening; typically narrower treatment, biomarker, mechanistic, or single-comorbidity focus.</x:v>
      </x:c>
      <x:c r="J2151" s="38" t="e">
        <x:f>HYPERLINK("https://pubmed.ncbi.nlm.nih.gov/"&amp;C2151&amp;"/","Open PubMed")</x:f>
        <x:v>HYPERLINK is not implemented. linkLocation=https://pubmed.ncbi.nlm.nih.gov/41076512/, friendlyName=Open PubMed</x:v>
      </x:c>
    </x:row>
    <x:row r="2152">
      <x:c r="A2152" s="26" t="str">
        <x:v>PUBMED-41067916</x:v>
      </x:c>
      <x:c r="B2152" s="26" t="n">
        <x:v>2026</x:v>
      </x:c>
      <x:c r="C2152" s="26" t="str">
        <x:v>41067916</x:v>
      </x:c>
      <x:c r="D2152" s="28" t="str">
        <x:v>Maternal ADHD Diagnoses Before and After Childbirth: A Danish Population-Based Cohort Study.</x:v>
      </x:c>
      <x:c r="E2152" s="28" t="str">
        <x:v>Primary study - cohort</x:v>
      </x:c>
      <x:c r="F2152" s="28" t="str">
        <x:v>Development &amp; presentation; Recognition &amp; diagnosis; Social &amp; structural; Environmental &amp; lifestyle; Treatment &amp; support</x:v>
      </x:c>
      <x:c r="G2152" s="28" t="str">
        <x:v>Adulthood</x:v>
      </x:c>
      <x:c r="H2152" s="28" t="str">
        <x:v>Batch 1 core</x:v>
      </x:c>
      <x:c r="I2152" s="28" t="str">
        <x:v>Direct ADHD primary study on diagnosis, family/education, structural conditions, lived experience/outcomes, or environment/lifestyle.</x:v>
      </x:c>
      <x:c r="J2152" s="38" t="e">
        <x:f>HYPERLINK("https://pubmed.ncbi.nlm.nih.gov/"&amp;C2152&amp;"/","Open PubMed")</x:f>
        <x:v>HYPERLINK is not implemented. linkLocation=https://pubmed.ncbi.nlm.nih.gov/41067916/, friendlyName=Open PubMed</x:v>
      </x:c>
    </x:row>
    <x:row r="2153">
      <x:c r="A2153" s="26" t="str">
        <x:v>PUBMED-41067651</x:v>
      </x:c>
      <x:c r="B2153" s="26" t="n">
        <x:v>2026</x:v>
      </x:c>
      <x:c r="C2153" s="26" t="str">
        <x:v>41067651</x:v>
      </x:c>
      <x:c r="D2153" s="28" t="str">
        <x:v>Effects of physical activity on suicidal ideation and sleep disturbances in adolescents with attention-deficit hyperactivity disorder: A randomized controlled trial.</x:v>
      </x:c>
      <x:c r="E2153" s="28" t="str">
        <x:v>Primary study - randomized controlled trial</x:v>
      </x:c>
      <x:c r="F2153" s="28" t="str">
        <x:v>Development &amp; presentation; Recognition &amp; diagnosis; Family &amp; education; Social &amp; structural; Environmental &amp; lifestyle; Treatment &amp; support; Life outcomes &amp; lived experience</x:v>
      </x:c>
      <x:c r="G2153" s="28" t="str">
        <x:v>Adolescence</x:v>
      </x:c>
      <x:c r="H2153" s="28" t="str">
        <x:v>Later specialized</x:v>
      </x:c>
      <x:c r="I2153" s="28" t="str">
        <x:v>Direct or strongly ADHD-related record retained for later screening; typically narrower treatment, biomarker, mechanistic, or single-comorbidity focus.</x:v>
      </x:c>
      <x:c r="J2153" s="38" t="e">
        <x:f>HYPERLINK("https://pubmed.ncbi.nlm.nih.gov/"&amp;C2153&amp;"/","Open PubMed")</x:f>
        <x:v>HYPERLINK is not implemented. linkLocation=https://pubmed.ncbi.nlm.nih.gov/41067651/, friendlyName=Open PubMed</x:v>
      </x:c>
    </x:row>
    <x:row r="2154">
      <x:c r="A2154" s="26" t="str">
        <x:v>PUBMED-41067636</x:v>
      </x:c>
      <x:c r="B2154" s="26" t="n">
        <x:v>2026</x:v>
      </x:c>
      <x:c r="C2154" s="26" t="str">
        <x:v>41067636</x:v>
      </x:c>
      <x:c r="D2154" s="28" t="str">
        <x:v>Limbic System White Matter in Children and Adolescents With Attention-Deficit/Hyperactivity Disorder: A Longitudinal Diffusion Magnetic Resonance Imaging Analysis.</x:v>
      </x:c>
      <x:c r="E2154" s="28" t="str">
        <x:v>Primary/contextual journal article</x:v>
      </x:c>
      <x:c r="F2154" s="28" t="str">
        <x:v>Development &amp; presentation; Recognition &amp; diagnosis; Social &amp; structural</x:v>
      </x:c>
      <x:c r="G2154" s="28" t="str">
        <x:v>Childhood; Adolescence</x:v>
      </x:c>
      <x:c r="H2154" s="28" t="str">
        <x:v>Later specialized</x:v>
      </x:c>
      <x:c r="I2154" s="28" t="str">
        <x:v>Direct or strongly ADHD-related record retained for later screening; typically narrower treatment, biomarker, mechanistic, or single-comorbidity focus.</x:v>
      </x:c>
      <x:c r="J2154" s="38" t="e">
        <x:f>HYPERLINK("https://pubmed.ncbi.nlm.nih.gov/"&amp;C2154&amp;"/","Open PubMed")</x:f>
        <x:v>HYPERLINK is not implemented. linkLocation=https://pubmed.ncbi.nlm.nih.gov/41067636/, friendlyName=Open PubMed</x:v>
      </x:c>
    </x:row>
    <x:row r="2155">
      <x:c r="A2155" s="26" t="str">
        <x:v>PUBMED-41028231</x:v>
      </x:c>
      <x:c r="B2155" s="26" t="n">
        <x:v>2026</x:v>
      </x:c>
      <x:c r="C2155" s="26" t="str">
        <x:v>41028231</x:v>
      </x:c>
      <x:c r="D2155" s="28" t="str">
        <x:v>From symptom-based heterogeneity to mechanism-based profiling in youth ADHD: the promise of computational psychiatry.</x:v>
      </x:c>
      <x:c r="E2155" s="28" t="str">
        <x:v>Evidence synthesis - review</x:v>
      </x:c>
      <x:c r="F2155" s="28" t="str">
        <x:v>Development &amp; presentation; Recognition &amp; diagnosis; Social &amp; structural; Environmental &amp; lifestyle; Treatment &amp; support</x:v>
      </x:c>
      <x:c r="G2155" s="28" t="str">
        <x:v>Not specified</x:v>
      </x:c>
      <x:c r="H2155" s="28" t="str">
        <x:v>Later specialized</x:v>
      </x:c>
      <x:c r="I2155" s="28" t="str">
        <x:v>Direct or strongly ADHD-related record retained for later screening; typically narrower treatment, biomarker, mechanistic, or single-comorbidity focus.</x:v>
      </x:c>
      <x:c r="J2155" s="38" t="e">
        <x:f>HYPERLINK("https://pubmed.ncbi.nlm.nih.gov/"&amp;C2155&amp;"/","Open PubMed")</x:f>
        <x:v>HYPERLINK is not implemented. linkLocation=https://pubmed.ncbi.nlm.nih.gov/41028231/, friendlyName=Open PubMed</x:v>
      </x:c>
    </x:row>
    <x:row r="2156">
      <x:c r="A2156" s="26" t="str">
        <x:v>PUBMED-40994033</x:v>
      </x:c>
      <x:c r="B2156" s="26" t="n">
        <x:v>2026</x:v>
      </x:c>
      <x:c r="C2156" s="26" t="str">
        <x:v>40994033</x:v>
      </x:c>
      <x:c r="D2156" s="28" t="str">
        <x:v>Identifying Latent Cognitive Profiles in Autism Spectrum Disorder and Attention-Deficit/Hyperactivity Disorder Using the Stanford-Binet Intelligence Scales-5th Edition.</x:v>
      </x:c>
      <x:c r="E2156" s="28" t="str">
        <x:v>Primary/contextual journal article</x:v>
      </x:c>
      <x:c r="F2156" s="28" t="str">
        <x:v>Development &amp; presentation; Recognition &amp; diagnosis; Family &amp; education; Social &amp; structural; Treatment &amp; support; Life outcomes &amp; lived experience</x:v>
      </x:c>
      <x:c r="G2156" s="28" t="str">
        <x:v>Childhood; Adolescence</x:v>
      </x:c>
      <x:c r="H2156" s="28" t="str">
        <x:v>Later specialized</x:v>
      </x:c>
      <x:c r="I2156" s="28" t="str">
        <x:v>Direct or strongly ADHD-related record retained for later screening; typically narrower treatment, biomarker, mechanistic, or single-comorbidity focus.</x:v>
      </x:c>
      <x:c r="J2156" s="38" t="e">
        <x:f>HYPERLINK("https://pubmed.ncbi.nlm.nih.gov/"&amp;C2156&amp;"/","Open PubMed")</x:f>
        <x:v>HYPERLINK is not implemented. linkLocation=https://pubmed.ncbi.nlm.nih.gov/40994033/, friendlyName=Open PubMed</x:v>
      </x:c>
    </x:row>
    <x:row r="2157">
      <x:c r="A2157" s="26" t="str">
        <x:v>PUBMED-40992585</x:v>
      </x:c>
      <x:c r="B2157" s="26" t="n">
        <x:v>2026</x:v>
      </x:c>
      <x:c r="C2157" s="26" t="str">
        <x:v>40992585</x:v>
      </x:c>
      <x:c r="D2157" s="28" t="str">
        <x:v>Genetic Susceptibility to Neurodevelopmental Conditions Is Associated With Neonatal DNA Methylation Patterns in the General Population: An Individual Participant Data Meta-Analysis.</x:v>
      </x:c>
      <x:c r="E2157" s="28" t="str">
        <x:v>Evidence synthesis - meta-analysis</x:v>
      </x:c>
      <x:c r="F2157" s="28" t="str">
        <x:v>Development &amp; presentation; Family &amp; education; Social &amp; structural; Environmental &amp; lifestyle; Life outcomes &amp; lived experience</x:v>
      </x:c>
      <x:c r="G2157" s="28" t="str">
        <x:v>Childhood; Adolescence</x:v>
      </x:c>
      <x:c r="H2157" s="28" t="str">
        <x:v>Later specialized</x:v>
      </x:c>
      <x:c r="I2157" s="28" t="str">
        <x:v>Direct or strongly ADHD-related record retained for later screening; typically narrower treatment, biomarker, mechanistic, or single-comorbidity focus.</x:v>
      </x:c>
      <x:c r="J2157" s="38" t="e">
        <x:f>HYPERLINK("https://pubmed.ncbi.nlm.nih.gov/"&amp;C2157&amp;"/","Open PubMed")</x:f>
        <x:v>HYPERLINK is not implemented. linkLocation=https://pubmed.ncbi.nlm.nih.gov/40992585/, friendlyName=Open PubMed</x:v>
      </x:c>
    </x:row>
    <x:row r="2158">
      <x:c r="A2158" s="26" t="str">
        <x:v>PUBMED-40973112</x:v>
      </x:c>
      <x:c r="B2158" s="26" t="n">
        <x:v>2026</x:v>
      </x:c>
      <x:c r="C2158" s="26" t="str">
        <x:v>40973112</x:v>
      </x:c>
      <x:c r="D2158" s="28" t="str">
        <x:v>Epidemiology and Cognitive Function in Adults with ADHD and Cognitive Disengagement Syndrome.</x:v>
      </x:c>
      <x:c r="E2158" s="28" t="str">
        <x:v>Primary/contextual journal article</x:v>
      </x:c>
      <x:c r="F2158" s="28" t="str">
        <x:v>Development &amp; presentation; Recognition &amp; diagnosis; Social &amp; structural; Life outcomes &amp; lived experience</x:v>
      </x:c>
      <x:c r="G2158" s="28" t="str">
        <x:v>Adolescence; Adulthood</x:v>
      </x:c>
      <x:c r="H2158" s="28" t="str">
        <x:v>Later specialized</x:v>
      </x:c>
      <x:c r="I2158" s="28" t="str">
        <x:v>Direct or strongly ADHD-related record retained for later screening; typically narrower treatment, biomarker, mechanistic, or single-comorbidity focus.</x:v>
      </x:c>
      <x:c r="J2158" s="38" t="e">
        <x:f>HYPERLINK("https://pubmed.ncbi.nlm.nih.gov/"&amp;C2158&amp;"/","Open PubMed")</x:f>
        <x:v>HYPERLINK is not implemented. linkLocation=https://pubmed.ncbi.nlm.nih.gov/40973112/, friendlyName=Open PubMed</x:v>
      </x:c>
    </x:row>
    <x:row r="2159">
      <x:c r="A2159" s="26" t="str">
        <x:v>PUBMED-40971241</x:v>
      </x:c>
      <x:c r="B2159" s="26" t="n">
        <x:v>2026</x:v>
      </x:c>
      <x:c r="C2159" s="26" t="str">
        <x:v>40971241</x:v>
      </x:c>
      <x:c r="D2159" s="28" t="str">
        <x:v>Self-directed speech and attention deficit hyperactive disorder-like behaviours.</x:v>
      </x:c>
      <x:c r="E2159" s="28" t="str">
        <x:v>Primary/contextual journal article</x:v>
      </x:c>
      <x:c r="F2159" s="28" t="str">
        <x:v>Development &amp; presentation; Recognition &amp; diagnosis; Social &amp; structural</x:v>
      </x:c>
      <x:c r="G2159" s="28" t="str">
        <x:v>Adolescence; Adulthood</x:v>
      </x:c>
      <x:c r="H2159" s="28" t="str">
        <x:v>Later specialized</x:v>
      </x:c>
      <x:c r="I2159" s="28" t="str">
        <x:v>Direct or strongly ADHD-related record retained for later screening; typically narrower treatment, biomarker, mechanistic, or single-comorbidity focus.</x:v>
      </x:c>
      <x:c r="J2159" s="38" t="e">
        <x:f>HYPERLINK("https://pubmed.ncbi.nlm.nih.gov/"&amp;C2159&amp;"/","Open PubMed")</x:f>
        <x:v>HYPERLINK is not implemented. linkLocation=https://pubmed.ncbi.nlm.nih.gov/40971241/, friendlyName=Open PubMed</x:v>
      </x:c>
    </x:row>
    <x:row r="2160">
      <x:c r="A2160" s="26" t="str">
        <x:v>PUBMED-40970542</x:v>
      </x:c>
      <x:c r="B2160" s="26" t="n">
        <x:v>2026</x:v>
      </x:c>
      <x:c r="C2160" s="26" t="str">
        <x:v>40970542</x:v>
      </x:c>
      <x:c r="D2160" s="28" t="str">
        <x:v>Improving Procedure Completion and Engagement of Neurodivergent Patients in Medical Imaging: A Systematic Review.</x:v>
      </x:c>
      <x:c r="E2160" s="28" t="str">
        <x:v>Evidence synthesis - systematic review</x:v>
      </x:c>
      <x:c r="F2160" s="28" t="str">
        <x:v>Development &amp; presentation; Recognition &amp; diagnosis; Social &amp; structural; Environmental &amp; lifestyle; Historical &amp; contemporary context</x:v>
      </x:c>
      <x:c r="G2160" s="28" t="str">
        <x:v>Not specified</x:v>
      </x:c>
      <x:c r="H2160" s="28" t="str">
        <x:v>Later specialized</x:v>
      </x:c>
      <x:c r="I2160" s="28" t="str">
        <x:v>Direct or strongly ADHD-related record retained for later screening; typically narrower treatment, biomarker, mechanistic, or single-comorbidity focus.</x:v>
      </x:c>
      <x:c r="J2160" s="38" t="e">
        <x:f>HYPERLINK("https://pubmed.ncbi.nlm.nih.gov/"&amp;C2160&amp;"/","Open PubMed")</x:f>
        <x:v>HYPERLINK is not implemented. linkLocation=https://pubmed.ncbi.nlm.nih.gov/40970542/, friendlyName=Open PubMed</x:v>
      </x:c>
    </x:row>
    <x:row r="2161">
      <x:c r="A2161" s="26" t="str">
        <x:v>PUBMED-40965644</x:v>
      </x:c>
      <x:c r="B2161" s="26" t="n">
        <x:v>2026</x:v>
      </x:c>
      <x:c r="C2161" s="26" t="str">
        <x:v>40965644</x:v>
      </x:c>
      <x:c r="D2161" s="28" t="str">
        <x:v>Parental education level and ADHD diagnosis in childhood and adolescence: the moderating roles of gender, age, and family history of ADHD.</x:v>
      </x:c>
      <x:c r="E2161" s="28" t="str">
        <x:v>Primary/contextual journal article</x:v>
      </x:c>
      <x:c r="F2161" s="28" t="str">
        <x:v>Development &amp; presentation; Recognition &amp; diagnosis; Family &amp; education; Social &amp; structural; Treatment &amp; support; Historical &amp; contemporary context</x:v>
      </x:c>
      <x:c r="G2161" s="28" t="str">
        <x:v>Childhood; Adolescence</x:v>
      </x:c>
      <x:c r="H2161" s="28" t="str">
        <x:v>Later specialized</x:v>
      </x:c>
      <x:c r="I2161" s="28" t="str">
        <x:v>Direct or strongly ADHD-related record retained for later screening; typically narrower treatment, biomarker, mechanistic, or single-comorbidity focus.</x:v>
      </x:c>
      <x:c r="J2161" s="38" t="e">
        <x:f>HYPERLINK("https://pubmed.ncbi.nlm.nih.gov/"&amp;C2161&amp;"/","Open PubMed")</x:f>
        <x:v>HYPERLINK is not implemented. linkLocation=https://pubmed.ncbi.nlm.nih.gov/40965644/, friendlyName=Open PubMed</x:v>
      </x:c>
    </x:row>
    <x:row r="2162">
      <x:c r="A2162" s="26" t="str">
        <x:v>PUBMED-40960503</x:v>
      </x:c>
      <x:c r="B2162" s="26" t="n">
        <x:v>2026</x:v>
      </x:c>
      <x:c r="C2162" s="26" t="str">
        <x:v>40960503</x:v>
      </x:c>
      <x:c r="D2162" s="28" t="str">
        <x:v>Autism spectrum traits in adults with attention-deficit/hyperactivity disorder (ADHD): a hidden multifaceted phenotype marked by affective comorbidity, emotional dysregulation, and chronobiological disturbances.</x:v>
      </x:c>
      <x:c r="E2162" s="28" t="str">
        <x:v>Primary/contextual journal article</x:v>
      </x:c>
      <x:c r="F2162" s="28" t="str">
        <x:v>Development &amp; presentation; Recognition &amp; diagnosis; Social &amp; structural; Life outcomes &amp; lived experience</x:v>
      </x:c>
      <x:c r="G2162" s="28" t="str">
        <x:v>Childhood; Adulthood</x:v>
      </x:c>
      <x:c r="H2162" s="28" t="str">
        <x:v>Later specialized</x:v>
      </x:c>
      <x:c r="I2162" s="28" t="str">
        <x:v>Direct or strongly ADHD-related record retained for later screening; typically narrower treatment, biomarker, mechanistic, or single-comorbidity focus.</x:v>
      </x:c>
      <x:c r="J2162" s="38" t="e">
        <x:f>HYPERLINK("https://pubmed.ncbi.nlm.nih.gov/"&amp;C2162&amp;"/","Open PubMed")</x:f>
        <x:v>HYPERLINK is not implemented. linkLocation=https://pubmed.ncbi.nlm.nih.gov/40960503/, friendlyName=Open PubMed</x:v>
      </x:c>
    </x:row>
    <x:row r="2163">
      <x:c r="A2163" s="26" t="str">
        <x:v>PUBMED-40958202</x:v>
      </x:c>
      <x:c r="B2163" s="26" t="n">
        <x:v>2026</x:v>
      </x:c>
      <x:c r="C2163" s="26" t="str">
        <x:v>40958202</x:v>
      </x:c>
      <x:c r="D2163" s="28" t="str">
        <x:v>Construct Validity of the Perceived Stress Scale 4 in a Norwegian Adult ADHD Community Population.</x:v>
      </x:c>
      <x:c r="E2163" s="28" t="str">
        <x:v>Primary/contextual journal article</x:v>
      </x:c>
      <x:c r="F2163" s="28" t="str">
        <x:v>Development &amp; presentation; Recognition &amp; diagnosis; Social &amp; structural; Environmental &amp; lifestyle; Life outcomes &amp; lived experience</x:v>
      </x:c>
      <x:c r="G2163" s="28" t="str">
        <x:v>Adulthood</x:v>
      </x:c>
      <x:c r="H2163" s="28" t="str">
        <x:v>Later specialized</x:v>
      </x:c>
      <x:c r="I2163" s="28" t="str">
        <x:v>Direct or strongly ADHD-related record retained for later screening; typically narrower treatment, biomarker, mechanistic, or single-comorbidity focus.</x:v>
      </x:c>
      <x:c r="J2163" s="38" t="e">
        <x:f>HYPERLINK("https://pubmed.ncbi.nlm.nih.gov/"&amp;C2163&amp;"/","Open PubMed")</x:f>
        <x:v>HYPERLINK is not implemented. linkLocation=https://pubmed.ncbi.nlm.nih.gov/40958202/, friendlyName=Open PubMed</x:v>
      </x:c>
    </x:row>
    <x:row r="2164">
      <x:c r="A2164" s="26" t="str">
        <x:v>PUBMED-40957183</x:v>
      </x:c>
      <x:c r="B2164" s="26" t="n">
        <x:v>2026</x:v>
      </x:c>
      <x:c r="C2164" s="26" t="str">
        <x:v>40957183</x:v>
      </x:c>
      <x:c r="D2164" s="28" t="str">
        <x:v>Maternal anthropometric measurements in pregnancy and child neurocognitive and behavioral development at 1 and 6 years of age: A cohort study in Benin, Sub-Saharan Africa.</x:v>
      </x:c>
      <x:c r="E2164" s="28" t="str">
        <x:v>Primary study - cohort</x:v>
      </x:c>
      <x:c r="F2164" s="28" t="str">
        <x:v>Development &amp; presentation; Family &amp; education; Social &amp; structural; Environmental &amp; lifestyle; Treatment &amp; support</x:v>
      </x:c>
      <x:c r="G2164" s="28" t="str">
        <x:v>Childhood; Adulthood</x:v>
      </x:c>
      <x:c r="H2164" s="28" t="str">
        <x:v>Exclude/incidental</x:v>
      </x:c>
      <x:c r="I2164" s="28" t="str">
        <x:v>ADHD appears peripheral or insufficiently aligned with the requested corpus scope based on accessible metadata/abstract.</x:v>
      </x:c>
      <x:c r="J2164" s="38" t="e">
        <x:f>HYPERLINK("https://pubmed.ncbi.nlm.nih.gov/"&amp;C2164&amp;"/","Open PubMed")</x:f>
        <x:v>HYPERLINK is not implemented. linkLocation=https://pubmed.ncbi.nlm.nih.gov/40957183/, friendlyName=Open PubMed</x:v>
      </x:c>
    </x:row>
    <x:row r="2165">
      <x:c r="A2165" s="26" t="str">
        <x:v>PUBMED-40934870</x:v>
      </x:c>
      <x:c r="B2165" s="26" t="n">
        <x:v>2026</x:v>
      </x:c>
      <x:c r="C2165" s="26" t="str">
        <x:v>40934870</x:v>
      </x:c>
      <x:c r="D2165" s="28" t="str">
        <x:v>ADHD Comorbidity in Women with Depression and Anxiety: Prevalence, Clinical Features and Hyperfocus Dynamics.</x:v>
      </x:c>
      <x:c r="E2165" s="28" t="str">
        <x:v>Primary/contextual journal article</x:v>
      </x:c>
      <x:c r="F2165" s="28" t="str">
        <x:v>Development &amp; presentation; Recognition &amp; diagnosis; Social &amp; structural; Treatment &amp; support</x:v>
      </x:c>
      <x:c r="G2165" s="28" t="str">
        <x:v>Adulthood</x:v>
      </x:c>
      <x:c r="H2165" s="28" t="str">
        <x:v>Later specialized</x:v>
      </x:c>
      <x:c r="I2165" s="28" t="str">
        <x:v>Direct or strongly ADHD-related record retained for later screening; typically narrower treatment, biomarker, mechanistic, or single-comorbidity focus.</x:v>
      </x:c>
      <x:c r="J2165" s="38" t="e">
        <x:f>HYPERLINK("https://pubmed.ncbi.nlm.nih.gov/"&amp;C2165&amp;"/","Open PubMed")</x:f>
        <x:v>HYPERLINK is not implemented. linkLocation=https://pubmed.ncbi.nlm.nih.gov/40934870/, friendlyName=Open PubMed</x:v>
      </x:c>
    </x:row>
    <x:row r="2166">
      <x:c r="A2166" s="26" t="str">
        <x:v>PUBMED-40902009</x:v>
      </x:c>
      <x:c r="B2166" s="26" t="n">
        <x:v>2026</x:v>
      </x:c>
      <x:c r="C2166" s="26" t="str">
        <x:v>40902009</x:v>
      </x:c>
      <x:c r="D2166" s="28" t="str">
        <x:v>Attention-deficit/hyperactivity disorder, sleep disturbances, and body mass index in college students.</x:v>
      </x:c>
      <x:c r="E2166" s="28" t="str">
        <x:v>Primary/contextual journal article</x:v>
      </x:c>
      <x:c r="F2166" s="28" t="str">
        <x:v>Development &amp; presentation; Recognition &amp; diagnosis; Social &amp; structural; Environmental &amp; lifestyle; Life outcomes &amp; lived experience</x:v>
      </x:c>
      <x:c r="G2166" s="28" t="str">
        <x:v>Adolescence; Adulthood</x:v>
      </x:c>
      <x:c r="H2166" s="28" t="str">
        <x:v>Later specialized</x:v>
      </x:c>
      <x:c r="I2166" s="28" t="str">
        <x:v>Direct or strongly ADHD-related record retained for later screening; typically narrower treatment, biomarker, mechanistic, or single-comorbidity focus.</x:v>
      </x:c>
      <x:c r="J2166" s="38" t="e">
        <x:f>HYPERLINK("https://pubmed.ncbi.nlm.nih.gov/"&amp;C2166&amp;"/","Open PubMed")</x:f>
        <x:v>HYPERLINK is not implemented. linkLocation=https://pubmed.ncbi.nlm.nih.gov/40902009/, friendlyName=Open PubMed</x:v>
      </x:c>
    </x:row>
    <x:row r="2167">
      <x:c r="A2167" s="26" t="str">
        <x:v>PUBMED-40900172</x:v>
      </x:c>
      <x:c r="B2167" s="26" t="n">
        <x:v>2026</x:v>
      </x:c>
      <x:c r="C2167" s="26" t="str">
        <x:v>40900172</x:v>
      </x:c>
      <x:c r="D2167" s="28" t="str">
        <x:v>Duration effects of micronutrients in children with ADHD: Randomised controlled trial vs. Open-Label extension.</x:v>
      </x:c>
      <x:c r="E2167" s="28" t="str">
        <x:v>Primary study - randomized controlled trial</x:v>
      </x:c>
      <x:c r="F2167" s="28" t="str">
        <x:v>Development &amp; presentation; Recognition &amp; diagnosis; Family &amp; education; Social &amp; structural; Environmental &amp; lifestyle; Treatment &amp; support; Life outcomes &amp; lived experience</x:v>
      </x:c>
      <x:c r="G2167" s="28" t="str">
        <x:v>Childhood</x:v>
      </x:c>
      <x:c r="H2167" s="28" t="str">
        <x:v>Later specialized</x:v>
      </x:c>
      <x:c r="I2167" s="28" t="str">
        <x:v>Direct or strongly ADHD-related record retained for later screening; typically narrower treatment, biomarker, mechanistic, or single-comorbidity focus.</x:v>
      </x:c>
      <x:c r="J2167" s="38" t="e">
        <x:f>HYPERLINK("https://pubmed.ncbi.nlm.nih.gov/"&amp;C2167&amp;"/","Open PubMed")</x:f>
        <x:v>HYPERLINK is not implemented. linkLocation=https://pubmed.ncbi.nlm.nih.gov/40900172/, friendlyName=Open PubMed</x:v>
      </x:c>
    </x:row>
    <x:row r="2168">
      <x:c r="A2168" s="26" t="str">
        <x:v>PUBMED-40898607</x:v>
      </x:c>
      <x:c r="B2168" s="26" t="n">
        <x:v>2026</x:v>
      </x:c>
      <x:c r="C2168" s="26" t="str">
        <x:v>40898607</x:v>
      </x:c>
      <x:c r="D2168" s="28" t="str">
        <x:v>Maternal Acetaminophen Use and Offspring's Neurodevelopmental Outcome: A Nationwide Birth Cohort Study.</x:v>
      </x:c>
      <x:c r="E2168" s="28" t="str">
        <x:v>Primary study - cohort</x:v>
      </x:c>
      <x:c r="F2168" s="28" t="str">
        <x:v>Development &amp; presentation; Recognition &amp; diagnosis; Family &amp; education; Social &amp; structural; Environmental &amp; lifestyle; Treatment &amp; support; Life outcomes &amp; lived experience</x:v>
      </x:c>
      <x:c r="G2168" s="28" t="str">
        <x:v>Childhood; Adulthood</x:v>
      </x:c>
      <x:c r="H2168" s="28" t="str">
        <x:v>Later specialized</x:v>
      </x:c>
      <x:c r="I2168" s="28" t="str">
        <x:v>Direct or strongly ADHD-related record retained for later screening; typically narrower treatment, biomarker, mechanistic, or single-comorbidity focus.</x:v>
      </x:c>
      <x:c r="J2168" s="38" t="e">
        <x:f>HYPERLINK("https://pubmed.ncbi.nlm.nih.gov/"&amp;C2168&amp;"/","Open PubMed")</x:f>
        <x:v>HYPERLINK is not implemented. linkLocation=https://pubmed.ncbi.nlm.nih.gov/40898607/, friendlyName=Open PubMed</x:v>
      </x:c>
    </x:row>
    <x:row r="2169">
      <x:c r="A2169" s="26" t="str">
        <x:v>PUBMED-40880228</x:v>
      </x:c>
      <x:c r="B2169" s="26" t="n">
        <x:v>2026</x:v>
      </x:c>
      <x:c r="C2169" s="26" t="str">
        <x:v>40880228</x:v>
      </x:c>
      <x:c r="D2169" s="28" t="str">
        <x:v>From Assessment to Intervention: Leveraging Ecological Momentary Assessment (EMA) to Develop a Personalized mobile-health (mHealth) Ecological Momentary Intervention (EMI) for Young Adults With ADHD and High-Risk Alcohol Use.</x:v>
      </x:c>
      <x:c r="E2169" s="28" t="str">
        <x:v>Primary/contextual journal article</x:v>
      </x:c>
      <x:c r="F2169" s="28" t="str">
        <x:v>Development &amp; presentation; Recognition &amp; diagnosis; Social &amp; structural; Environmental &amp; lifestyle; Treatment &amp; support</x:v>
      </x:c>
      <x:c r="G2169" s="28" t="str">
        <x:v>Adulthood</x:v>
      </x:c>
      <x:c r="H2169" s="28" t="str">
        <x:v>Later specialized</x:v>
      </x:c>
      <x:c r="I2169" s="28" t="str">
        <x:v>Direct or strongly ADHD-related record retained for later screening; typically narrower treatment, biomarker, mechanistic, or single-comorbidity focus.</x:v>
      </x:c>
      <x:c r="J2169" s="38" t="e">
        <x:f>HYPERLINK("https://pubmed.ncbi.nlm.nih.gov/"&amp;C2169&amp;"/","Open PubMed")</x:f>
        <x:v>HYPERLINK is not implemented. linkLocation=https://pubmed.ncbi.nlm.nih.gov/40880228/, friendlyName=Open PubMed</x:v>
      </x:c>
    </x:row>
    <x:row r="2170">
      <x:c r="A2170" s="26" t="str">
        <x:v>PUBMED-40879767</x:v>
      </x:c>
      <x:c r="B2170" s="26" t="n">
        <x:v>2026</x:v>
      </x:c>
      <x:c r="C2170" s="26" t="str">
        <x:v>40879767</x:v>
      </x:c>
      <x:c r="D2170" s="28" t="str">
        <x:v>Patient characteristics' moderation of multinutrients treatment response in school-age children with attention deficit hyperactivity disorder.</x:v>
      </x:c>
      <x:c r="E2170" s="28" t="str">
        <x:v>Primary study - randomized controlled trial</x:v>
      </x:c>
      <x:c r="F2170" s="28" t="str">
        <x:v>Development &amp; presentation; Recognition &amp; diagnosis; Family &amp; education; Social &amp; structural; Environmental &amp; lifestyle; Treatment &amp; support; Life outcomes &amp; lived experience; Historical &amp; contemporary context</x:v>
      </x:c>
      <x:c r="G2170" s="28" t="str">
        <x:v>Childhood; Adolescence</x:v>
      </x:c>
      <x:c r="H2170" s="28" t="str">
        <x:v>Later specialized</x:v>
      </x:c>
      <x:c r="I2170" s="28" t="str">
        <x:v>Direct or strongly ADHD-related record retained for later screening; typically narrower treatment, biomarker, mechanistic, or single-comorbidity focus.</x:v>
      </x:c>
      <x:c r="J2170" s="38" t="e">
        <x:f>HYPERLINK("https://pubmed.ncbi.nlm.nih.gov/"&amp;C2170&amp;"/","Open PubMed")</x:f>
        <x:v>HYPERLINK is not implemented. linkLocation=https://pubmed.ncbi.nlm.nih.gov/40879767/, friendlyName=Open PubMed</x:v>
      </x:c>
    </x:row>
    <x:row r="2171">
      <x:c r="A2171" s="26" t="str">
        <x:v>PUBMED-40853385</x:v>
      </x:c>
      <x:c r="B2171" s="26" t="n">
        <x:v>2026</x:v>
      </x:c>
      <x:c r="C2171" s="26" t="str">
        <x:v>40853385</x:v>
      </x:c>
      <x:c r="D2171" s="28" t="str">
        <x:v>Illicit substance use and attention deficit hyperactivity disorder symptoms among French university students: a multiple correspondence analysis and a cluster analysis.</x:v>
      </x:c>
      <x:c r="E2171" s="28" t="str">
        <x:v>Primary study - cross-sectional</x:v>
      </x:c>
      <x:c r="F2171" s="28" t="str">
        <x:v>Development &amp; presentation; Treatment &amp; support; Life outcomes &amp; lived experience</x:v>
      </x:c>
      <x:c r="G2171" s="28" t="str">
        <x:v>Adolescence; Adulthood</x:v>
      </x:c>
      <x:c r="H2171" s="28" t="str">
        <x:v>Later specialized</x:v>
      </x:c>
      <x:c r="I2171" s="28" t="str">
        <x:v>Direct or strongly ADHD-related record retained for later screening; typically narrower treatment, biomarker, mechanistic, or single-comorbidity focus.</x:v>
      </x:c>
      <x:c r="J2171" s="38" t="e">
        <x:f>HYPERLINK("https://pubmed.ncbi.nlm.nih.gov/"&amp;C2171&amp;"/","Open PubMed")</x:f>
        <x:v>HYPERLINK is not implemented. linkLocation=https://pubmed.ncbi.nlm.nih.gov/40853385/, friendlyName=Open PubMed</x:v>
      </x:c>
    </x:row>
    <x:row r="2172">
      <x:c r="A2172" s="26" t="str">
        <x:v>PUBMED-40848947</x:v>
      </x:c>
      <x:c r="B2172" s="26" t="n">
        <x:v>2026</x:v>
      </x:c>
      <x:c r="C2172" s="26" t="str">
        <x:v>40848947</x:v>
      </x:c>
      <x:c r="D2172" s="28" t="str">
        <x:v>Editorial: The Promise of Precision Medicine in Pediatric Attention-Deficit/Hyperactivity Disorder.</x:v>
      </x:c>
      <x:c r="E2172" s="28" t="str">
        <x:v>Contextual - editorial/comment</x:v>
      </x:c>
      <x:c r="F2172" s="28" t="str">
        <x:v>Development &amp; presentation; Recognition &amp; diagnosis; Family &amp; education; Social &amp; structural; Treatment &amp; support; Life outcomes &amp; lived experience</x:v>
      </x:c>
      <x:c r="G2172" s="28" t="str">
        <x:v>Childhood; Adolescence; Adulthood</x:v>
      </x:c>
      <x:c r="H2172" s="28" t="str">
        <x:v>Later specialized</x:v>
      </x:c>
      <x:c r="I2172" s="28" t="str">
        <x:v>Direct or strongly ADHD-related record retained for later screening; typically narrower treatment, biomarker, mechanistic, or single-comorbidity focus.</x:v>
      </x:c>
      <x:c r="J2172" s="38" t="e">
        <x:f>HYPERLINK("https://pubmed.ncbi.nlm.nih.gov/"&amp;C2172&amp;"/","Open PubMed")</x:f>
        <x:v>HYPERLINK is not implemented. linkLocation=https://pubmed.ncbi.nlm.nih.gov/40848947/, friendlyName=Open PubMed</x:v>
      </x:c>
    </x:row>
    <x:row r="2173">
      <x:c r="A2173" s="26" t="str">
        <x:v>PUBMED-40847920</x:v>
      </x:c>
      <x:c r="B2173" s="26" t="n">
        <x:v>2026</x:v>
      </x:c>
      <x:c r="C2173" s="26" t="str">
        <x:v>40847920</x:v>
      </x:c>
      <x:c r="D2173" s="28" t="str">
        <x:v>Movement difficulties in children with neurodevelopmental disorders: considering a transdiagnostic approach to classification.</x:v>
      </x:c>
      <x:c r="E2173" s="28" t="str">
        <x:v>Primary/contextual journal article</x:v>
      </x:c>
      <x:c r="F2173" s="28" t="str">
        <x:v>Development &amp; presentation; Recognition &amp; diagnosis; Family &amp; education; Social &amp; structural</x:v>
      </x:c>
      <x:c r="G2173" s="28" t="str">
        <x:v>Childhood; Adolescence</x:v>
      </x:c>
      <x:c r="H2173" s="28" t="str">
        <x:v>Later specialized</x:v>
      </x:c>
      <x:c r="I2173" s="28" t="str">
        <x:v>Direct or strongly ADHD-related record retained for later screening; typically narrower treatment, biomarker, mechanistic, or single-comorbidity focus.</x:v>
      </x:c>
      <x:c r="J2173" s="38" t="e">
        <x:f>HYPERLINK("https://pubmed.ncbi.nlm.nih.gov/"&amp;C2173&amp;"/","Open PubMed")</x:f>
        <x:v>HYPERLINK is not implemented. linkLocation=https://pubmed.ncbi.nlm.nih.gov/40847920/, friendlyName=Open PubMed</x:v>
      </x:c>
    </x:row>
    <x:row r="2174">
      <x:c r="A2174" s="26" t="str">
        <x:v>PUBMED-40839072</x:v>
      </x:c>
      <x:c r="B2174" s="26" t="n">
        <x:v>2026</x:v>
      </x:c>
      <x:c r="C2174" s="26" t="str">
        <x:v>40839072</x:v>
      </x:c>
      <x:c r="D2174" s="28" t="str">
        <x:v>Guanfacine intoxication in a young child presenting with prolonged somnolence and sinus bradycardia: a case report.</x:v>
      </x:c>
      <x:c r="E2174" s="28" t="str">
        <x:v>Primary/contextual journal article</x:v>
      </x:c>
      <x:c r="F2174" s="28" t="str">
        <x:v>Development &amp; presentation; Recognition &amp; diagnosis; Social &amp; structural; Treatment &amp; support; Historical &amp; contemporary context</x:v>
      </x:c>
      <x:c r="G2174" s="28" t="str">
        <x:v>Childhood</x:v>
      </x:c>
      <x:c r="H2174" s="28" t="str">
        <x:v>Exclude/incidental</x:v>
      </x:c>
      <x:c r="I2174" s="28" t="str">
        <x:v>ADHD appears peripheral or insufficiently aligned with the requested corpus scope based on accessible metadata/abstract.</x:v>
      </x:c>
      <x:c r="J2174" s="38" t="e">
        <x:f>HYPERLINK("https://pubmed.ncbi.nlm.nih.gov/"&amp;C2174&amp;"/","Open PubMed")</x:f>
        <x:v>HYPERLINK is not implemented. linkLocation=https://pubmed.ncbi.nlm.nih.gov/40839072/, friendlyName=Open PubMed</x:v>
      </x:c>
    </x:row>
    <x:row r="2175">
      <x:c r="A2175" s="26" t="str">
        <x:v>PUBMED-40801243</x:v>
      </x:c>
      <x:c r="B2175" s="26" t="n">
        <x:v>2026</x:v>
      </x:c>
      <x:c r="C2175" s="26" t="str">
        <x:v>40801243</x:v>
      </x:c>
      <x:c r="D2175" s="28" t="str">
        <x:v>The role of comorbid childhood mental health and neurodevelopmental conditions in the persistence of ADHD symptoms: systematic review and meta-analysis.</x:v>
      </x:c>
      <x:c r="E2175" s="28" t="str">
        <x:v>Evidence synthesis - meta-analysis</x:v>
      </x:c>
      <x:c r="F2175" s="28" t="str">
        <x:v>Development &amp; presentation; Recognition &amp; diagnosis; Family &amp; education; Social &amp; structural</x:v>
      </x:c>
      <x:c r="G2175" s="28" t="str">
        <x:v>Childhood</x:v>
      </x:c>
      <x:c r="H2175" s="28" t="str">
        <x:v>Batch 1 core</x:v>
      </x:c>
      <x:c r="I2175" s="28" t="str">
        <x:v>Direct ADHD evidence synthesis/guideline with broad multi-topic relevance.</x:v>
      </x:c>
      <x:c r="J2175" s="38" t="e">
        <x:f>HYPERLINK("https://pubmed.ncbi.nlm.nih.gov/"&amp;C2175&amp;"/","Open PubMed")</x:f>
        <x:v>HYPERLINK is not implemented. linkLocation=https://pubmed.ncbi.nlm.nih.gov/40801243/, friendlyName=Open PubMed</x:v>
      </x:c>
    </x:row>
    <x:row r="2176">
      <x:c r="A2176" s="26" t="str">
        <x:v>PUBMED-40787724</x:v>
      </x:c>
      <x:c r="B2176" s="26" t="n">
        <x:v>2026</x:v>
      </x:c>
      <x:c r="C2176" s="26" t="str">
        <x:v>40787724</x:v>
      </x:c>
      <x:c r="D2176" s="28" t="str">
        <x:v>Marginalized Identities and Intersectionalities that Contribute to College Students' Mental Health Challenges and Use of Psychological Services.</x:v>
      </x:c>
      <x:c r="E2176" s="28" t="str">
        <x:v>Primary/contextual journal article</x:v>
      </x:c>
      <x:c r="F2176" s="28" t="str">
        <x:v>Development &amp; presentation; Social &amp; structural; Treatment &amp; support</x:v>
      </x:c>
      <x:c r="G2176" s="28" t="str">
        <x:v>Adolescence; Adulthood</x:v>
      </x:c>
      <x:c r="H2176" s="28" t="str">
        <x:v>Later specialized</x:v>
      </x:c>
      <x:c r="I2176" s="28" t="str">
        <x:v>Direct or strongly ADHD-related record retained for later screening; typically narrower treatment, biomarker, mechanistic, or single-comorbidity focus.</x:v>
      </x:c>
      <x:c r="J2176" s="38" t="e">
        <x:f>HYPERLINK("https://pubmed.ncbi.nlm.nih.gov/"&amp;C2176&amp;"/","Open PubMed")</x:f>
        <x:v>HYPERLINK is not implemented. linkLocation=https://pubmed.ncbi.nlm.nih.gov/40787724/, friendlyName=Open PubMed</x:v>
      </x:c>
    </x:row>
    <x:row r="2177">
      <x:c r="A2177" s="26" t="str">
        <x:v>PUBMED-40757988</x:v>
      </x:c>
      <x:c r="B2177" s="26" t="n">
        <x:v>2026</x:v>
      </x:c>
      <x:c r="C2177" s="26" t="str">
        <x:v>40757988</x:v>
      </x:c>
      <x:c r="D2177" s="28" t="str">
        <x:v>Emotion regulation training for adolescents with ADHD: a multiple-baseline single-case experimental study.</x:v>
      </x:c>
      <x:c r="E2177" s="28" t="str">
        <x:v>Primary/contextual journal article</x:v>
      </x:c>
      <x:c r="F2177" s="28" t="str">
        <x:v>Development &amp; presentation; Family &amp; education; Social &amp; structural; Treatment &amp; support; Life outcomes &amp; lived experience</x:v>
      </x:c>
      <x:c r="G2177" s="28" t="str">
        <x:v>Adolescence</x:v>
      </x:c>
      <x:c r="H2177" s="28" t="str">
        <x:v>Later specialized</x:v>
      </x:c>
      <x:c r="I2177" s="28" t="str">
        <x:v>Direct or strongly ADHD-related record retained for later screening; typically narrower treatment, biomarker, mechanistic, or single-comorbidity focus.</x:v>
      </x:c>
      <x:c r="J2177" s="38" t="e">
        <x:f>HYPERLINK("https://pubmed.ncbi.nlm.nih.gov/"&amp;C2177&amp;"/","Open PubMed")</x:f>
        <x:v>HYPERLINK is not implemented. linkLocation=https://pubmed.ncbi.nlm.nih.gov/40757988/, friendlyName=Open PubMed</x:v>
      </x:c>
    </x:row>
    <x:row r="2178">
      <x:c r="A2178" s="26" t="str">
        <x:v>PUBMED-40737052</x:v>
      </x:c>
      <x:c r="B2178" s="26" t="n">
        <x:v>2026</x:v>
      </x:c>
      <x:c r="C2178" s="26" t="str">
        <x:v>40737052</x:v>
      </x:c>
      <x:c r="D2178" s="28" t="str">
        <x:v>Equity-Centered Development of a Community Health Worker Intervention to Improve Engagement in Care for ADHD.</x:v>
      </x:c>
      <x:c r="E2178" s="28" t="str">
        <x:v>Primary study - qualitative</x:v>
      </x:c>
      <x:c r="F2178" s="28" t="str">
        <x:v>Development &amp; presentation; Recognition &amp; diagnosis; Family &amp; education; Social &amp; structural; Treatment &amp; support; Life outcomes &amp; lived experience</x:v>
      </x:c>
      <x:c r="G2178" s="28" t="str">
        <x:v>Childhood; Adulthood</x:v>
      </x:c>
      <x:c r="H2178" s="28" t="str">
        <x:v>Batch 1 core</x:v>
      </x:c>
      <x:c r="I2178" s="28" t="str">
        <x:v>Direct ADHD primary study on diagnosis, family/education, structural conditions, lived experience/outcomes, or environment/lifestyle.</x:v>
      </x:c>
      <x:c r="J2178" s="38" t="e">
        <x:f>HYPERLINK("https://pubmed.ncbi.nlm.nih.gov/"&amp;C2178&amp;"/","Open PubMed")</x:f>
        <x:v>HYPERLINK is not implemented. linkLocation=https://pubmed.ncbi.nlm.nih.gov/40737052/, friendlyName=Open PubMed</x:v>
      </x:c>
    </x:row>
    <x:row r="2179">
      <x:c r="A2179" s="26" t="str">
        <x:v>PUBMED-40731084</x:v>
      </x:c>
      <x:c r="B2179" s="26" t="n">
        <x:v>2026</x:v>
      </x:c>
      <x:c r="C2179" s="26" t="str">
        <x:v>40731084</x:v>
      </x:c>
      <x:c r="D2179" s="28" t="str">
        <x:v>Pink Noise and a Pure Tone Both Reduce 1/f Neural Noise in Adults With Elevated ADHD Traits: A Critical Appraisal of the Moderate Brain Arousal Model.</x:v>
      </x:c>
      <x:c r="E2179" s="28" t="str">
        <x:v>Primary/contextual journal article</x:v>
      </x:c>
      <x:c r="F2179" s="28" t="str">
        <x:v>Development &amp; presentation; Social &amp; structural</x:v>
      </x:c>
      <x:c r="G2179" s="28" t="str">
        <x:v>Adulthood</x:v>
      </x:c>
      <x:c r="H2179" s="28" t="str">
        <x:v>Later specialized</x:v>
      </x:c>
      <x:c r="I2179" s="28" t="str">
        <x:v>Direct or strongly ADHD-related record retained for later screening; typically narrower treatment, biomarker, mechanistic, or single-comorbidity focus.</x:v>
      </x:c>
      <x:c r="J2179" s="38" t="e">
        <x:f>HYPERLINK("https://pubmed.ncbi.nlm.nih.gov/"&amp;C2179&amp;"/","Open PubMed")</x:f>
        <x:v>HYPERLINK is not implemented. linkLocation=https://pubmed.ncbi.nlm.nih.gov/40731084/, friendlyName=Open PubMed</x:v>
      </x:c>
    </x:row>
    <x:row r="2180">
      <x:c r="A2180" s="26" t="str">
        <x:v>PUBMED-40730822</x:v>
      </x:c>
      <x:c r="B2180" s="26" t="n">
        <x:v>2026</x:v>
      </x:c>
      <x:c r="C2180" s="26" t="str">
        <x:v>40730822</x:v>
      </x:c>
      <x:c r="D2180" s="28" t="str">
        <x:v>Why Are Individuals With ADHD More Prone to Boredom? Examining Attention Control and Working Memory as Mediators of Boredom in Young Adults With ADHD Traits.</x:v>
      </x:c>
      <x:c r="E2180" s="28" t="str">
        <x:v>Primary/contextual journal article</x:v>
      </x:c>
      <x:c r="F2180" s="28" t="str">
        <x:v>Development &amp; presentation; Life outcomes &amp; lived experience</x:v>
      </x:c>
      <x:c r="G2180" s="28" t="str">
        <x:v>Childhood; Adolescence; Adulthood</x:v>
      </x:c>
      <x:c r="H2180" s="28" t="str">
        <x:v>Later specialized</x:v>
      </x:c>
      <x:c r="I2180" s="28" t="str">
        <x:v>Direct or strongly ADHD-related record retained for later screening; typically narrower treatment, biomarker, mechanistic, or single-comorbidity focus.</x:v>
      </x:c>
      <x:c r="J2180" s="38" t="e">
        <x:f>HYPERLINK("https://pubmed.ncbi.nlm.nih.gov/"&amp;C2180&amp;"/","Open PubMed")</x:f>
        <x:v>HYPERLINK is not implemented. linkLocation=https://pubmed.ncbi.nlm.nih.gov/40730822/, friendlyName=Open PubMed</x:v>
      </x:c>
    </x:row>
    <x:row r="2181">
      <x:c r="A2181" s="26" t="str">
        <x:v>PUBMED-40707201</x:v>
      </x:c>
      <x:c r="B2181" s="26" t="n">
        <x:v>2026</x:v>
      </x:c>
      <x:c r="C2181" s="26" t="str">
        <x:v>40707201</x:v>
      </x:c>
      <x:c r="D2181" s="28" t="str">
        <x:v>A retrospective single-center study on the characteristics of children with attention-deficit hyperactivity disorder requiring early drug therapy from 2013 to 2022 and changes in treatment over time.</x:v>
      </x:c>
      <x:c r="E2181" s="28" t="str">
        <x:v>Primary/contextual journal article</x:v>
      </x:c>
      <x:c r="F2181" s="28" t="str">
        <x:v>Development &amp; presentation; Recognition &amp; diagnosis; Family &amp; education; Social &amp; structural; Environmental &amp; lifestyle; Treatment &amp; support</x:v>
      </x:c>
      <x:c r="G2181" s="28" t="str">
        <x:v>Childhood; Adolescence</x:v>
      </x:c>
      <x:c r="H2181" s="28" t="str">
        <x:v>Later specialized</x:v>
      </x:c>
      <x:c r="I2181" s="28" t="str">
        <x:v>Direct or strongly ADHD-related record retained for later screening; typically narrower treatment, biomarker, mechanistic, or single-comorbidity focus.</x:v>
      </x:c>
      <x:c r="J2181" s="38" t="e">
        <x:f>HYPERLINK("https://pubmed.ncbi.nlm.nih.gov/"&amp;C2181&amp;"/","Open PubMed")</x:f>
        <x:v>HYPERLINK is not implemented. linkLocation=https://pubmed.ncbi.nlm.nih.gov/40707201/, friendlyName=Open PubMed</x:v>
      </x:c>
    </x:row>
    <x:row r="2182">
      <x:c r="A2182" s="26" t="str">
        <x:v>PUBMED-40705055</x:v>
      </x:c>
      <x:c r="B2182" s="26" t="n">
        <x:v>2026</x:v>
      </x:c>
      <x:c r="C2182" s="26" t="str">
        <x:v>40705055</x:v>
      </x:c>
      <x:c r="D2182" s="28" t="str">
        <x:v>Network relationships between emotional dysregulation and ADHD symptoms: an investigation of 13,207 clinical children and adolescents.</x:v>
      </x:c>
      <x:c r="E2182" s="28" t="str">
        <x:v>Primary/contextual journal article</x:v>
      </x:c>
      <x:c r="F2182" s="28" t="str">
        <x:v>Development &amp; presentation; Recognition &amp; diagnosis; Family &amp; education; Social &amp; structural; Treatment &amp; support; Life outcomes &amp; lived experience</x:v>
      </x:c>
      <x:c r="G2182" s="28" t="str">
        <x:v>Childhood; Adolescence</x:v>
      </x:c>
      <x:c r="H2182" s="28" t="str">
        <x:v>Later specialized</x:v>
      </x:c>
      <x:c r="I2182" s="28" t="str">
        <x:v>Direct or strongly ADHD-related record retained for later screening; typically narrower treatment, biomarker, mechanistic, or single-comorbidity focus.</x:v>
      </x:c>
      <x:c r="J2182" s="38" t="e">
        <x:f>HYPERLINK("https://pubmed.ncbi.nlm.nih.gov/"&amp;C2182&amp;"/","Open PubMed")</x:f>
        <x:v>HYPERLINK is not implemented. linkLocation=https://pubmed.ncbi.nlm.nih.gov/40705055/, friendlyName=Open PubMed</x:v>
      </x:c>
    </x:row>
    <x:row r="2183">
      <x:c r="A2183" s="26" t="str">
        <x:v>PUBMED-40690007</x:v>
      </x:c>
      <x:c r="B2183" s="26" t="n">
        <x:v>2026</x:v>
      </x:c>
      <x:c r="C2183" s="26" t="str">
        <x:v>40690007</x:v>
      </x:c>
      <x:c r="D2183" s="28" t="str">
        <x:v>The link between Wnt-related, stress-related, and circadian genes in the dermal fibroblasts of individuals with attention-deficit hyperactivity disorder.</x:v>
      </x:c>
      <x:c r="E2183" s="28" t="str">
        <x:v>Primary/contextual journal article</x:v>
      </x:c>
      <x:c r="F2183" s="28" t="str">
        <x:v>Development &amp; presentation; Recognition &amp; diagnosis; Social &amp; structural; Environmental &amp; lifestyle</x:v>
      </x:c>
      <x:c r="G2183" s="28" t="str">
        <x:v>Childhood; Adolescence; Adulthood</x:v>
      </x:c>
      <x:c r="H2183" s="28" t="str">
        <x:v>Later specialized</x:v>
      </x:c>
      <x:c r="I2183" s="28" t="str">
        <x:v>Direct or strongly ADHD-related record retained for later screening; typically narrower treatment, biomarker, mechanistic, or single-comorbidity focus.</x:v>
      </x:c>
      <x:c r="J2183" s="38" t="e">
        <x:f>HYPERLINK("https://pubmed.ncbi.nlm.nih.gov/"&amp;C2183&amp;"/","Open PubMed")</x:f>
        <x:v>HYPERLINK is not implemented. linkLocation=https://pubmed.ncbi.nlm.nih.gov/40690007/, friendlyName=Open PubMed</x:v>
      </x:c>
    </x:row>
    <x:row r="2184">
      <x:c r="A2184" s="26" t="str">
        <x:v>PUBMED-40638003</x:v>
      </x:c>
      <x:c r="B2184" s="26" t="n">
        <x:v>2026</x:v>
      </x:c>
      <x:c r="C2184" s="26" t="str">
        <x:v>40638003</x:v>
      </x:c>
      <x:c r="D2184" s="28" t="str">
        <x:v>Peripheral Inflammation In Adult ADHD: Sex Differences And Hematological Markers.</x:v>
      </x:c>
      <x:c r="E2184" s="28" t="str">
        <x:v>Primary study - cross-sectional</x:v>
      </x:c>
      <x:c r="F2184" s="28" t="str">
        <x:v>Development &amp; presentation; Recognition &amp; diagnosis; Social &amp; structural; Treatment &amp; support</x:v>
      </x:c>
      <x:c r="G2184" s="28" t="str">
        <x:v>Adolescence; Adulthood</x:v>
      </x:c>
      <x:c r="H2184" s="28" t="str">
        <x:v>Batch 1 core</x:v>
      </x:c>
      <x:c r="I2184" s="28" t="str">
        <x:v>Direct ADHD primary study on diagnosis, family/education, structural conditions, lived experience/outcomes, or environment/lifestyle.</x:v>
      </x:c>
      <x:c r="J2184" s="38" t="e">
        <x:f>HYPERLINK("https://pubmed.ncbi.nlm.nih.gov/"&amp;C2184&amp;"/","Open PubMed")</x:f>
        <x:v>HYPERLINK is not implemented. linkLocation=https://pubmed.ncbi.nlm.nih.gov/40638003/, friendlyName=Open PubMed</x:v>
      </x:c>
    </x:row>
    <x:row r="2185">
      <x:c r="A2185" s="26" t="str">
        <x:v>PUBMED-40617318</x:v>
      </x:c>
      <x:c r="B2185" s="26" t="n">
        <x:v>2026</x:v>
      </x:c>
      <x:c r="C2185" s="26" t="str">
        <x:v>40617318</x:v>
      </x:c>
      <x:c r="D2185" s="28" t="str">
        <x:v>Editorial: Uniformity Before Prediction: The Unfinished Science of Attention-Deficit/Hyperactivity Disorder Forecasting.</x:v>
      </x:c>
      <x:c r="E2185" s="28" t="str">
        <x:v>Contextual - editorial/comment</x:v>
      </x:c>
      <x:c r="F2185" s="28" t="str">
        <x:v>Development &amp; presentation; Recognition &amp; diagnosis; Family &amp; education; Social &amp; structural; Treatment &amp; support; Life outcomes &amp; lived experience; Historical &amp; contemporary context</x:v>
      </x:c>
      <x:c r="G2185" s="28" t="str">
        <x:v>Childhood; Adulthood</x:v>
      </x:c>
      <x:c r="H2185" s="28" t="str">
        <x:v>Later specialized</x:v>
      </x:c>
      <x:c r="I2185" s="28" t="str">
        <x:v>Direct or strongly ADHD-related record retained for later screening; typically narrower treatment, biomarker, mechanistic, or single-comorbidity focus.</x:v>
      </x:c>
      <x:c r="J2185" s="38" t="e">
        <x:f>HYPERLINK("https://pubmed.ncbi.nlm.nih.gov/"&amp;C2185&amp;"/","Open PubMed")</x:f>
        <x:v>HYPERLINK is not implemented. linkLocation=https://pubmed.ncbi.nlm.nih.gov/40617318/, friendlyName=Open PubMed</x:v>
      </x:c>
    </x:row>
    <x:row r="2186">
      <x:c r="A2186" s="26" t="str">
        <x:v>PUBMED-40579917</x:v>
      </x:c>
      <x:c r="B2186" s="26" t="n">
        <x:v>2026</x:v>
      </x:c>
      <x:c r="C2186" s="26" t="str">
        <x:v>40579917</x:v>
      </x:c>
      <x:c r="D2186" s="28" t="str">
        <x:v>Sensory processing skills and school functions in school-aged children with attention deficit hyperactivity disorder: a gender-based analysis.</x:v>
      </x:c>
      <x:c r="E2186" s="28" t="str">
        <x:v>Primary/contextual journal article</x:v>
      </x:c>
      <x:c r="F2186" s="28" t="str">
        <x:v>Development &amp; presentation; Recognition &amp; diagnosis; Family &amp; education; Social &amp; structural; Treatment &amp; support; Life outcomes &amp; lived experience</x:v>
      </x:c>
      <x:c r="G2186" s="28" t="str">
        <x:v>Childhood</x:v>
      </x:c>
      <x:c r="H2186" s="28" t="str">
        <x:v>Later specialized</x:v>
      </x:c>
      <x:c r="I2186" s="28" t="str">
        <x:v>Direct or strongly ADHD-related record retained for later screening; typically narrower treatment, biomarker, mechanistic, or single-comorbidity focus.</x:v>
      </x:c>
      <x:c r="J2186" s="38" t="e">
        <x:f>HYPERLINK("https://pubmed.ncbi.nlm.nih.gov/"&amp;C2186&amp;"/","Open PubMed")</x:f>
        <x:v>HYPERLINK is not implemented. linkLocation=https://pubmed.ncbi.nlm.nih.gov/40579917/, friendlyName=Open PubMed</x:v>
      </x:c>
    </x:row>
    <x:row r="2187">
      <x:c r="A2187" s="26" t="str">
        <x:v>PUBMED-40552785</x:v>
      </x:c>
      <x:c r="B2187" s="26" t="n">
        <x:v>2026</x:v>
      </x:c>
      <x:c r="C2187" s="26" t="str">
        <x:v>40552785</x:v>
      </x:c>
      <x:c r="D2187" s="28" t="str">
        <x:v>Increased neural responsiveness to distractors irrespective of perceptual load explains attention deficit in post-stroke fatigue.</x:v>
      </x:c>
      <x:c r="E2187" s="28" t="str">
        <x:v>Primary/contextual journal article</x:v>
      </x:c>
      <x:c r="F2187" s="28" t="str">
        <x:v>Development &amp; presentation; Environmental &amp; lifestyle; Life outcomes &amp; lived experience</x:v>
      </x:c>
      <x:c r="G2187" s="28" t="str">
        <x:v>Adulthood</x:v>
      </x:c>
      <x:c r="H2187" s="28" t="str">
        <x:v>Later specialized</x:v>
      </x:c>
      <x:c r="I2187" s="28" t="str">
        <x:v>Direct or strongly ADHD-related record retained for later screening; typically narrower treatment, biomarker, mechanistic, or single-comorbidity focus.</x:v>
      </x:c>
      <x:c r="J2187" s="38" t="e">
        <x:f>HYPERLINK("https://pubmed.ncbi.nlm.nih.gov/"&amp;C2187&amp;"/","Open PubMed")</x:f>
        <x:v>HYPERLINK is not implemented. linkLocation=https://pubmed.ncbi.nlm.nih.gov/40552785/, friendlyName=Open PubMed</x:v>
      </x:c>
    </x:row>
    <x:row r="2188">
      <x:c r="A2188" s="26" t="str">
        <x:v>PUBMED-40543799</x:v>
      </x:c>
      <x:c r="B2188" s="26" t="n">
        <x:v>2026</x:v>
      </x:c>
      <x:c r="C2188" s="26" t="str">
        <x:v>40543799</x:v>
      </x:c>
      <x:c r="D2188" s="28" t="str">
        <x:v>Exploring the Behavioral and Emotional Manifestation of Polygenic Risk for Psychiatric Disorders Among Schoolchildren.</x:v>
      </x:c>
      <x:c r="E2188" s="28" t="str">
        <x:v>Primary study - cohort</x:v>
      </x:c>
      <x:c r="F2188" s="28" t="str">
        <x:v>Development &amp; presentation; Recognition &amp; diagnosis; Family &amp; education; Social &amp; structural; Treatment &amp; support; Life outcomes &amp; lived experience; Historical &amp; contemporary context</x:v>
      </x:c>
      <x:c r="G2188" s="28" t="str">
        <x:v>Childhood; Adolescence</x:v>
      </x:c>
      <x:c r="H2188" s="28" t="str">
        <x:v>Later specialized</x:v>
      </x:c>
      <x:c r="I2188" s="28" t="str">
        <x:v>Direct or strongly ADHD-related record retained for later screening; typically narrower treatment, biomarker, mechanistic, or single-comorbidity focus.</x:v>
      </x:c>
      <x:c r="J2188" s="38" t="e">
        <x:f>HYPERLINK("https://pubmed.ncbi.nlm.nih.gov/"&amp;C2188&amp;"/","Open PubMed")</x:f>
        <x:v>HYPERLINK is not implemented. linkLocation=https://pubmed.ncbi.nlm.nih.gov/40543799/, friendlyName=Open PubMed</x:v>
      </x:c>
    </x:row>
    <x:row r="2189">
      <x:c r="A2189" s="26" t="str">
        <x:v>PUBMED-40527658</x:v>
      </x:c>
      <x:c r="B2189" s="26" t="n">
        <x:v>2026</x:v>
      </x:c>
      <x:c r="C2189" s="26" t="str">
        <x:v>40527658</x:v>
      </x:c>
      <x:c r="D2189" s="28" t="str">
        <x:v>Increased incidence of attention-deficit/hyperactivity disorder is associated with early and prolonged exposure to antibiotics: A population-based retrospective cohort study.</x:v>
      </x:c>
      <x:c r="E2189" s="28" t="str">
        <x:v>Primary study - cohort</x:v>
      </x:c>
      <x:c r="F2189" s="28" t="str">
        <x:v>Development &amp; presentation; Family &amp; education; Social &amp; structural; Environmental &amp; lifestyle; Treatment &amp; support</x:v>
      </x:c>
      <x:c r="G2189" s="28" t="str">
        <x:v>Childhood</x:v>
      </x:c>
      <x:c r="H2189" s="28" t="str">
        <x:v>Later specialized</x:v>
      </x:c>
      <x:c r="I2189" s="28" t="str">
        <x:v>Direct or strongly ADHD-related record retained for later screening; typically narrower treatment, biomarker, mechanistic, or single-comorbidity focus.</x:v>
      </x:c>
      <x:c r="J2189" s="38" t="e">
        <x:f>HYPERLINK("https://pubmed.ncbi.nlm.nih.gov/"&amp;C2189&amp;"/","Open PubMed")</x:f>
        <x:v>HYPERLINK is not implemented. linkLocation=https://pubmed.ncbi.nlm.nih.gov/40527658/, friendlyName=Open PubMed</x:v>
      </x:c>
    </x:row>
    <x:row r="2190">
      <x:c r="A2190" s="26" t="str">
        <x:v>PUBMED-40483371</x:v>
      </x:c>
      <x:c r="B2190" s="26" t="n">
        <x:v>2026</x:v>
      </x:c>
      <x:c r="C2190" s="26" t="str">
        <x:v>40483371</x:v>
      </x:c>
      <x:c r="D2190" s="28" t="str">
        <x:v>Adherence to clinical practice guideline for attention-deficit/hyperactivity disorder treatment among children and adolescents.</x:v>
      </x:c>
      <x:c r="E2190" s="28" t="str">
        <x:v>Primary/contextual journal article</x:v>
      </x:c>
      <x:c r="F2190" s="28" t="str">
        <x:v>Development &amp; presentation; Family &amp; education; Social &amp; structural; Treatment &amp; support</x:v>
      </x:c>
      <x:c r="G2190" s="28" t="str">
        <x:v>Childhood; Adolescence</x:v>
      </x:c>
      <x:c r="H2190" s="28" t="str">
        <x:v>Later specialized</x:v>
      </x:c>
      <x:c r="I2190" s="28" t="str">
        <x:v>Direct or strongly ADHD-related record retained for later screening; typically narrower treatment, biomarker, mechanistic, or single-comorbidity focus.</x:v>
      </x:c>
      <x:c r="J2190" s="38" t="e">
        <x:f>HYPERLINK("https://pubmed.ncbi.nlm.nih.gov/"&amp;C2190&amp;"/","Open PubMed")</x:f>
        <x:v>HYPERLINK is not implemented. linkLocation=https://pubmed.ncbi.nlm.nih.gov/40483371/, friendlyName=Open PubMed</x:v>
      </x:c>
    </x:row>
    <x:row r="2191">
      <x:c r="A2191" s="26" t="str">
        <x:v>PUBMED-40434404</x:v>
      </x:c>
      <x:c r="B2191" s="26" t="n">
        <x:v>2026</x:v>
      </x:c>
      <x:c r="C2191" s="26" t="str">
        <x:v>40434404</x:v>
      </x:c>
      <x:c r="D2191" s="28" t="str">
        <x:v>Bouncing Back Better: development of a family intervention program after young child burn injury.</x:v>
      </x:c>
      <x:c r="E2191" s="28" t="str">
        <x:v>Primary study - qualitative</x:v>
      </x:c>
      <x:c r="F2191" s="28" t="str">
        <x:v>Development &amp; presentation; Recognition &amp; diagnosis; Family &amp; education; Social &amp; structural; Environmental &amp; lifestyle; Treatment &amp; support; Life outcomes &amp; lived experience</x:v>
      </x:c>
      <x:c r="G2191" s="28" t="str">
        <x:v>Childhood</x:v>
      </x:c>
      <x:c r="H2191" s="28" t="str">
        <x:v>Later specialized</x:v>
      </x:c>
      <x:c r="I2191" s="28" t="str">
        <x:v>Direct or strongly ADHD-related record retained for later screening; typically narrower treatment, biomarker, mechanistic, or single-comorbidity focus.</x:v>
      </x:c>
      <x:c r="J2191" s="38" t="e">
        <x:f>HYPERLINK("https://pubmed.ncbi.nlm.nih.gov/"&amp;C2191&amp;"/","Open PubMed")</x:f>
        <x:v>HYPERLINK is not implemented. linkLocation=https://pubmed.ncbi.nlm.nih.gov/40434404/, friendlyName=Open PubMed</x:v>
      </x:c>
    </x:row>
    <x:row r="2192">
      <x:c r="A2192" s="26" t="str">
        <x:v>PUBMED-40418299</x:v>
      </x:c>
      <x:c r="B2192" s="26" t="n">
        <x:v>2026</x:v>
      </x:c>
      <x:c r="C2192" s="26" t="str">
        <x:v>40418299</x:v>
      </x:c>
      <x:c r="D2192" s="28" t="str">
        <x:v>EEG Connectivity as Predictor of ICAN ADHD Children's Improvement After Completion of Theta Beta Ratio Neurofeedback: Machine Learning Analyses.</x:v>
      </x:c>
      <x:c r="E2192" s="28" t="str">
        <x:v>Primary study - randomized controlled trial</x:v>
      </x:c>
      <x:c r="F2192" s="28" t="str">
        <x:v>Development &amp; presentation; Recognition &amp; diagnosis; Family &amp; education; Social &amp; structural; Treatment &amp; support; Life outcomes &amp; lived experience</x:v>
      </x:c>
      <x:c r="G2192" s="28" t="str">
        <x:v>Childhood</x:v>
      </x:c>
      <x:c r="H2192" s="28" t="str">
        <x:v>Later specialized</x:v>
      </x:c>
      <x:c r="I2192" s="28" t="str">
        <x:v>Direct or strongly ADHD-related record retained for later screening; typically narrower treatment, biomarker, mechanistic, or single-comorbidity focus.</x:v>
      </x:c>
      <x:c r="J2192" s="38" t="e">
        <x:f>HYPERLINK("https://pubmed.ncbi.nlm.nih.gov/"&amp;C2192&amp;"/","Open PubMed")</x:f>
        <x:v>HYPERLINK is not implemented. linkLocation=https://pubmed.ncbi.nlm.nih.gov/40418299/, friendlyName=Open PubMed</x:v>
      </x:c>
    </x:row>
    <x:row r="2193">
      <x:c r="A2193" s="26" t="str">
        <x:v>PUBMED-40417822</x:v>
      </x:c>
      <x:c r="B2193" s="26" t="n">
        <x:v>2026</x:v>
      </x:c>
      <x:c r="C2193" s="26" t="str">
        <x:v>40417822</x:v>
      </x:c>
      <x:c r="D2193" s="28" t="str">
        <x:v>The Family Quality of Life of Children With Specific Learning Disabilities, Attention-Deficit/Hyperactivity Disorder, and Their Co-Occurrence: A Cross-Sectional Study.</x:v>
      </x:c>
      <x:c r="E2193" s="28" t="str">
        <x:v>Primary study - cross-sectional</x:v>
      </x:c>
      <x:c r="F2193" s="28" t="str">
        <x:v>Development &amp; presentation; Family &amp; education; Social &amp; structural; Life outcomes &amp; lived experience</x:v>
      </x:c>
      <x:c r="G2193" s="28" t="str">
        <x:v>Childhood; Adolescence</x:v>
      </x:c>
      <x:c r="H2193" s="28" t="str">
        <x:v>Batch 1 core</x:v>
      </x:c>
      <x:c r="I2193" s="28" t="str">
        <x:v>Direct ADHD primary study on diagnosis, family/education, structural conditions, lived experience/outcomes, or environment/lifestyle.</x:v>
      </x:c>
      <x:c r="J2193" s="38" t="e">
        <x:f>HYPERLINK("https://pubmed.ncbi.nlm.nih.gov/"&amp;C2193&amp;"/","Open PubMed")</x:f>
        <x:v>HYPERLINK is not implemented. linkLocation=https://pubmed.ncbi.nlm.nih.gov/40417822/, friendlyName=Open PubMed</x:v>
      </x:c>
    </x:row>
    <x:row r="2194">
      <x:c r="A2194" s="26" t="str">
        <x:v>PUBMED-40384266</x:v>
      </x:c>
      <x:c r="B2194" s="26" t="n">
        <x:v>2026</x:v>
      </x:c>
      <x:c r="C2194" s="26" t="str">
        <x:v>40384266</x:v>
      </x:c>
      <x:c r="D2194" s="28" t="str">
        <x:v>Experiences and Occupational Self-Efficacy of Neurominorities in Specialty Veterinary Medicine: Challenges, Solutions, and Recommendations for Progress.</x:v>
      </x:c>
      <x:c r="E2194" s="28" t="str">
        <x:v>Primary study - qualitative</x:v>
      </x:c>
      <x:c r="F2194" s="28" t="str">
        <x:v>Development &amp; presentation; Recognition &amp; diagnosis; Social &amp; structural; Treatment &amp; support; Life outcomes &amp; lived experience; Historical &amp; contemporary context</x:v>
      </x:c>
      <x:c r="G2194" s="28" t="str">
        <x:v>Adulthood</x:v>
      </x:c>
      <x:c r="H2194" s="28" t="str">
        <x:v>Exclude/incidental</x:v>
      </x:c>
      <x:c r="I2194" s="28" t="str">
        <x:v>ADHD appears peripheral or insufficiently aligned with the requested corpus scope based on accessible metadata/abstract.</x:v>
      </x:c>
      <x:c r="J2194" s="38" t="e">
        <x:f>HYPERLINK("https://pubmed.ncbi.nlm.nih.gov/"&amp;C2194&amp;"/","Open PubMed")</x:f>
        <x:v>HYPERLINK is not implemented. linkLocation=https://pubmed.ncbi.nlm.nih.gov/40384266/, friendlyName=Open PubMed</x:v>
      </x:c>
    </x:row>
    <x:row r="2195">
      <x:c r="A2195" s="26" t="str">
        <x:v>PUBMED-40364699</x:v>
      </x:c>
      <x:c r="B2195" s="26" t="n">
        <x:v>2026</x:v>
      </x:c>
      <x:c r="C2195" s="26" t="str">
        <x:v>40364699</x:v>
      </x:c>
      <x:c r="D2195" s="28" t="str">
        <x:v>Attention-Deficit/Hyperactivity Disorder Medication Use in Pregnancy and Risk of Preterm Birth: A Population-Based Cohort Study.</x:v>
      </x:c>
      <x:c r="E2195" s="28" t="str">
        <x:v>Primary study - cohort</x:v>
      </x:c>
      <x:c r="F2195" s="28" t="str">
        <x:v>Development &amp; presentation; Family &amp; education; Social &amp; structural; Environmental &amp; lifestyle; Treatment &amp; support; Life outcomes &amp; lived experience</x:v>
      </x:c>
      <x:c r="G2195" s="28" t="str">
        <x:v>Adulthood</x:v>
      </x:c>
      <x:c r="H2195" s="28" t="str">
        <x:v>Later specialized</x:v>
      </x:c>
      <x:c r="I2195" s="28" t="str">
        <x:v>Direct or strongly ADHD-related record retained for later screening; typically narrower treatment, biomarker, mechanistic, or single-comorbidity focus.</x:v>
      </x:c>
      <x:c r="J2195" s="38" t="e">
        <x:f>HYPERLINK("https://pubmed.ncbi.nlm.nih.gov/"&amp;C2195&amp;"/","Open PubMed")</x:f>
        <x:v>HYPERLINK is not implemented. linkLocation=https://pubmed.ncbi.nlm.nih.gov/40364699/, friendlyName=Open PubMed</x:v>
      </x:c>
    </x:row>
    <x:row r="2196">
      <x:c r="A2196" s="26" t="str">
        <x:v>PUBMED-40350038</x:v>
      </x:c>
      <x:c r="B2196" s="26" t="n">
        <x:v>2026</x:v>
      </x:c>
      <x:c r="C2196" s="26" t="str">
        <x:v>40350038</x:v>
      </x:c>
      <x:c r="D2196" s="28" t="str">
        <x:v>Novel Neural Activity Profiles Underlying Inhibitory Control Deficits of Clinical Relevance in Attention-Deficit/Hyperactivity Disorder: Insights From Electroencephalography Tensor Decomposition.</x:v>
      </x:c>
      <x:c r="E2196" s="28" t="str">
        <x:v>Primary/contextual journal article</x:v>
      </x:c>
      <x:c r="F2196" s="28" t="str">
        <x:v>Development &amp; presentation; Social &amp; structural</x:v>
      </x:c>
      <x:c r="G2196" s="28" t="str">
        <x:v>Childhood; Adolescence; Adulthood</x:v>
      </x:c>
      <x:c r="H2196" s="28" t="str">
        <x:v>Later specialized</x:v>
      </x:c>
      <x:c r="I2196" s="28" t="str">
        <x:v>Direct or strongly ADHD-related record retained for later screening; typically narrower treatment, biomarker, mechanistic, or single-comorbidity focus.</x:v>
      </x:c>
      <x:c r="J2196" s="38" t="e">
        <x:f>HYPERLINK("https://pubmed.ncbi.nlm.nih.gov/"&amp;C2196&amp;"/","Open PubMed")</x:f>
        <x:v>HYPERLINK is not implemented. linkLocation=https://pubmed.ncbi.nlm.nih.gov/40350038/, friendlyName=Open PubMed</x:v>
      </x:c>
    </x:row>
    <x:row r="2197">
      <x:c r="A2197" s="26" t="str">
        <x:v>PUBMED-40332657</x:v>
      </x:c>
      <x:c r="B2197" s="26" t="n">
        <x:v>2026</x:v>
      </x:c>
      <x:c r="C2197" s="26" t="str">
        <x:v>40332657</x:v>
      </x:c>
      <x:c r="D2197" s="28" t="str">
        <x:v>Co-occurring Conditions and Quality of Life in Autistic Children Attending General Education or Special Education Schools.</x:v>
      </x:c>
      <x:c r="E2197" s="28" t="str">
        <x:v>Primary study - cross-sectional</x:v>
      </x:c>
      <x:c r="F2197" s="28" t="str">
        <x:v>Development &amp; presentation; Recognition &amp; diagnosis; Family &amp; education; Social &amp; structural; Treatment &amp; support; Life outcomes &amp; lived experience</x:v>
      </x:c>
      <x:c r="G2197" s="28" t="str">
        <x:v>Childhood; Adolescence</x:v>
      </x:c>
      <x:c r="H2197" s="28" t="str">
        <x:v>Exclude/incidental</x:v>
      </x:c>
      <x:c r="I2197" s="28" t="str">
        <x:v>ADHD appears peripheral or insufficiently aligned with the requested corpus scope based on accessible metadata/abstract.</x:v>
      </x:c>
      <x:c r="J2197" s="38" t="e">
        <x:f>HYPERLINK("https://pubmed.ncbi.nlm.nih.gov/"&amp;C2197&amp;"/","Open PubMed")</x:f>
        <x:v>HYPERLINK is not implemented. linkLocation=https://pubmed.ncbi.nlm.nih.gov/40332657/, friendlyName=Open PubMed</x:v>
      </x:c>
    </x:row>
    <x:row r="2198">
      <x:c r="A2198" s="26" t="str">
        <x:v>PUBMED-40122116</x:v>
      </x:c>
      <x:c r="B2198" s="26" t="n">
        <x:v>2026</x:v>
      </x:c>
      <x:c r="C2198" s="26" t="str">
        <x:v>40122116</x:v>
      </x:c>
      <x:c r="D2198" s="28" t="str">
        <x:v>Prevalence of the Prescribing of Attention-Deficit Hyperactivity Disorder Medication During Pregnancy: A Systematic Review.</x:v>
      </x:c>
      <x:c r="E2198" s="28" t="str">
        <x:v>Evidence synthesis - meta-analysis</x:v>
      </x:c>
      <x:c r="F2198" s="28" t="str">
        <x:v>Development &amp; presentation; Recognition &amp; diagnosis; Social &amp; structural; Environmental &amp; lifestyle; Treatment &amp; support</x:v>
      </x:c>
      <x:c r="G2198" s="28" t="str">
        <x:v>Not specified</x:v>
      </x:c>
      <x:c r="H2198" s="28" t="str">
        <x:v>Batch 1 core</x:v>
      </x:c>
      <x:c r="I2198" s="28" t="str">
        <x:v>Direct ADHD evidence synthesis/guideline with broad multi-topic relevance.</x:v>
      </x:c>
      <x:c r="J2198" s="38" t="e">
        <x:f>HYPERLINK("https://pubmed.ncbi.nlm.nih.gov/"&amp;C2198&amp;"/","Open PubMed")</x:f>
        <x:v>HYPERLINK is not implemented. linkLocation=https://pubmed.ncbi.nlm.nih.gov/40122116/, friendlyName=Open PubMed</x:v>
      </x:c>
    </x:row>
    <x:row r="2199">
      <x:c r="A2199" s="26" t="str">
        <x:v>PUBMED-39991850</x:v>
      </x:c>
      <x:c r="B2199" s="26" t="n">
        <x:v>2026</x:v>
      </x:c>
      <x:c r="C2199" s="26" t="str">
        <x:v>39991850</x:v>
      </x:c>
      <x:c r="D2199" s="28" t="str">
        <x:v>Psychometric and Normative Information on the Child and Adolescent Behavior Inventory With Parent Ratings in a Nationally Representative Sample of Spanish Youth.</x:v>
      </x:c>
      <x:c r="E2199" s="28" t="str">
        <x:v>Primary/contextual journal article</x:v>
      </x:c>
      <x:c r="F2199" s="28" t="str">
        <x:v>Development &amp; presentation; Recognition &amp; diagnosis; Family &amp; education; Social &amp; structural</x:v>
      </x:c>
      <x:c r="G2199" s="28" t="str">
        <x:v>Childhood; Adolescence</x:v>
      </x:c>
      <x:c r="H2199" s="28" t="str">
        <x:v>Later specialized</x:v>
      </x:c>
      <x:c r="I2199" s="28" t="str">
        <x:v>Direct or strongly ADHD-related record retained for later screening; typically narrower treatment, biomarker, mechanistic, or single-comorbidity focus.</x:v>
      </x:c>
      <x:c r="J2199" s="38" t="e">
        <x:f>HYPERLINK("https://pubmed.ncbi.nlm.nih.gov/"&amp;C2199&amp;"/","Open PubMed")</x:f>
        <x:v>HYPERLINK is not implemented. linkLocation=https://pubmed.ncbi.nlm.nih.gov/39991850/, friendlyName=Open PubMed</x:v>
      </x:c>
    </x:row>
    <x:row r="2200">
      <x:c r="A2200" s="26" t="str">
        <x:v>PUBMED-39882820</x:v>
      </x:c>
      <x:c r="B2200" s="26" t="n">
        <x:v>2026</x:v>
      </x:c>
      <x:c r="C2200" s="26" t="str">
        <x:v>39882820</x:v>
      </x:c>
      <x:c r="D2200" s="28" t="str">
        <x:v>Linking Adherence to Effectiveness in Family-Based Adolescent ADHD Academic Training and Medication Decision-Making Protocols.</x:v>
      </x:c>
      <x:c r="E2200" s="28" t="str">
        <x:v>Primary study - randomized controlled trial</x:v>
      </x:c>
      <x:c r="F2200" s="28" t="str">
        <x:v>Development &amp; presentation; Family &amp; education; Social &amp; structural; Treatment &amp; support; Life outcomes &amp; lived experience</x:v>
      </x:c>
      <x:c r="G2200" s="28" t="str">
        <x:v>Adolescence</x:v>
      </x:c>
      <x:c r="H2200" s="28" t="str">
        <x:v>Later specialized</x:v>
      </x:c>
      <x:c r="I2200" s="28" t="str">
        <x:v>Direct or strongly ADHD-related record retained for later screening; typically narrower treatment, biomarker, mechanistic, or single-comorbidity focus.</x:v>
      </x:c>
      <x:c r="J2200" s="38" t="e">
        <x:f>HYPERLINK("https://pubmed.ncbi.nlm.nih.gov/"&amp;C2200&amp;"/","Open PubMed")</x:f>
        <x:v>HYPERLINK is not implemented. linkLocation=https://pubmed.ncbi.nlm.nih.gov/39882820/, friendlyName=Open PubMed</x:v>
      </x:c>
    </x:row>
    <x:row r="2201">
      <x:c r="A2201" s="26" t="str">
        <x:v>PUBMED-39856431</x:v>
      </x:c>
      <x:c r="B2201" s="26" t="n">
        <x:v>2026</x:v>
      </x:c>
      <x:c r="C2201" s="26" t="str">
        <x:v>39856431</x:v>
      </x:c>
      <x:c r="D2201" s="28" t="str">
        <x:v>Oculomotor Function in Children and Adolescents with Autism, ADHD or Co-occurring Autism and ADHD.</x:v>
      </x:c>
      <x:c r="E2201" s="28" t="str">
        <x:v>Primary/contextual journal article</x:v>
      </x:c>
      <x:c r="F2201" s="28" t="str">
        <x:v>Development &amp; presentation; Family &amp; education; Social &amp; structural</x:v>
      </x:c>
      <x:c r="G2201" s="28" t="str">
        <x:v>Childhood; Adolescence</x:v>
      </x:c>
      <x:c r="H2201" s="28" t="str">
        <x:v>Later specialized</x:v>
      </x:c>
      <x:c r="I2201" s="28" t="str">
        <x:v>Direct or strongly ADHD-related record retained for later screening; typically narrower treatment, biomarker, mechanistic, or single-comorbidity focus.</x:v>
      </x:c>
      <x:c r="J2201" s="38" t="e">
        <x:f>HYPERLINK("https://pubmed.ncbi.nlm.nih.gov/"&amp;C2201&amp;"/","Open PubMed")</x:f>
        <x:v>HYPERLINK is not implemented. linkLocation=https://pubmed.ncbi.nlm.nih.gov/39856431/, friendlyName=Open PubMed</x:v>
      </x:c>
    </x:row>
    <x:row r="2202">
      <x:c r="A2202" s="26" t="str">
        <x:v>PUBMED-39668306</x:v>
      </x:c>
      <x:c r="B2202" s="26" t="n">
        <x:v>2026</x:v>
      </x:c>
      <x:c r="C2202" s="26" t="str">
        <x:v>39668306</x:v>
      </x:c>
      <x:c r="D2202" s="28" t="str">
        <x:v>Predicting Occupational Outcomes for Individuals with ADHD: The Role of Hyperactivity/Impulsivity and Executive Functioning.</x:v>
      </x:c>
      <x:c r="E2202" s="28" t="str">
        <x:v>Primary/contextual journal article</x:v>
      </x:c>
      <x:c r="F2202" s="28" t="str">
        <x:v>Development &amp; presentation; Social &amp; structural; Treatment &amp; support; Life outcomes &amp; lived experience</x:v>
      </x:c>
      <x:c r="G2202" s="28" t="str">
        <x:v>Adulthood</x:v>
      </x:c>
      <x:c r="H2202" s="28" t="str">
        <x:v>Later specialized</x:v>
      </x:c>
      <x:c r="I2202" s="28" t="str">
        <x:v>Direct or strongly ADHD-related record retained for later screening; typically narrower treatment, biomarker, mechanistic, or single-comorbidity focus.</x:v>
      </x:c>
      <x:c r="J2202" s="38" t="e">
        <x:f>HYPERLINK("https://pubmed.ncbi.nlm.nih.gov/"&amp;C2202&amp;"/","Open PubMed")</x:f>
        <x:v>HYPERLINK is not implemented. linkLocation=https://pubmed.ncbi.nlm.nih.gov/39668306/, friendlyName=Open PubMed</x:v>
      </x:c>
    </x:row>
    <x:row r="2203">
      <x:c r="A2203" s="26" t="str">
        <x:v>PUBMED-39379094</x:v>
      </x:c>
      <x:c r="B2203" s="26" t="n">
        <x:v>2026</x:v>
      </x:c>
      <x:c r="C2203" s="26" t="str">
        <x:v>39379094</x:v>
      </x:c>
      <x:c r="D2203" s="28" t="str">
        <x:v>Contrasting Deficits in the Function of the Phonological Loop Between Children With Attention Deficit Hyperactivity Disorder and Reading Disability.</x:v>
      </x:c>
      <x:c r="E2203" s="28" t="str">
        <x:v>Primary/contextual journal article</x:v>
      </x:c>
      <x:c r="F2203" s="28" t="str">
        <x:v>Development &amp; presentation; Recognition &amp; diagnosis; Social &amp; structural</x:v>
      </x:c>
      <x:c r="G2203" s="28" t="str">
        <x:v>Childhood</x:v>
      </x:c>
      <x:c r="H2203" s="28" t="str">
        <x:v>Later specialized</x:v>
      </x:c>
      <x:c r="I2203" s="28" t="str">
        <x:v>Direct or strongly ADHD-related record retained for later screening; typically narrower treatment, biomarker, mechanistic, or single-comorbidity focus.</x:v>
      </x:c>
      <x:c r="J2203" s="38" t="e">
        <x:f>HYPERLINK("https://pubmed.ncbi.nlm.nih.gov/"&amp;C2203&amp;"/","Open PubMed")</x:f>
        <x:v>HYPERLINK is not implemented. linkLocation=https://pubmed.ncbi.nlm.nih.gov/39379094/, friendlyName=Open PubMed</x:v>
      </x:c>
    </x:row>
    <x:row r="2204">
      <x:c r="A2204" s="26" t="str">
        <x:v>PUBMED-38809476</x:v>
      </x:c>
      <x:c r="B2204" s="26" t="n">
        <x:v>2026</x:v>
      </x:c>
      <x:c r="C2204" s="26" t="str">
        <x:v>38809476</x:v>
      </x:c>
      <x:c r="D2204" s="28" t="str">
        <x:v>Relations Between Social Camouflaging, Life Satisfaction, and Depression Among Polish Women with ADHD.</x:v>
      </x:c>
      <x:c r="E2204" s="28" t="str">
        <x:v>Primary study - cross-sectional</x:v>
      </x:c>
      <x:c r="F2204" s="28" t="str">
        <x:v>Development &amp; presentation; Recognition &amp; diagnosis; Social &amp; structural; Life outcomes &amp; lived experience; Historical &amp; contemporary context</x:v>
      </x:c>
      <x:c r="G2204" s="28" t="str">
        <x:v>Adolescence; Adulthood</x:v>
      </x:c>
      <x:c r="H2204" s="28" t="str">
        <x:v>Batch 1 core</x:v>
      </x:c>
      <x:c r="I2204" s="28" t="str">
        <x:v>Direct ADHD primary study on diagnosis, family/education, structural conditions, lived experience/outcomes, or environment/lifestyle.</x:v>
      </x:c>
      <x:c r="J2204" s="38" t="e">
        <x:f>HYPERLINK("https://pubmed.ncbi.nlm.nih.gov/"&amp;C2204&amp;"/","Open PubMed")</x:f>
        <x:v>HYPERLINK is not implemented. linkLocation=https://pubmed.ncbi.nlm.nih.gov/38809476/, friendlyName=Open PubMed</x:v>
      </x:c>
    </x:row>
    <x:row r="2205">
      <x:c r="A2205" s="26" t="str">
        <x:v>PUBMED-38748323</x:v>
      </x:c>
      <x:c r="B2205" s="26" t="n">
        <x:v>2026</x:v>
      </x:c>
      <x:c r="C2205" s="26" t="str">
        <x:v>38748323</x:v>
      </x:c>
      <x:c r="D2205" s="28" t="str">
        <x:v>Social Skills and Reciprocal Behavior with a Virtual Player Among Children With and Without SLD/ADHD.</x:v>
      </x:c>
      <x:c r="E2205" s="28" t="str">
        <x:v>Primary/contextual journal article</x:v>
      </x:c>
      <x:c r="F2205" s="28" t="str">
        <x:v>Development &amp; presentation; Family &amp; education; Social &amp; structural</x:v>
      </x:c>
      <x:c r="G2205" s="28" t="str">
        <x:v>Childhood</x:v>
      </x:c>
      <x:c r="H2205" s="28" t="str">
        <x:v>Later specialized</x:v>
      </x:c>
      <x:c r="I2205" s="28" t="str">
        <x:v>Direct or strongly ADHD-related record retained for later screening; typically narrower treatment, biomarker, mechanistic, or single-comorbidity focus.</x:v>
      </x:c>
      <x:c r="J2205" s="38" t="e">
        <x:f>HYPERLINK("https://pubmed.ncbi.nlm.nih.gov/"&amp;C2205&amp;"/","Open PubMed")</x:f>
        <x:v>HYPERLINK is not implemented. linkLocation=https://pubmed.ncbi.nlm.nih.gov/38748323/, friendlyName=Open PubMed</x:v>
      </x:c>
    </x:row>
    <x:row r="2206">
      <x:c r="A2206" s="26" t="str">
        <x:v>PUBMED-42760662</x:v>
      </x:c>
      <x:c r="B2206" s="26" t="n">
        <x:v>2026</x:v>
      </x:c>
      <x:c r="C2206" s="26" t="str">
        <x:v>42760662</x:v>
      </x:c>
      <x:c r="D2206" s="28" t="str">
        <x:v>The relationship between problematic social media use and psychological factors among university students with evaluation of ADHD, social anxiety and self-esteem.</x:v>
      </x:c>
      <x:c r="E2206" s="28" t="str">
        <x:v>Primary study - cross-sectional</x:v>
      </x:c>
      <x:c r="F2206" s="28" t="str">
        <x:v>Development &amp; presentation; Recognition &amp; diagnosis; Social &amp; structural; Environmental &amp; lifestyle; Life outcomes &amp; lived experience; Historical &amp; contemporary context</x:v>
      </x:c>
      <x:c r="G2206" s="28" t="str">
        <x:v>Adolescence; Adulthood</x:v>
      </x:c>
      <x:c r="H2206" s="28" t="str">
        <x:v>Batch 1 core</x:v>
      </x:c>
      <x:c r="I2206" s="28" t="str">
        <x:v>Direct ADHD primary study on diagnosis, family/education, structural conditions, lived experience/outcomes, or environment/lifestyle.</x:v>
      </x:c>
      <x:c r="J2206" s="38" t="e">
        <x:f>HYPERLINK("https://pubmed.ncbi.nlm.nih.gov/"&amp;C2206&amp;"/","Open PubMed")</x:f>
        <x:v>HYPERLINK is not implemented. linkLocation=https://pubmed.ncbi.nlm.nih.gov/42760662/, friendlyName=Open PubMed</x:v>
      </x:c>
    </x:row>
    <x:row r="2207">
      <x:c r="A2207" s="26" t="str">
        <x:v>PUBMED-42642740</x:v>
      </x:c>
      <x:c r="B2207" s="26" t="n">
        <x:v>2026</x:v>
      </x:c>
      <x:c r="C2207" s="26" t="str">
        <x:v>42642740</x:v>
      </x:c>
      <x:c r="D2207" s="28" t="str">
        <x:v>Implementation and real-world effectiveness of a weighted blanket intervention and standard melatonin treatment for children with ADHD and sleep problems: protocol for a pragmatic longitudinal cohort study.</x:v>
      </x:c>
      <x:c r="E2207" s="28" t="str">
        <x:v>Primary study - clinical trial</x:v>
      </x:c>
      <x:c r="F2207" s="28" t="str">
        <x:v>Development &amp; presentation; Family &amp; education; Social &amp; structural; Environmental &amp; lifestyle; Treatment &amp; support; Life outcomes &amp; lived experience</x:v>
      </x:c>
      <x:c r="G2207" s="28" t="str">
        <x:v>Childhood; Adolescence</x:v>
      </x:c>
      <x:c r="H2207" s="28" t="str">
        <x:v>Later specialized</x:v>
      </x:c>
      <x:c r="I2207" s="28" t="str">
        <x:v>Direct or strongly ADHD-related record retained for later screening; typically narrower treatment, biomarker, mechanistic, or single-comorbidity focus.</x:v>
      </x:c>
      <x:c r="J2207" s="38" t="e">
        <x:f>HYPERLINK("https://pubmed.ncbi.nlm.nih.gov/"&amp;C2207&amp;"/","Open PubMed")</x:f>
        <x:v>HYPERLINK is not implemented. linkLocation=https://pubmed.ncbi.nlm.nih.gov/42642740/, friendlyName=Open PubMed</x:v>
      </x:c>
    </x:row>
    <x:row r="2208">
      <x:c r="A2208" s="26" t="str">
        <x:v>PUBMED-42380982</x:v>
      </x:c>
      <x:c r="B2208" s="26" t="n">
        <x:v>2026</x:v>
      </x:c>
      <x:c r="C2208" s="26" t="str">
        <x:v>42380982</x:v>
      </x:c>
      <x:c r="D2208" s="28" t="str">
        <x:v>Emotional interference control and emotional conflict adaptation in children and adolescents with ADHD.</x:v>
      </x:c>
      <x:c r="E2208" s="28" t="str">
        <x:v>Primary/contextual journal article</x:v>
      </x:c>
      <x:c r="F2208" s="28" t="str">
        <x:v>Development &amp; presentation; Social &amp; structural; Life outcomes &amp; lived experience</x:v>
      </x:c>
      <x:c r="G2208" s="28" t="str">
        <x:v>Childhood; Adolescence</x:v>
      </x:c>
      <x:c r="H2208" s="28" t="str">
        <x:v>Later specialized</x:v>
      </x:c>
      <x:c r="I2208" s="28" t="str">
        <x:v>Direct or strongly ADHD-related record retained for later screening; typically narrower treatment, biomarker, mechanistic, or single-comorbidity focus.</x:v>
      </x:c>
      <x:c r="J2208" s="38" t="e">
        <x:f>HYPERLINK("https://pubmed.ncbi.nlm.nih.gov/"&amp;C2208&amp;"/","Open PubMed")</x:f>
        <x:v>HYPERLINK is not implemented. linkLocation=https://pubmed.ncbi.nlm.nih.gov/42380982/, friendlyName=Open PubMed</x:v>
      </x:c>
    </x:row>
    <x:row r="2209">
      <x:c r="A2209" s="26" t="str">
        <x:v>PUBMED-42288756</x:v>
      </x:c>
      <x:c r="B2209" s="26" t="n">
        <x:v>2026</x:v>
      </x:c>
      <x:c r="C2209" s="26" t="str">
        <x:v>42288756</x:v>
      </x:c>
      <x:c r="D2209" s="28" t="str">
        <x:v>Exploring adolescents' and parents' experiences of pharmacological and non-pharmacological treatment in ADHD: a qualitative study.</x:v>
      </x:c>
      <x:c r="E2209" s="28" t="str">
        <x:v>Primary study - qualitative</x:v>
      </x:c>
      <x:c r="F2209" s="28" t="str">
        <x:v>Development &amp; presentation; Recognition &amp; diagnosis; Family &amp; education; Social &amp; structural; Treatment &amp; support; Life outcomes &amp; lived experience</x:v>
      </x:c>
      <x:c r="G2209" s="28" t="str">
        <x:v>Childhood; Adolescence</x:v>
      </x:c>
      <x:c r="H2209" s="28" t="str">
        <x:v>Batch 1 core</x:v>
      </x:c>
      <x:c r="I2209" s="28" t="str">
        <x:v>Direct ADHD primary study on diagnosis, family/education, structural conditions, lived experience/outcomes, or environment/lifestyle.</x:v>
      </x:c>
      <x:c r="J2209" s="38" t="e">
        <x:f>HYPERLINK("https://pubmed.ncbi.nlm.nih.gov/"&amp;C2209&amp;"/","Open PubMed")</x:f>
        <x:v>HYPERLINK is not implemented. linkLocation=https://pubmed.ncbi.nlm.nih.gov/42288756/, friendlyName=Open PubMed</x:v>
      </x:c>
    </x:row>
    <x:row r="2210">
      <x:c r="A2210" s="26" t="str">
        <x:v>PUBMED-42286570</x:v>
      </x:c>
      <x:c r="B2210" s="26" t="n">
        <x:v>2026</x:v>
      </x:c>
      <x:c r="C2210" s="26" t="str">
        <x:v>42286570</x:v>
      </x:c>
      <x:c r="D2210" s="28" t="str">
        <x:v>How do large language models answer ADHD-related questions? A comparative study of ChatGPT, Gemini, and DeepSeek.</x:v>
      </x:c>
      <x:c r="E2210" s="28" t="str">
        <x:v>Primary study - cross-sectional</x:v>
      </x:c>
      <x:c r="F2210" s="28" t="str">
        <x:v>Development &amp; presentation; Recognition &amp; diagnosis; Family &amp; education; Social &amp; structural; Treatment &amp; support; Life outcomes &amp; lived experience</x:v>
      </x:c>
      <x:c r="G2210" s="28" t="str">
        <x:v>Adolescence</x:v>
      </x:c>
      <x:c r="H2210" s="28" t="str">
        <x:v>Later specialized</x:v>
      </x:c>
      <x:c r="I2210" s="28" t="str">
        <x:v>Direct or strongly ADHD-related record retained for later screening; typically narrower treatment, biomarker, mechanistic, or single-comorbidity focus.</x:v>
      </x:c>
      <x:c r="J2210" s="38" t="e">
        <x:f>HYPERLINK("https://pubmed.ncbi.nlm.nih.gov/"&amp;C2210&amp;"/","Open PubMed")</x:f>
        <x:v>HYPERLINK is not implemented. linkLocation=https://pubmed.ncbi.nlm.nih.gov/42286570/, friendlyName=Open PubMed</x:v>
      </x:c>
    </x:row>
    <x:row r="2211">
      <x:c r="A2211" s="26" t="str">
        <x:v>PUBMED-41885904</x:v>
      </x:c>
      <x:c r="B2211" s="26" t="n">
        <x:v>2026</x:v>
      </x:c>
      <x:c r="C2211" s="26" t="str">
        <x:v>41885904</x:v>
      </x:c>
      <x:c r="D2211" s="28" t="str">
        <x:v>Neurocognitive and behavioral predictors of the simple view of reading in clinically evaluated children with and without ADHD.</x:v>
      </x:c>
      <x:c r="E2211" s="28" t="str">
        <x:v>Primary/contextual journal article</x:v>
      </x:c>
      <x:c r="F2211" s="28" t="str">
        <x:v>Development &amp; presentation; Social &amp; structural; Treatment &amp; support</x:v>
      </x:c>
      <x:c r="G2211" s="28" t="str">
        <x:v>Childhood</x:v>
      </x:c>
      <x:c r="H2211" s="28" t="str">
        <x:v>Later specialized</x:v>
      </x:c>
      <x:c r="I2211" s="28" t="str">
        <x:v>Direct or strongly ADHD-related record retained for later screening; typically narrower treatment, biomarker, mechanistic, or single-comorbidity focus.</x:v>
      </x:c>
      <x:c r="J2211" s="38" t="e">
        <x:f>HYPERLINK("https://pubmed.ncbi.nlm.nih.gov/"&amp;C2211&amp;"/","Open PubMed")</x:f>
        <x:v>HYPERLINK is not implemented. linkLocation=https://pubmed.ncbi.nlm.nih.gov/41885904/, friendlyName=Open PubMed</x:v>
      </x:c>
    </x:row>
    <x:row r="2212">
      <x:c r="A2212" s="26" t="str">
        <x:v>PUBMED-41883200</x:v>
      </x:c>
      <x:c r="B2212" s="26" t="n">
        <x:v>2026</x:v>
      </x:c>
      <x:c r="C2212" s="26" t="str">
        <x:v>41883200</x:v>
      </x:c>
      <x:c r="D2212" s="28" t="str">
        <x:v>The Relationship Between ADHD Symptom Severity and Sleep Disturbance Using Accelerometer and the Subjective Sleep Disturbance Scale.</x:v>
      </x:c>
      <x:c r="E2212" s="28" t="str">
        <x:v>Primary/contextual journal article</x:v>
      </x:c>
      <x:c r="F2212" s="28" t="str">
        <x:v>Development &amp; presentation; Recognition &amp; diagnosis; Family &amp; education; Social &amp; structural; Environmental &amp; lifestyle; Treatment &amp; support; Life outcomes &amp; lived experience</x:v>
      </x:c>
      <x:c r="G2212" s="28" t="str">
        <x:v>Childhood; Adolescence</x:v>
      </x:c>
      <x:c r="H2212" s="28" t="str">
        <x:v>Later specialized</x:v>
      </x:c>
      <x:c r="I2212" s="28" t="str">
        <x:v>Direct or strongly ADHD-related record retained for later screening; typically narrower treatment, biomarker, mechanistic, or single-comorbidity focus.</x:v>
      </x:c>
      <x:c r="J2212" s="38" t="e">
        <x:f>HYPERLINK("https://pubmed.ncbi.nlm.nih.gov/"&amp;C2212&amp;"/","Open PubMed")</x:f>
        <x:v>HYPERLINK is not implemented. linkLocation=https://pubmed.ncbi.nlm.nih.gov/41883200/, friendlyName=Open PubMed</x:v>
      </x:c>
    </x:row>
    <x:row r="2213">
      <x:c r="A2213" s="26" t="str">
        <x:v>PUBMED-41806045</x:v>
      </x:c>
      <x:c r="B2213" s="26" t="n">
        <x:v>2026</x:v>
      </x:c>
      <x:c r="C2213" s="26" t="str">
        <x:v>41806045</x:v>
      </x:c>
      <x:c r="D2213" s="28" t="str">
        <x:v>Coarser event segmentation and impaired temporal order memory in subclinical ADHD.</x:v>
      </x:c>
      <x:c r="E2213" s="28" t="str">
        <x:v>Primary/contextual journal article</x:v>
      </x:c>
      <x:c r="F2213" s="28" t="str">
        <x:v>Development &amp; presentation; Social &amp; structural; Historical &amp; contemporary context</x:v>
      </x:c>
      <x:c r="G2213" s="28" t="str">
        <x:v>Adolescence; Adulthood</x:v>
      </x:c>
      <x:c r="H2213" s="28" t="str">
        <x:v>Later specialized</x:v>
      </x:c>
      <x:c r="I2213" s="28" t="str">
        <x:v>Direct or strongly ADHD-related record retained for later screening; typically narrower treatment, biomarker, mechanistic, or single-comorbidity focus.</x:v>
      </x:c>
      <x:c r="J2213" s="38" t="e">
        <x:f>HYPERLINK("https://pubmed.ncbi.nlm.nih.gov/"&amp;C2213&amp;"/","Open PubMed")</x:f>
        <x:v>HYPERLINK is not implemented. linkLocation=https://pubmed.ncbi.nlm.nih.gov/41806045/, friendlyName=Open PubMed</x:v>
      </x:c>
    </x:row>
    <x:row r="2214">
      <x:c r="A2214" s="26" t="str">
        <x:v>PUBMED-41712041</x:v>
      </x:c>
      <x:c r="B2214" s="26" t="n">
        <x:v>2026</x:v>
      </x:c>
      <x:c r="C2214" s="26" t="str">
        <x:v>41712041</x:v>
      </x:c>
      <x:c r="D2214" s="28" t="str">
        <x:v>Cognitive Disengagement Syndrome Symptoms and ADHD Dimensions in Relation To Children's Daily Life Executive Functioning Deficits.</x:v>
      </x:c>
      <x:c r="E2214" s="28" t="str">
        <x:v>Primary/contextual journal article</x:v>
      </x:c>
      <x:c r="F2214" s="28" t="str">
        <x:v>Development &amp; presentation; Family &amp; education; Social &amp; structural; Treatment &amp; support; Life outcomes &amp; lived experience</x:v>
      </x:c>
      <x:c r="G2214" s="28" t="str">
        <x:v>Childhood</x:v>
      </x:c>
      <x:c r="H2214" s="28" t="str">
        <x:v>Later specialized</x:v>
      </x:c>
      <x:c r="I2214" s="28" t="str">
        <x:v>Direct or strongly ADHD-related record retained for later screening; typically narrower treatment, biomarker, mechanistic, or single-comorbidity focus.</x:v>
      </x:c>
      <x:c r="J2214" s="38" t="e">
        <x:f>HYPERLINK("https://pubmed.ncbi.nlm.nih.gov/"&amp;C2214&amp;"/","Open PubMed")</x:f>
        <x:v>HYPERLINK is not implemented. linkLocation=https://pubmed.ncbi.nlm.nih.gov/41712041/, friendlyName=Open PubMed</x:v>
      </x:c>
    </x:row>
    <x:row r="2215">
      <x:c r="A2215" s="26" t="str">
        <x:v>PUBMED-41685750</x:v>
      </x:c>
      <x:c r="B2215" s="26" t="n">
        <x:v>2026</x:v>
      </x:c>
      <x:c r="C2215" s="26" t="str">
        <x:v>41685750</x:v>
      </x:c>
      <x:c r="D2215" s="28" t="str">
        <x:v>Deafness and Hearing Problems and Their Association With Autism Spectrum Disorder Diagnosis and Symptoms.</x:v>
      </x:c>
      <x:c r="E2215" s="28" t="str">
        <x:v>Primary study - cross-sectional</x:v>
      </x:c>
      <x:c r="F2215" s="28" t="str">
        <x:v>Development &amp; presentation; Recognition &amp; diagnosis; Family &amp; education; Social &amp; structural; Environmental &amp; lifestyle</x:v>
      </x:c>
      <x:c r="G2215" s="28" t="str">
        <x:v>Childhood; Adolescence</x:v>
      </x:c>
      <x:c r="H2215" s="28" t="str">
        <x:v>Later specialized</x:v>
      </x:c>
      <x:c r="I2215" s="28" t="str">
        <x:v>Direct or strongly ADHD-related record retained for later screening; typically narrower treatment, biomarker, mechanistic, or single-comorbidity focus.</x:v>
      </x:c>
      <x:c r="J2215" s="38" t="e">
        <x:f>HYPERLINK("https://pubmed.ncbi.nlm.nih.gov/"&amp;C2215&amp;"/","Open PubMed")</x:f>
        <x:v>HYPERLINK is not implemented. linkLocation=https://pubmed.ncbi.nlm.nih.gov/41685750/, friendlyName=Open PubMed</x:v>
      </x:c>
    </x:row>
    <x:row r="2216">
      <x:c r="A2216" s="26" t="str">
        <x:v>PUBMED-41553572</x:v>
      </x:c>
      <x:c r="B2216" s="26" t="n">
        <x:v>2026</x:v>
      </x:c>
      <x:c r="C2216" s="26" t="str">
        <x:v>41553572</x:v>
      </x:c>
      <x:c r="D2216" s="28" t="str">
        <x:v>Adult ADHD in Cultural Ecosocial Niches: Exploring the Rise of Adult ADHD in Context.</x:v>
      </x:c>
      <x:c r="E2216" s="28" t="str">
        <x:v>Primary/contextual journal article</x:v>
      </x:c>
      <x:c r="F2216" s="28" t="str">
        <x:v>Development &amp; presentation; Recognition &amp; diagnosis; Social &amp; structural; Environmental &amp; lifestyle; Life outcomes &amp; lived experience; Historical &amp; contemporary context</x:v>
      </x:c>
      <x:c r="G2216" s="28" t="str">
        <x:v>Adulthood</x:v>
      </x:c>
      <x:c r="H2216" s="28" t="str">
        <x:v>Later specialized</x:v>
      </x:c>
      <x:c r="I2216" s="28" t="str">
        <x:v>Direct or strongly ADHD-related record retained for later screening; typically narrower treatment, biomarker, mechanistic, or single-comorbidity focus.</x:v>
      </x:c>
      <x:c r="J2216" s="38" t="e">
        <x:f>HYPERLINK("https://pubmed.ncbi.nlm.nih.gov/"&amp;C2216&amp;"/","Open PubMed")</x:f>
        <x:v>HYPERLINK is not implemented. linkLocation=https://pubmed.ncbi.nlm.nih.gov/41553572/, friendlyName=Open PubMed</x:v>
      </x:c>
    </x:row>
    <x:row r="2217">
      <x:c r="A2217" s="26" t="str">
        <x:v>PUBMED-41540291</x:v>
      </x:c>
      <x:c r="B2217" s="26" t="n">
        <x:v>2026</x:v>
      </x:c>
      <x:c r="C2217" s="26" t="str">
        <x:v>41540291</x:v>
      </x:c>
      <x:c r="D2217" s="28" t="str">
        <x:v>Testing the Risk of Child Hyperactivity-Inattention Problems in Families Living with Housing-cost Burden during the COVID-19 Pandemic.</x:v>
      </x:c>
      <x:c r="E2217" s="28" t="str">
        <x:v>Primary/contextual journal article</x:v>
      </x:c>
      <x:c r="F2217" s="28" t="str">
        <x:v>Development &amp; presentation; Family &amp; education; Social &amp; structural; Life outcomes &amp; lived experience</x:v>
      </x:c>
      <x:c r="G2217" s="28" t="str">
        <x:v>Childhood</x:v>
      </x:c>
      <x:c r="H2217" s="28" t="str">
        <x:v>Later specialized</x:v>
      </x:c>
      <x:c r="I2217" s="28" t="str">
        <x:v>Direct or strongly ADHD-related record retained for later screening; typically narrower treatment, biomarker, mechanistic, or single-comorbidity focus.</x:v>
      </x:c>
      <x:c r="J2217" s="38" t="e">
        <x:f>HYPERLINK("https://pubmed.ncbi.nlm.nih.gov/"&amp;C2217&amp;"/","Open PubMed")</x:f>
        <x:v>HYPERLINK is not implemented. linkLocation=https://pubmed.ncbi.nlm.nih.gov/41540291/, friendlyName=Open PubMed</x:v>
      </x:c>
    </x:row>
    <x:row r="2218">
      <x:c r="A2218" s="26" t="str">
        <x:v>PUBMED-41486113</x:v>
      </x:c>
      <x:c r="B2218" s="26" t="n">
        <x:v>2026</x:v>
      </x:c>
      <x:c r="C2218" s="26" t="str">
        <x:v>41486113</x:v>
      </x:c>
      <x:c r="D2218" s="28" t="str">
        <x:v>Profiling Chinese children with symptoms of SpLD, ADHD, or ASD: a transdiagnostic and biopsychosocial study.</x:v>
      </x:c>
      <x:c r="E2218" s="28" t="str">
        <x:v>Primary/contextual journal article</x:v>
      </x:c>
      <x:c r="F2218" s="28" t="str">
        <x:v>Development &amp; presentation; Recognition &amp; diagnosis; Family &amp; education; Social &amp; structural; Life outcomes &amp; lived experience</x:v>
      </x:c>
      <x:c r="G2218" s="28" t="str">
        <x:v>Childhood</x:v>
      </x:c>
      <x:c r="H2218" s="28" t="str">
        <x:v>Later specialized</x:v>
      </x:c>
      <x:c r="I2218" s="28" t="str">
        <x:v>Direct or strongly ADHD-related record retained for later screening; typically narrower treatment, biomarker, mechanistic, or single-comorbidity focus.</x:v>
      </x:c>
      <x:c r="J2218" s="38" t="e">
        <x:f>HYPERLINK("https://pubmed.ncbi.nlm.nih.gov/"&amp;C2218&amp;"/","Open PubMed")</x:f>
        <x:v>HYPERLINK is not implemented. linkLocation=https://pubmed.ncbi.nlm.nih.gov/41486113/, friendlyName=Open PubMed</x:v>
      </x:c>
    </x:row>
    <x:row r="2219">
      <x:c r="A2219" s="26" t="str">
        <x:v>PUBMED-41364631</x:v>
      </x:c>
      <x:c r="B2219" s="26" t="n">
        <x:v>2026</x:v>
      </x:c>
      <x:c r="C2219" s="26" t="str">
        <x:v>41364631</x:v>
      </x:c>
      <x:c r="D2219" s="28" t="str">
        <x:v>Effect of School Reopenings on Children's Mental Health During COVID-19: Quasi-experimental Evidence from California.</x:v>
      </x:c>
      <x:c r="E2219" s="28" t="str">
        <x:v>Primary/contextual journal article</x:v>
      </x:c>
      <x:c r="F2219" s="28" t="str">
        <x:v>Development &amp; presentation; Recognition &amp; diagnosis; Family &amp; education; Social &amp; structural</x:v>
      </x:c>
      <x:c r="G2219" s="28" t="str">
        <x:v>Childhood; Adolescence</x:v>
      </x:c>
      <x:c r="H2219" s="28" t="str">
        <x:v>Exclude/incidental</x:v>
      </x:c>
      <x:c r="I2219" s="28" t="str">
        <x:v>ADHD appears peripheral or insufficiently aligned with the requested corpus scope based on accessible metadata/abstract.</x:v>
      </x:c>
      <x:c r="J2219" s="38" t="e">
        <x:f>HYPERLINK("https://pubmed.ncbi.nlm.nih.gov/"&amp;C2219&amp;"/","Open PubMed")</x:f>
        <x:v>HYPERLINK is not implemented. linkLocation=https://pubmed.ncbi.nlm.nih.gov/41364631/, friendlyName=Open PubMed</x:v>
      </x:c>
    </x:row>
    <x:row r="2220">
      <x:c r="A2220" s="26" t="str">
        <x:v>PUBMED-41982070</x:v>
      </x:c>
      <x:c r="B2220" s="26" t="n">
        <x:v>2026</x:v>
      </x:c>
      <x:c r="C2220" s="26" t="str">
        <x:v>41982070</x:v>
      </x:c>
      <x:c r="D2220" s="28" t="str">
        <x:v>The Effects of Environmental Enrichment on the Behavioral Profile of an Attention-Deficit/Hyperactivity Disorder Animal Model: A Systematic Review and Meta-Analysis.</x:v>
      </x:c>
      <x:c r="E2220" s="28" t="str">
        <x:v>Evidence synthesis - meta-analysis</x:v>
      </x:c>
      <x:c r="F2220" s="28" t="str">
        <x:v>Development &amp; presentation; Recognition &amp; diagnosis; Social &amp; structural; Environmental &amp; lifestyle; Treatment &amp; support</x:v>
      </x:c>
      <x:c r="G2220" s="28" t="str">
        <x:v>Not specified</x:v>
      </x:c>
      <x:c r="H2220" s="28" t="str">
        <x:v>Exclude/incidental</x:v>
      </x:c>
      <x:c r="I2220" s="28" t="str">
        <x:v>Animal-only record; retained outside the human-focused core corpus.</x:v>
      </x:c>
      <x:c r="J2220" s="38" t="e">
        <x:f>HYPERLINK("https://pubmed.ncbi.nlm.nih.gov/"&amp;C2220&amp;"/","Open PubMed")</x:f>
        <x:v>HYPERLINK is not implemented. linkLocation=https://pubmed.ncbi.nlm.nih.gov/41982070/, friendlyName=Open PubMed</x:v>
      </x:c>
    </x:row>
    <x:row r="2221">
      <x:c r="A2221" s="26" t="str">
        <x:v>PUBMED-41966732</x:v>
      </x:c>
      <x:c r="B2221" s="26" t="n">
        <x:v>2026</x:v>
      </x:c>
      <x:c r="C2221" s="26" t="str">
        <x:v>41966732</x:v>
      </x:c>
      <x:c r="D2221" s="28" t="str">
        <x:v>Association of morning plasma melatonin levels with chronotype, sleep disturbance, anxiety, and depression symptoms in adolescents with ADHD.</x:v>
      </x:c>
      <x:c r="E2221" s="28" t="str">
        <x:v>Primary/contextual journal article</x:v>
      </x:c>
      <x:c r="F2221" s="28" t="str">
        <x:v>Development &amp; presentation; Recognition &amp; diagnosis; Family &amp; education; Social &amp; structural; Environmental &amp; lifestyle; Treatment &amp; support; Life outcomes &amp; lived experience</x:v>
      </x:c>
      <x:c r="G2221" s="28" t="str">
        <x:v>Childhood; Adolescence</x:v>
      </x:c>
      <x:c r="H2221" s="28" t="str">
        <x:v>Later specialized</x:v>
      </x:c>
      <x:c r="I2221" s="28" t="str">
        <x:v>Direct or strongly ADHD-related record retained for later screening; typically narrower treatment, biomarker, mechanistic, or single-comorbidity focus.</x:v>
      </x:c>
      <x:c r="J2221" s="38" t="e">
        <x:f>HYPERLINK("https://pubmed.ncbi.nlm.nih.gov/"&amp;C2221&amp;"/","Open PubMed")</x:f>
        <x:v>HYPERLINK is not implemented. linkLocation=https://pubmed.ncbi.nlm.nih.gov/41966732/, friendlyName=Open PubMed</x:v>
      </x:c>
    </x:row>
    <x:row r="2222">
      <x:c r="A2222" s="26" t="str">
        <x:v>PUBMED-41963182</x:v>
      </x:c>
      <x:c r="B2222" s="26" t="n">
        <x:v>2026</x:v>
      </x:c>
      <x:c r="C2222" s="26" t="str">
        <x:v>41963182</x:v>
      </x:c>
      <x:c r="D2222" s="28" t="str">
        <x:v>Sleep trajectories and behavioural development in children and adolescents.</x:v>
      </x:c>
      <x:c r="E2222" s="28" t="str">
        <x:v>Evidence synthesis - review</x:v>
      </x:c>
      <x:c r="F2222" s="28" t="str">
        <x:v>Development &amp; presentation; Family &amp; education; Social &amp; structural; Environmental &amp; lifestyle; Life outcomes &amp; lived experience; Historical &amp; contemporary context</x:v>
      </x:c>
      <x:c r="G2222" s="28" t="str">
        <x:v>Childhood; Adolescence</x:v>
      </x:c>
      <x:c r="H2222" s="28" t="str">
        <x:v>Exclude/incidental</x:v>
      </x:c>
      <x:c r="I2222" s="28" t="str">
        <x:v>ADHD appears peripheral or insufficiently aligned with the requested corpus scope based on accessible metadata/abstract.</x:v>
      </x:c>
      <x:c r="J2222" s="38" t="e">
        <x:f>HYPERLINK("https://pubmed.ncbi.nlm.nih.gov/"&amp;C2222&amp;"/","Open PubMed")</x:f>
        <x:v>HYPERLINK is not implemented. linkLocation=https://pubmed.ncbi.nlm.nih.gov/41963182/, friendlyName=Open PubMed</x:v>
      </x:c>
    </x:row>
    <x:row r="2223">
      <x:c r="A2223" s="26" t="str">
        <x:v>PUBMED-41958508</x:v>
      </x:c>
      <x:c r="B2223" s="26" t="n">
        <x:v>2026</x:v>
      </x:c>
      <x:c r="C2223" s="26" t="str">
        <x:v>41958508</x:v>
      </x:c>
      <x:c r="D2223" s="28" t="str">
        <x:v>Auditory integration training techniques for brain stimulation to reduce attention deficit hyperactivity disorder symptoms and improve academic and behavioral skills among children with learning disabilities.</x:v>
      </x:c>
      <x:c r="E2223" s="28" t="str">
        <x:v>Primary study - qualitative</x:v>
      </x:c>
      <x:c r="F2223" s="28" t="str">
        <x:v>Development &amp; presentation; Recognition &amp; diagnosis; Family &amp; education; Social &amp; structural; Treatment &amp; support; Life outcomes &amp; lived experience</x:v>
      </x:c>
      <x:c r="G2223" s="28" t="str">
        <x:v>Childhood</x:v>
      </x:c>
      <x:c r="H2223" s="28" t="str">
        <x:v>Batch 1 core</x:v>
      </x:c>
      <x:c r="I2223" s="28" t="str">
        <x:v>Direct ADHD primary study on diagnosis, family/education, structural conditions, lived experience/outcomes, or environment/lifestyle.</x:v>
      </x:c>
      <x:c r="J2223" s="38" t="e">
        <x:f>HYPERLINK("https://pubmed.ncbi.nlm.nih.gov/"&amp;C2223&amp;"/","Open PubMed")</x:f>
        <x:v>HYPERLINK is not implemented. linkLocation=https://pubmed.ncbi.nlm.nih.gov/41958508/, friendlyName=Open PubMed</x:v>
      </x:c>
    </x:row>
    <x:row r="2224">
      <x:c r="A2224" s="26" t="str">
        <x:v>PUBMED-41958186</x:v>
      </x:c>
      <x:c r="B2224" s="26" t="n">
        <x:v>2026</x:v>
      </x:c>
      <x:c r="C2224" s="26" t="str">
        <x:v>41958186</x:v>
      </x:c>
      <x:c r="D2224" s="28" t="str">
        <x:v>Efficacy of Centanafadine for Executive Functioning and Learning Problems in Children and Adolescents with Attention-Deficit/Hyperactivity Disorder.</x:v>
      </x:c>
      <x:c r="E2224" s="28" t="str">
        <x:v>Primary study - randomized controlled trial</x:v>
      </x:c>
      <x:c r="F2224" s="28" t="str">
        <x:v>Development &amp; presentation; Recognition &amp; diagnosis; Family &amp; education; Social &amp; structural; Treatment &amp; support; Life outcomes &amp; lived experience</x:v>
      </x:c>
      <x:c r="G2224" s="28" t="str">
        <x:v>Childhood; Adolescence</x:v>
      </x:c>
      <x:c r="H2224" s="28" t="str">
        <x:v>Later specialized</x:v>
      </x:c>
      <x:c r="I2224" s="28" t="str">
        <x:v>Direct or strongly ADHD-related record retained for later screening; typically narrower treatment, biomarker, mechanistic, or single-comorbidity focus.</x:v>
      </x:c>
      <x:c r="J2224" s="38" t="e">
        <x:f>HYPERLINK("https://pubmed.ncbi.nlm.nih.gov/"&amp;C2224&amp;"/","Open PubMed")</x:f>
        <x:v>HYPERLINK is not implemented. linkLocation=https://pubmed.ncbi.nlm.nih.gov/41958186/, friendlyName=Open PubMed</x:v>
      </x:c>
    </x:row>
    <x:row r="2225">
      <x:c r="A2225" s="26" t="str">
        <x:v>PUBMED-41956837</x:v>
      </x:c>
      <x:c r="B2225" s="26" t="n">
        <x:v>2026</x:v>
      </x:c>
      <x:c r="C2225" s="26" t="str">
        <x:v>41956837</x:v>
      </x:c>
      <x:c r="D2225" s="28" t="str">
        <x:v>Adolescence and ADHD: Practical proposals regarding the transition of care.</x:v>
      </x:c>
      <x:c r="E2225" s="28" t="str">
        <x:v>Evidence synthesis - review</x:v>
      </x:c>
      <x:c r="F2225" s="28" t="str">
        <x:v>Development &amp; presentation; Recognition &amp; diagnosis; Family &amp; education; Social &amp; structural; Treatment &amp; support; Life outcomes &amp; lived experience</x:v>
      </x:c>
      <x:c r="G2225" s="28" t="str">
        <x:v>Childhood; Adolescence; Adulthood</x:v>
      </x:c>
      <x:c r="H2225" s="28" t="str">
        <x:v>Later specialized</x:v>
      </x:c>
      <x:c r="I2225" s="28" t="str">
        <x:v>Direct or strongly ADHD-related record retained for later screening; typically narrower treatment, biomarker, mechanistic, or single-comorbidity focus.</x:v>
      </x:c>
      <x:c r="J2225" s="38" t="e">
        <x:f>HYPERLINK("https://pubmed.ncbi.nlm.nih.gov/"&amp;C2225&amp;"/","Open PubMed")</x:f>
        <x:v>HYPERLINK is not implemented. linkLocation=https://pubmed.ncbi.nlm.nih.gov/41956837/, friendlyName=Open PubMed</x:v>
      </x:c>
    </x:row>
    <x:row r="2226">
      <x:c r="A2226" s="26" t="str">
        <x:v>PUBMED-41955914</x:v>
      </x:c>
      <x:c r="B2226" s="26" t="n">
        <x:v>2026</x:v>
      </x:c>
      <x:c r="C2226" s="26" t="str">
        <x:v>41955914</x:v>
      </x:c>
      <x:c r="D2226" s="28" t="str">
        <x:v>Challenges in translating AI-driven ASD/ADHD diagnosis: A methodological systematic review.</x:v>
      </x:c>
      <x:c r="E2226" s="28" t="str">
        <x:v>Evidence synthesis - systematic review</x:v>
      </x:c>
      <x:c r="F2226" s="28" t="str">
        <x:v>Development &amp; presentation; Recognition &amp; diagnosis; Social &amp; structural; Treatment &amp; support</x:v>
      </x:c>
      <x:c r="G2226" s="28" t="str">
        <x:v>Childhood</x:v>
      </x:c>
      <x:c r="H2226" s="28" t="str">
        <x:v>Batch 1 core</x:v>
      </x:c>
      <x:c r="I2226" s="28" t="str">
        <x:v>Direct ADHD evidence synthesis/guideline with broad multi-topic relevance.</x:v>
      </x:c>
      <x:c r="J2226" s="38" t="e">
        <x:f>HYPERLINK("https://pubmed.ncbi.nlm.nih.gov/"&amp;C2226&amp;"/","Open PubMed")</x:f>
        <x:v>HYPERLINK is not implemented. linkLocation=https://pubmed.ncbi.nlm.nih.gov/41955914/, friendlyName=Open PubMed</x:v>
      </x:c>
    </x:row>
    <x:row r="2227">
      <x:c r="A2227" s="26" t="str">
        <x:v>PUBMED-41952160</x:v>
      </x:c>
      <x:c r="B2227" s="26" t="n">
        <x:v>2026</x:v>
      </x:c>
      <x:c r="C2227" s="26" t="str">
        <x:v>41952160</x:v>
      </x:c>
      <x:c r="D2227" s="28" t="str">
        <x:v>Fat-soluble vitamin deficiency in children with neurodevelopmental disorders: a cross-sectional study.</x:v>
      </x:c>
      <x:c r="E2227" s="28" t="str">
        <x:v>Primary study - cohort</x:v>
      </x:c>
      <x:c r="F2227" s="28" t="str">
        <x:v>Development &amp; presentation; Family &amp; education; Social &amp; structural; Environmental &amp; lifestyle; Life outcomes &amp; lived experience</x:v>
      </x:c>
      <x:c r="G2227" s="28" t="str">
        <x:v>Childhood; Adolescence</x:v>
      </x:c>
      <x:c r="H2227" s="28" t="str">
        <x:v>Later specialized</x:v>
      </x:c>
      <x:c r="I2227" s="28" t="str">
        <x:v>Direct or strongly ADHD-related record retained for later screening; typically narrower treatment, biomarker, mechanistic, or single-comorbidity focus.</x:v>
      </x:c>
      <x:c r="J2227" s="38" t="e">
        <x:f>HYPERLINK("https://pubmed.ncbi.nlm.nih.gov/"&amp;C2227&amp;"/","Open PubMed")</x:f>
        <x:v>HYPERLINK is not implemented. linkLocation=https://pubmed.ncbi.nlm.nih.gov/41952160/, friendlyName=Open PubMed</x:v>
      </x:c>
    </x:row>
    <x:row r="2228">
      <x:c r="A2228" s="26" t="str">
        <x:v>PUBMED-41949840</x:v>
      </x:c>
      <x:c r="B2228" s="26" t="n">
        <x:v>2026</x:v>
      </x:c>
      <x:c r="C2228" s="26" t="str">
        <x:v>41949840</x:v>
      </x:c>
      <x:c r="D2228" s="28" t="str">
        <x:v>Age at First Attention-Deficit/Hyperactivity Disorder Diagnosis and Educational Outcomes.</x:v>
      </x:c>
      <x:c r="E2228" s="28" t="str">
        <x:v>Primary study - cohort</x:v>
      </x:c>
      <x:c r="F2228" s="28" t="str">
        <x:v>Development &amp; presentation; Recognition &amp; diagnosis; Family &amp; education; Social &amp; structural; Environmental &amp; lifestyle; Treatment &amp; support; Life outcomes &amp; lived experience</x:v>
      </x:c>
      <x:c r="G2228" s="28" t="str">
        <x:v>Childhood; Adolescence; Adulthood</x:v>
      </x:c>
      <x:c r="H2228" s="28" t="str">
        <x:v>Batch 1 core</x:v>
      </x:c>
      <x:c r="I2228" s="28" t="str">
        <x:v>Direct ADHD primary study on diagnosis, family/education, structural conditions, lived experience/outcomes, or environment/lifestyle.</x:v>
      </x:c>
      <x:c r="J2228" s="38" t="e">
        <x:f>HYPERLINK("https://pubmed.ncbi.nlm.nih.gov/"&amp;C2228&amp;"/","Open PubMed")</x:f>
        <x:v>HYPERLINK is not implemented. linkLocation=https://pubmed.ncbi.nlm.nih.gov/41949840/, friendlyName=Open PubMed</x:v>
      </x:c>
    </x:row>
    <x:row r="2229">
      <x:c r="A2229" s="26" t="str">
        <x:v>PUBMED-41942429</x:v>
      </x:c>
      <x:c r="B2229" s="26" t="n">
        <x:v>2026</x:v>
      </x:c>
      <x:c r="C2229" s="26" t="str">
        <x:v>41942429</x:v>
      </x:c>
      <x:c r="D2229" s="28" t="str">
        <x:v>Psychiatric predictors of first-onset suicidal thoughts and behaviors throughout preadolescence: longitudinal associations in a US population-based study.</x:v>
      </x:c>
      <x:c r="E2229" s="28" t="str">
        <x:v>Primary/contextual journal article</x:v>
      </x:c>
      <x:c r="F2229" s="28" t="str">
        <x:v>Development &amp; presentation; Recognition &amp; diagnosis; Social &amp; structural; Treatment &amp; support</x:v>
      </x:c>
      <x:c r="G2229" s="28" t="str">
        <x:v>Childhood; Adolescence</x:v>
      </x:c>
      <x:c r="H2229" s="28" t="str">
        <x:v>Later specialized</x:v>
      </x:c>
      <x:c r="I2229" s="28" t="str">
        <x:v>Direct or strongly ADHD-related record retained for later screening; typically narrower treatment, biomarker, mechanistic, or single-comorbidity focus.</x:v>
      </x:c>
      <x:c r="J2229" s="38" t="e">
        <x:f>HYPERLINK("https://pubmed.ncbi.nlm.nih.gov/"&amp;C2229&amp;"/","Open PubMed")</x:f>
        <x:v>HYPERLINK is not implemented. linkLocation=https://pubmed.ncbi.nlm.nih.gov/41942429/, friendlyName=Open PubMed</x:v>
      </x:c>
    </x:row>
    <x:row r="2230">
      <x:c r="A2230" s="26" t="str">
        <x:v>PUBMED-41937359</x:v>
      </x:c>
      <x:c r="B2230" s="26" t="n">
        <x:v>2026</x:v>
      </x:c>
      <x:c r="C2230" s="26" t="str">
        <x:v>41937359</x:v>
      </x:c>
      <x:c r="D2230" s="28" t="str">
        <x:v>The Siren's call: How social media influencers are using identity leadership to shape diagnostic label identification and self-care intentions.</x:v>
      </x:c>
      <x:c r="E2230" s="28" t="str">
        <x:v>Primary/contextual journal article</x:v>
      </x:c>
      <x:c r="F2230" s="28" t="str">
        <x:v>Development &amp; presentation; Recognition &amp; diagnosis; Social &amp; structural; Environmental &amp; lifestyle; Historical &amp; contemporary context</x:v>
      </x:c>
      <x:c r="G2230" s="28" t="str">
        <x:v>Adolescence; Adulthood</x:v>
      </x:c>
      <x:c r="H2230" s="28" t="str">
        <x:v>Exclude/incidental</x:v>
      </x:c>
      <x:c r="I2230" s="28" t="str">
        <x:v>ADHD appears peripheral or insufficiently aligned with the requested corpus scope based on accessible metadata/abstract.</x:v>
      </x:c>
      <x:c r="J2230" s="38" t="e">
        <x:f>HYPERLINK("https://pubmed.ncbi.nlm.nih.gov/"&amp;C2230&amp;"/","Open PubMed")</x:f>
        <x:v>HYPERLINK is not implemented. linkLocation=https://pubmed.ncbi.nlm.nih.gov/41937359/, friendlyName=Open PubMed</x:v>
      </x:c>
    </x:row>
    <x:row r="2231">
      <x:c r="A2231" s="26" t="str">
        <x:v>PUBMED-41936984</x:v>
      </x:c>
      <x:c r="B2231" s="26" t="n">
        <x:v>2026</x:v>
      </x:c>
      <x:c r="C2231" s="26" t="str">
        <x:v>41936984</x:v>
      </x:c>
      <x:c r="D2231" s="28" t="str">
        <x:v>Unveiling the robustness and utility of nonlinear functional connectivity in resting-state fMRI.</x:v>
      </x:c>
      <x:c r="E2231" s="28" t="str">
        <x:v>Primary/contextual journal article</x:v>
      </x:c>
      <x:c r="F2231" s="28" t="str">
        <x:v>Development &amp; presentation; Recognition &amp; diagnosis; Life outcomes &amp; lived experience; Historical &amp; contemporary context</x:v>
      </x:c>
      <x:c r="G2231" s="28" t="str">
        <x:v>Adulthood</x:v>
      </x:c>
      <x:c r="H2231" s="28" t="str">
        <x:v>Later specialized</x:v>
      </x:c>
      <x:c r="I2231" s="28" t="str">
        <x:v>Direct or strongly ADHD-related record retained for later screening; typically narrower treatment, biomarker, mechanistic, or single-comorbidity focus.</x:v>
      </x:c>
      <x:c r="J2231" s="38" t="e">
        <x:f>HYPERLINK("https://pubmed.ncbi.nlm.nih.gov/"&amp;C2231&amp;"/","Open PubMed")</x:f>
        <x:v>HYPERLINK is not implemented. linkLocation=https://pubmed.ncbi.nlm.nih.gov/41936984/, friendlyName=Open PubMed</x:v>
      </x:c>
    </x:row>
    <x:row r="2232">
      <x:c r="A2232" s="26" t="str">
        <x:v>PUBMED-41936771</x:v>
      </x:c>
      <x:c r="B2232" s="26" t="n">
        <x:v>2026</x:v>
      </x:c>
      <x:c r="C2232" s="26" t="str">
        <x:v>41936771</x:v>
      </x:c>
      <x:c r="D2232" s="28" t="str">
        <x:v>ADHD traits are not related to multisensory integration in a university population.</x:v>
      </x:c>
      <x:c r="E2232" s="28" t="str">
        <x:v>Primary/contextual journal article</x:v>
      </x:c>
      <x:c r="F2232" s="28" t="str">
        <x:v>Development &amp; presentation; Recognition &amp; diagnosis; Social &amp; structural</x:v>
      </x:c>
      <x:c r="G2232" s="28" t="str">
        <x:v>Adolescence; Adulthood</x:v>
      </x:c>
      <x:c r="H2232" s="28" t="str">
        <x:v>Later specialized</x:v>
      </x:c>
      <x:c r="I2232" s="28" t="str">
        <x:v>Direct or strongly ADHD-related record retained for later screening; typically narrower treatment, biomarker, mechanistic, or single-comorbidity focus.</x:v>
      </x:c>
      <x:c r="J2232" s="38" t="e">
        <x:f>HYPERLINK("https://pubmed.ncbi.nlm.nih.gov/"&amp;C2232&amp;"/","Open PubMed")</x:f>
        <x:v>HYPERLINK is not implemented. linkLocation=https://pubmed.ncbi.nlm.nih.gov/41936771/, friendlyName=Open PubMed</x:v>
      </x:c>
    </x:row>
    <x:row r="2233">
      <x:c r="A2233" s="26" t="str">
        <x:v>PUBMED-41936228</x:v>
      </x:c>
      <x:c r="B2233" s="26" t="n">
        <x:v>2026</x:v>
      </x:c>
      <x:c r="C2233" s="26" t="str">
        <x:v>41936228</x:v>
      </x:c>
      <x:c r="D2233" s="28" t="str">
        <x:v>Cognitive behavioral therapy effects on global functioning, domain-specific functioning, and quality of life in adult ADHD: A comprehensive meta-analysis.</x:v>
      </x:c>
      <x:c r="E2233" s="28" t="str">
        <x:v>Evidence synthesis - meta-analysis</x:v>
      </x:c>
      <x:c r="F2233" s="28" t="str">
        <x:v>Development &amp; presentation; Family &amp; education; Social &amp; structural; Treatment &amp; support; Life outcomes &amp; lived experience</x:v>
      </x:c>
      <x:c r="G2233" s="28" t="str">
        <x:v>Adulthood</x:v>
      </x:c>
      <x:c r="H2233" s="28" t="str">
        <x:v>Batch 1 core</x:v>
      </x:c>
      <x:c r="I2233" s="28" t="str">
        <x:v>Direct ADHD evidence synthesis/guideline with broad multi-topic relevance.</x:v>
      </x:c>
      <x:c r="J2233" s="38" t="e">
        <x:f>HYPERLINK("https://pubmed.ncbi.nlm.nih.gov/"&amp;C2233&amp;"/","Open PubMed")</x:f>
        <x:v>HYPERLINK is not implemented. linkLocation=https://pubmed.ncbi.nlm.nih.gov/41936228/, friendlyName=Open PubMed</x:v>
      </x:c>
    </x:row>
    <x:row r="2234">
      <x:c r="A2234" s="26" t="str">
        <x:v>PUBMED-41935030</x:v>
      </x:c>
      <x:c r="B2234" s="26" t="n">
        <x:v>2026</x:v>
      </x:c>
      <x:c r="C2234" s="26" t="str">
        <x:v>41935030</x:v>
      </x:c>
      <x:c r="D2234" s="28" t="str">
        <x:v>Adult ADHD with comorbid major depression shows a distinguishable polygenic pattern and negative cognitive style.</x:v>
      </x:c>
      <x:c r="E2234" s="28" t="str">
        <x:v>Primary study - cohort</x:v>
      </x:c>
      <x:c r="F2234" s="28" t="str">
        <x:v>Development &amp; presentation; Social &amp; structural; Treatment &amp; support; Historical &amp; contemporary context</x:v>
      </x:c>
      <x:c r="G2234" s="28" t="str">
        <x:v>Childhood; Adulthood</x:v>
      </x:c>
      <x:c r="H2234" s="28" t="str">
        <x:v>Later specialized</x:v>
      </x:c>
      <x:c r="I2234" s="28" t="str">
        <x:v>Direct or strongly ADHD-related record retained for later screening; typically narrower treatment, biomarker, mechanistic, or single-comorbidity focus.</x:v>
      </x:c>
      <x:c r="J2234" s="38" t="e">
        <x:f>HYPERLINK("https://pubmed.ncbi.nlm.nih.gov/"&amp;C2234&amp;"/","Open PubMed")</x:f>
        <x:v>HYPERLINK is not implemented. linkLocation=https://pubmed.ncbi.nlm.nih.gov/41935030/, friendlyName=Open PubMed</x:v>
      </x:c>
    </x:row>
    <x:row r="2235">
      <x:c r="A2235" s="26" t="str">
        <x:v>PUBMED-41932505</x:v>
      </x:c>
      <x:c r="B2235" s="26" t="n">
        <x:v>2026</x:v>
      </x:c>
      <x:c r="C2235" s="26" t="str">
        <x:v>41932505</x:v>
      </x:c>
      <x:c r="D2235" s="28" t="str">
        <x:v>Intrinsic functional connectivity alterations in medication-naïve children with combined and inattentive ADHD types: Evidence from cortical surface-based analysis.</x:v>
      </x:c>
      <x:c r="E2235" s="28" t="str">
        <x:v>Primary/contextual journal article</x:v>
      </x:c>
      <x:c r="F2235" s="28" t="str">
        <x:v>Development &amp; presentation; Recognition &amp; diagnosis; Social &amp; structural; Treatment &amp; support</x:v>
      </x:c>
      <x:c r="G2235" s="28" t="str">
        <x:v>Childhood</x:v>
      </x:c>
      <x:c r="H2235" s="28" t="str">
        <x:v>Later specialized</x:v>
      </x:c>
      <x:c r="I2235" s="28" t="str">
        <x:v>Direct or strongly ADHD-related record retained for later screening; typically narrower treatment, biomarker, mechanistic, or single-comorbidity focus.</x:v>
      </x:c>
      <x:c r="J2235" s="38" t="e">
        <x:f>HYPERLINK("https://pubmed.ncbi.nlm.nih.gov/"&amp;C2235&amp;"/","Open PubMed")</x:f>
        <x:v>HYPERLINK is not implemented. linkLocation=https://pubmed.ncbi.nlm.nih.gov/41932505/, friendlyName=Open PubMed</x:v>
      </x:c>
    </x:row>
    <x:row r="2236">
      <x:c r="A2236" s="26" t="str">
        <x:v>PUBMED-41932226</x:v>
      </x:c>
      <x:c r="B2236" s="26" t="n">
        <x:v>2026</x:v>
      </x:c>
      <x:c r="C2236" s="26" t="str">
        <x:v>41932226</x:v>
      </x:c>
      <x:c r="D2236" s="28" t="str">
        <x:v>Optimizing exercise prescription parameters for ADHD in children: A systematic review and meta-analysis.</x:v>
      </x:c>
      <x:c r="E2236" s="28" t="str">
        <x:v>Evidence synthesis - meta-analysis</x:v>
      </x:c>
      <x:c r="F2236" s="28" t="str">
        <x:v>Development &amp; presentation; Social &amp; structural; Environmental &amp; lifestyle; Treatment &amp; support</x:v>
      </x:c>
      <x:c r="G2236" s="28" t="str">
        <x:v>Childhood</x:v>
      </x:c>
      <x:c r="H2236" s="28" t="str">
        <x:v>Batch 1 core</x:v>
      </x:c>
      <x:c r="I2236" s="28" t="str">
        <x:v>Direct ADHD evidence synthesis/guideline with broad multi-topic relevance.</x:v>
      </x:c>
      <x:c r="J2236" s="38" t="e">
        <x:f>HYPERLINK("https://pubmed.ncbi.nlm.nih.gov/"&amp;C2236&amp;"/","Open PubMed")</x:f>
        <x:v>HYPERLINK is not implemented. linkLocation=https://pubmed.ncbi.nlm.nih.gov/41932226/, friendlyName=Open PubMed</x:v>
      </x:c>
    </x:row>
    <x:row r="2237">
      <x:c r="A2237" s="26" t="str">
        <x:v>PUBMED-41932092</x:v>
      </x:c>
      <x:c r="B2237" s="26" t="n">
        <x:v>2026</x:v>
      </x:c>
      <x:c r="C2237" s="26" t="str">
        <x:v>41932092</x:v>
      </x:c>
      <x:c r="D2237" s="28" t="str">
        <x:v>Effects of exercise on social dysfunction in children and adolescents with ADHD: A systematic review and network, dose-response meta-analyses.</x:v>
      </x:c>
      <x:c r="E2237" s="28" t="str">
        <x:v>Evidence synthesis - meta-analysis</x:v>
      </x:c>
      <x:c r="F2237" s="28" t="str">
        <x:v>Development &amp; presentation; Social &amp; structural; Environmental &amp; lifestyle; Treatment &amp; support; Life outcomes &amp; lived experience</x:v>
      </x:c>
      <x:c r="G2237" s="28" t="str">
        <x:v>Childhood; Adolescence</x:v>
      </x:c>
      <x:c r="H2237" s="28" t="str">
        <x:v>Batch 1 core</x:v>
      </x:c>
      <x:c r="I2237" s="28" t="str">
        <x:v>Direct ADHD evidence synthesis/guideline with broad multi-topic relevance.</x:v>
      </x:c>
      <x:c r="J2237" s="38" t="e">
        <x:f>HYPERLINK("https://pubmed.ncbi.nlm.nih.gov/"&amp;C2237&amp;"/","Open PubMed")</x:f>
        <x:v>HYPERLINK is not implemented. linkLocation=https://pubmed.ncbi.nlm.nih.gov/41932092/, friendlyName=Open PubMed</x:v>
      </x:c>
    </x:row>
    <x:row r="2238">
      <x:c r="A2238" s="26" t="str">
        <x:v>PUBMED-41927847</x:v>
      </x:c>
      <x:c r="B2238" s="26" t="n">
        <x:v>2026</x:v>
      </x:c>
      <x:c r="C2238" s="26" t="str">
        <x:v>41927847</x:v>
      </x:c>
      <x:c r="D2238" s="28" t="str">
        <x:v>Posterior spinal fusion outcomes in adolescent idiopathic scoliosis patients with attention deficit hyperactivity disorder (ADHD): ADHD subtype makes a difference.</x:v>
      </x:c>
      <x:c r="E2238" s="28" t="str">
        <x:v>Primary study - cohort</x:v>
      </x:c>
      <x:c r="F2238" s="28" t="str">
        <x:v>Development &amp; presentation; Recognition &amp; diagnosis; Social &amp; structural; Treatment &amp; support; Life outcomes &amp; lived experience</x:v>
      </x:c>
      <x:c r="G2238" s="28" t="str">
        <x:v>Adolescence</x:v>
      </x:c>
      <x:c r="H2238" s="28" t="str">
        <x:v>Later specialized</x:v>
      </x:c>
      <x:c r="I2238" s="28" t="str">
        <x:v>Direct or strongly ADHD-related record retained for later screening; typically narrower treatment, biomarker, mechanistic, or single-comorbidity focus.</x:v>
      </x:c>
      <x:c r="J2238" s="38" t="e">
        <x:f>HYPERLINK("https://pubmed.ncbi.nlm.nih.gov/"&amp;C2238&amp;"/","Open PubMed")</x:f>
        <x:v>HYPERLINK is not implemented. linkLocation=https://pubmed.ncbi.nlm.nih.gov/41927847/, friendlyName=Open PubMed</x:v>
      </x:c>
    </x:row>
    <x:row r="2239">
      <x:c r="A2239" s="26" t="str">
        <x:v>PUBMED-41920745</x:v>
      </x:c>
      <x:c r="B2239" s="26" t="n">
        <x:v>2026</x:v>
      </x:c>
      <x:c r="C2239" s="26" t="str">
        <x:v>41920745</x:v>
      </x:c>
      <x:c r="D2239" s="28" t="str">
        <x:v>Short Report: Intervention of Reading and Spelling Problems in Children With Co-Occurring Attention-Deficit Hyperactivity Disorder and Dyslexia.</x:v>
      </x:c>
      <x:c r="E2239" s="28" t="str">
        <x:v>Primary/contextual journal article</x:v>
      </x:c>
      <x:c r="F2239" s="28" t="str">
        <x:v>Development &amp; presentation; Social &amp; structural; Treatment &amp; support; Life outcomes &amp; lived experience</x:v>
      </x:c>
      <x:c r="G2239" s="28" t="str">
        <x:v>Childhood</x:v>
      </x:c>
      <x:c r="H2239" s="28" t="str">
        <x:v>Later specialized</x:v>
      </x:c>
      <x:c r="I2239" s="28" t="str">
        <x:v>Direct or strongly ADHD-related record retained for later screening; typically narrower treatment, biomarker, mechanistic, or single-comorbidity focus.</x:v>
      </x:c>
      <x:c r="J2239" s="38" t="e">
        <x:f>HYPERLINK("https://pubmed.ncbi.nlm.nih.gov/"&amp;C2239&amp;"/","Open PubMed")</x:f>
        <x:v>HYPERLINK is not implemented. linkLocation=https://pubmed.ncbi.nlm.nih.gov/41920745/, friendlyName=Open PubMed</x:v>
      </x:c>
    </x:row>
    <x:row r="2240">
      <x:c r="A2240" s="26" t="str">
        <x:v>PUBMED-41920681</x:v>
      </x:c>
      <x:c r="B2240" s="26" t="n">
        <x:v>2026</x:v>
      </x:c>
      <x:c r="C2240" s="26" t="str">
        <x:v>41920681</x:v>
      </x:c>
      <x:c r="D2240" s="28" t="str">
        <x:v>Existential hypnotherapy for ADHD: A novel approach to authenticity-based treatment.</x:v>
      </x:c>
      <x:c r="E2240" s="28" t="str">
        <x:v>Primary/contextual journal article</x:v>
      </x:c>
      <x:c r="F2240" s="28" t="str">
        <x:v>Development &amp; presentation; Social &amp; structural; Environmental &amp; lifestyle; Treatment &amp; support; Life outcomes &amp; lived experience</x:v>
      </x:c>
      <x:c r="G2240" s="28" t="str">
        <x:v>Not specified</x:v>
      </x:c>
      <x:c r="H2240" s="28" t="str">
        <x:v>Later specialized</x:v>
      </x:c>
      <x:c r="I2240" s="28" t="str">
        <x:v>Direct or strongly ADHD-related record retained for later screening; typically narrower treatment, biomarker, mechanistic, or single-comorbidity focus.</x:v>
      </x:c>
      <x:c r="J2240" s="38" t="e">
        <x:f>HYPERLINK("https://pubmed.ncbi.nlm.nih.gov/"&amp;C2240&amp;"/","Open PubMed")</x:f>
        <x:v>HYPERLINK is not implemented. linkLocation=https://pubmed.ncbi.nlm.nih.gov/41920681/, friendlyName=Open PubMed</x:v>
      </x:c>
    </x:row>
    <x:row r="2241">
      <x:c r="A2241" s="26" t="str">
        <x:v>PUBMED-41916941</x:v>
      </x:c>
      <x:c r="B2241" s="26" t="n">
        <x:v>2026</x:v>
      </x:c>
      <x:c r="C2241" s="26" t="str">
        <x:v>41916941</x:v>
      </x:c>
      <x:c r="D2241" s="28" t="str">
        <x:v>Efficacy and safety of risperidone for attention deficit hyperactivity disorder and disruptive behaviour disorders: a systematic review and meta-analysis.</x:v>
      </x:c>
      <x:c r="E2241" s="28" t="str">
        <x:v>Evidence synthesis - meta-analysis</x:v>
      </x:c>
      <x:c r="F2241" s="28" t="str">
        <x:v>Development &amp; presentation; Recognition &amp; diagnosis; Social &amp; structural; Treatment &amp; support; Life outcomes &amp; lived experience</x:v>
      </x:c>
      <x:c r="G2241" s="28" t="str">
        <x:v>Childhood; Adolescence</x:v>
      </x:c>
      <x:c r="H2241" s="28" t="str">
        <x:v>Batch 1 core</x:v>
      </x:c>
      <x:c r="I2241" s="28" t="str">
        <x:v>Direct ADHD evidence synthesis/guideline with broad multi-topic relevance.</x:v>
      </x:c>
      <x:c r="J2241" s="38" t="e">
        <x:f>HYPERLINK("https://pubmed.ncbi.nlm.nih.gov/"&amp;C2241&amp;"/","Open PubMed")</x:f>
        <x:v>HYPERLINK is not implemented. linkLocation=https://pubmed.ncbi.nlm.nih.gov/41916941/, friendlyName=Open PubMed</x:v>
      </x:c>
    </x:row>
    <x:row r="2242">
      <x:c r="A2242" s="26" t="str">
        <x:v>PUBMED-41916643</x:v>
      </x:c>
      <x:c r="B2242" s="26" t="n">
        <x:v>2026</x:v>
      </x:c>
      <x:c r="C2242" s="26" t="str">
        <x:v>41916643</x:v>
      </x:c>
      <x:c r="D2242" s="28" t="str">
        <x:v>Randomised controlled trial on the efficacy of adding cognitive remediation therapy to methylphenidate in adult patients with attention deficit hyperactivity disorder and addictive disorders (META): CRT in ADHD and addiction - META study protocol.</x:v>
      </x:c>
      <x:c r="E2242" s="28" t="str">
        <x:v>Primary study - clinical trial</x:v>
      </x:c>
      <x:c r="F2242" s="28" t="str">
        <x:v>Development &amp; presentation; Recognition &amp; diagnosis; Social &amp; structural; Treatment &amp; support; Life outcomes &amp; lived experience</x:v>
      </x:c>
      <x:c r="G2242" s="28" t="str">
        <x:v>Adulthood</x:v>
      </x:c>
      <x:c r="H2242" s="28" t="str">
        <x:v>Later specialized</x:v>
      </x:c>
      <x:c r="I2242" s="28" t="str">
        <x:v>Direct or strongly ADHD-related record retained for later screening; typically narrower treatment, biomarker, mechanistic, or single-comorbidity focus.</x:v>
      </x:c>
      <x:c r="J2242" s="38" t="e">
        <x:f>HYPERLINK("https://pubmed.ncbi.nlm.nih.gov/"&amp;C2242&amp;"/","Open PubMed")</x:f>
        <x:v>HYPERLINK is not implemented. linkLocation=https://pubmed.ncbi.nlm.nih.gov/41916643/, friendlyName=Open PubMed</x:v>
      </x:c>
    </x:row>
    <x:row r="2243">
      <x:c r="A2243" s="26" t="str">
        <x:v>PUBMED-41914437</x:v>
      </x:c>
      <x:c r="B2243" s="26" t="n">
        <x:v>2026</x:v>
      </x:c>
      <x:c r="C2243" s="26" t="str">
        <x:v>41914437</x:v>
      </x:c>
      <x:c r="D2243" s="28" t="str">
        <x:v>ADHD Characteristics Are Linked to Divergent Risk-Taking Behaviors.</x:v>
      </x:c>
      <x:c r="E2243" s="28" t="str">
        <x:v>Primary/contextual journal article</x:v>
      </x:c>
      <x:c r="F2243" s="28" t="str">
        <x:v>Development &amp; presentation; Social &amp; structural; Environmental &amp; lifestyle</x:v>
      </x:c>
      <x:c r="G2243" s="28" t="str">
        <x:v>Adolescence; Adulthood</x:v>
      </x:c>
      <x:c r="H2243" s="28" t="str">
        <x:v>Later specialized</x:v>
      </x:c>
      <x:c r="I2243" s="28" t="str">
        <x:v>Direct or strongly ADHD-related record retained for later screening; typically narrower treatment, biomarker, mechanistic, or single-comorbidity focus.</x:v>
      </x:c>
      <x:c r="J2243" s="38" t="e">
        <x:f>HYPERLINK("https://pubmed.ncbi.nlm.nih.gov/"&amp;C2243&amp;"/","Open PubMed")</x:f>
        <x:v>HYPERLINK is not implemented. linkLocation=https://pubmed.ncbi.nlm.nih.gov/41914437/, friendlyName=Open PubMed</x:v>
      </x:c>
    </x:row>
    <x:row r="2244">
      <x:c r="A2244" s="26" t="str">
        <x:v>PUBMED-41906544</x:v>
      </x:c>
      <x:c r="B2244" s="26" t="n">
        <x:v>2026</x:v>
      </x:c>
      <x:c r="C2244" s="26" t="str">
        <x:v>41906544</x:v>
      </x:c>
      <x:c r="D2244" s="28" t="str">
        <x:v>Understanding Atomoxetine Exposure Variability in Children and Adolescents With ADHD Through Population Pharmacokinetics.</x:v>
      </x:c>
      <x:c r="E2244" s="28" t="str">
        <x:v>Primary/contextual journal article</x:v>
      </x:c>
      <x:c r="F2244" s="28" t="str">
        <x:v>Development &amp; presentation; Family &amp; education; Social &amp; structural; Environmental &amp; lifestyle; Treatment &amp; support</x:v>
      </x:c>
      <x:c r="G2244" s="28" t="str">
        <x:v>Childhood; Adolescence</x:v>
      </x:c>
      <x:c r="H2244" s="28" t="str">
        <x:v>Later specialized</x:v>
      </x:c>
      <x:c r="I2244" s="28" t="str">
        <x:v>Direct or strongly ADHD-related record retained for later screening; typically narrower treatment, biomarker, mechanistic, or single-comorbidity focus.</x:v>
      </x:c>
      <x:c r="J2244" s="38" t="e">
        <x:f>HYPERLINK("https://pubmed.ncbi.nlm.nih.gov/"&amp;C2244&amp;"/","Open PubMed")</x:f>
        <x:v>HYPERLINK is not implemented. linkLocation=https://pubmed.ncbi.nlm.nih.gov/41906544/, friendlyName=Open PubMed</x:v>
      </x:c>
    </x:row>
    <x:row r="2245">
      <x:c r="A2245" s="26" t="str">
        <x:v>PUBMED-41902630</x:v>
      </x:c>
      <x:c r="B2245" s="26" t="n">
        <x:v>2026</x:v>
      </x:c>
      <x:c r="C2245" s="26" t="str">
        <x:v>41902630</x:v>
      </x:c>
      <x:c r="D2245" s="28" t="str">
        <x:v>A Retrospective Study of Long-Term Associations of Behavioral Intervention Combined with Medications in Young Children with Attention-Deficit/Hyperactivity Disorder.</x:v>
      </x:c>
      <x:c r="E2245" s="28" t="str">
        <x:v>Primary study - cohort</x:v>
      </x:c>
      <x:c r="F2245" s="28" t="str">
        <x:v>Development &amp; presentation; Recognition &amp; diagnosis; Family &amp; education; Social &amp; structural; Environmental &amp; lifestyle; Treatment &amp; support; Life outcomes &amp; lived experience</x:v>
      </x:c>
      <x:c r="G2245" s="28" t="str">
        <x:v>Childhood; Adulthood</x:v>
      </x:c>
      <x:c r="H2245" s="28" t="str">
        <x:v>Later specialized</x:v>
      </x:c>
      <x:c r="I2245" s="28" t="str">
        <x:v>Direct or strongly ADHD-related record retained for later screening; typically narrower treatment, biomarker, mechanistic, or single-comorbidity focus.</x:v>
      </x:c>
      <x:c r="J2245" s="38" t="e">
        <x:f>HYPERLINK("https://pubmed.ncbi.nlm.nih.gov/"&amp;C2245&amp;"/","Open PubMed")</x:f>
        <x:v>HYPERLINK is not implemented. linkLocation=https://pubmed.ncbi.nlm.nih.gov/41902630/, friendlyName=Open PubMed</x:v>
      </x:c>
    </x:row>
    <x:row r="2246">
      <x:c r="A2246" s="26" t="str">
        <x:v>PUBMED-41895612</x:v>
      </x:c>
      <x:c r="B2246" s="26" t="n">
        <x:v>2026</x:v>
      </x:c>
      <x:c r="C2246" s="26" t="str">
        <x:v>41895612</x:v>
      </x:c>
      <x:c r="D2246" s="28" t="str">
        <x:v>The association between attempted suicide and ADHD in adolescents: A large-scale population-based study.</x:v>
      </x:c>
      <x:c r="E2246" s="28" t="str">
        <x:v>Primary study - case-control</x:v>
      </x:c>
      <x:c r="F2246" s="28" t="str">
        <x:v>Development &amp; presentation; Recognition &amp; diagnosis; Social &amp; structural; Environmental &amp; lifestyle</x:v>
      </x:c>
      <x:c r="G2246" s="28" t="str">
        <x:v>Childhood; Adolescence</x:v>
      </x:c>
      <x:c r="H2246" s="28" t="str">
        <x:v>Later specialized</x:v>
      </x:c>
      <x:c r="I2246" s="28" t="str">
        <x:v>Direct or strongly ADHD-related record retained for later screening; typically narrower treatment, biomarker, mechanistic, or single-comorbidity focus.</x:v>
      </x:c>
      <x:c r="J2246" s="38" t="e">
        <x:f>HYPERLINK("https://pubmed.ncbi.nlm.nih.gov/"&amp;C2246&amp;"/","Open PubMed")</x:f>
        <x:v>HYPERLINK is not implemented. linkLocation=https://pubmed.ncbi.nlm.nih.gov/41895612/, friendlyName=Open PubMed</x:v>
      </x:c>
    </x:row>
    <x:row r="2247">
      <x:c r="A2247" s="26" t="str">
        <x:v>PUBMED-41894386</x:v>
      </x:c>
      <x:c r="B2247" s="26" t="n">
        <x:v>2026</x:v>
      </x:c>
      <x:c r="C2247" s="26" t="str">
        <x:v>41894386</x:v>
      </x:c>
      <x:c r="D2247" s="28" t="str">
        <x:v>Comparison of cognitive ability and its distribution between men with autism spectrum disorder and attention-deficit/hyperactivity disorder.</x:v>
      </x:c>
      <x:c r="E2247" s="28" t="str">
        <x:v>Primary/contextual journal article</x:v>
      </x:c>
      <x:c r="F2247" s="28" t="str">
        <x:v>Development &amp; presentation; Social &amp; structural</x:v>
      </x:c>
      <x:c r="G2247" s="28" t="str">
        <x:v>Adolescence; Adulthood</x:v>
      </x:c>
      <x:c r="H2247" s="28" t="str">
        <x:v>Later specialized</x:v>
      </x:c>
      <x:c r="I2247" s="28" t="str">
        <x:v>Direct or strongly ADHD-related record retained for later screening; typically narrower treatment, biomarker, mechanistic, or single-comorbidity focus.</x:v>
      </x:c>
      <x:c r="J2247" s="38" t="e">
        <x:f>HYPERLINK("https://pubmed.ncbi.nlm.nih.gov/"&amp;C2247&amp;"/","Open PubMed")</x:f>
        <x:v>HYPERLINK is not implemented. linkLocation=https://pubmed.ncbi.nlm.nih.gov/41894386/, friendlyName=Open PubMed</x:v>
      </x:c>
    </x:row>
    <x:row r="2248">
      <x:c r="A2248" s="26" t="str">
        <x:v>PUBMED-41889063</x:v>
      </x:c>
      <x:c r="B2248" s="26" t="n">
        <x:v>2026</x:v>
      </x:c>
      <x:c r="C2248" s="26" t="str">
        <x:v>41889063</x:v>
      </x:c>
      <x:c r="D2248" s="28" t="str">
        <x:v>Metacognitive Ratings on Cognitive Tasks: Task Difficulty and Effort Rating Differences in Children With ADHD and Neurotypical Children.</x:v>
      </x:c>
      <x:c r="E2248" s="28" t="str">
        <x:v>Primary/contextual journal article</x:v>
      </x:c>
      <x:c r="F2248" s="28" t="str">
        <x:v>Development &amp; presentation; Life outcomes &amp; lived experience</x:v>
      </x:c>
      <x:c r="G2248" s="28" t="str">
        <x:v>Childhood</x:v>
      </x:c>
      <x:c r="H2248" s="28" t="str">
        <x:v>Later specialized</x:v>
      </x:c>
      <x:c r="I2248" s="28" t="str">
        <x:v>Direct or strongly ADHD-related record retained for later screening; typically narrower treatment, biomarker, mechanistic, or single-comorbidity focus.</x:v>
      </x:c>
      <x:c r="J2248" s="38" t="e">
        <x:f>HYPERLINK("https://pubmed.ncbi.nlm.nih.gov/"&amp;C2248&amp;"/","Open PubMed")</x:f>
        <x:v>HYPERLINK is not implemented. linkLocation=https://pubmed.ncbi.nlm.nih.gov/41889063/, friendlyName=Open PubMed</x:v>
      </x:c>
    </x:row>
    <x:row r="2249">
      <x:c r="A2249" s="26" t="str">
        <x:v>PUBMED-41889019</x:v>
      </x:c>
      <x:c r="B2249" s="26" t="n">
        <x:v>2026</x:v>
      </x:c>
      <x:c r="C2249" s="26" t="str">
        <x:v>41889019</x:v>
      </x:c>
      <x:c r="D2249" s="28" t="str">
        <x:v>Randomised Controlled Trial of Gaze-Based Attention Training Intervention for Infants With a Family History of Attention Deficit Hyperactivity Disorder: Follow-up Outcomes at 2 and 3 Years.</x:v>
      </x:c>
      <x:c r="E2249" s="28" t="str">
        <x:v>Primary study - randomized controlled trial</x:v>
      </x:c>
      <x:c r="F2249" s="28" t="str">
        <x:v>Development &amp; presentation; Family &amp; education; Social &amp; structural; Environmental &amp; lifestyle; Treatment &amp; support; Life outcomes &amp; lived experience; Historical &amp; contemporary context</x:v>
      </x:c>
      <x:c r="G2249" s="28" t="str">
        <x:v>Childhood</x:v>
      </x:c>
      <x:c r="H2249" s="28" t="str">
        <x:v>Later specialized</x:v>
      </x:c>
      <x:c r="I2249" s="28" t="str">
        <x:v>Direct or strongly ADHD-related record retained for later screening; typically narrower treatment, biomarker, mechanistic, or single-comorbidity focus.</x:v>
      </x:c>
      <x:c r="J2249" s="38" t="e">
        <x:f>HYPERLINK("https://pubmed.ncbi.nlm.nih.gov/"&amp;C2249&amp;"/","Open PubMed")</x:f>
        <x:v>HYPERLINK is not implemented. linkLocation=https://pubmed.ncbi.nlm.nih.gov/41889019/, friendlyName=Open PubMed</x:v>
      </x:c>
    </x:row>
    <x:row r="2250">
      <x:c r="A2250" s="26" t="str">
        <x:v>PUBMED-41885542</x:v>
      </x:c>
      <x:c r="B2250" s="26" t="n">
        <x:v>2026</x:v>
      </x:c>
      <x:c r="C2250" s="26" t="str">
        <x:v>41885542</x:v>
      </x:c>
      <x:c r="D2250" s="28" t="str">
        <x:v>Psychostimulant effects on motor and cognitive function in adults attention deficit hyperactivity disorder.</x:v>
      </x:c>
      <x:c r="E2250" s="28" t="str">
        <x:v>Primary/contextual journal article</x:v>
      </x:c>
      <x:c r="F2250" s="28" t="str">
        <x:v>Development &amp; presentation; Recognition &amp; diagnosis; Family &amp; education; Social &amp; structural; Environmental &amp; lifestyle; Treatment &amp; support</x:v>
      </x:c>
      <x:c r="G2250" s="28" t="str">
        <x:v>Adulthood</x:v>
      </x:c>
      <x:c r="H2250" s="28" t="str">
        <x:v>Later specialized</x:v>
      </x:c>
      <x:c r="I2250" s="28" t="str">
        <x:v>Direct or strongly ADHD-related record retained for later screening; typically narrower treatment, biomarker, mechanistic, or single-comorbidity focus.</x:v>
      </x:c>
      <x:c r="J2250" s="38" t="e">
        <x:f>HYPERLINK("https://pubmed.ncbi.nlm.nih.gov/"&amp;C2250&amp;"/","Open PubMed")</x:f>
        <x:v>HYPERLINK is not implemented. linkLocation=https://pubmed.ncbi.nlm.nih.gov/41885542/, friendlyName=Open PubMed</x:v>
      </x:c>
    </x:row>
    <x:row r="2251">
      <x:c r="A2251" s="26" t="str">
        <x:v>PUBMED-41881165</x:v>
      </x:c>
      <x:c r="B2251" s="26" t="n">
        <x:v>2026</x:v>
      </x:c>
      <x:c r="C2251" s="26" t="str">
        <x:v>41881165</x:v>
      </x:c>
      <x:c r="D2251" s="28" t="str">
        <x:v>Complement contributes to hyperactive behavior in the 16p11.2 hemideletion mouse model.</x:v>
      </x:c>
      <x:c r="E2251" s="28" t="str">
        <x:v>Primary/contextual journal article</x:v>
      </x:c>
      <x:c r="F2251" s="28" t="str">
        <x:v>Development &amp; presentation; Social &amp; structural; Treatment &amp; support</x:v>
      </x:c>
      <x:c r="G2251" s="28" t="str">
        <x:v>Not specified</x:v>
      </x:c>
      <x:c r="H2251" s="28" t="str">
        <x:v>Exclude/incidental</x:v>
      </x:c>
      <x:c r="I2251" s="28" t="str">
        <x:v>Animal-only record; retained outside the human-focused core corpus.</x:v>
      </x:c>
      <x:c r="J2251" s="38" t="e">
        <x:f>HYPERLINK("https://pubmed.ncbi.nlm.nih.gov/"&amp;C2251&amp;"/","Open PubMed")</x:f>
        <x:v>HYPERLINK is not implemented. linkLocation=https://pubmed.ncbi.nlm.nih.gov/41881165/, friendlyName=Open PubMed</x:v>
      </x:c>
    </x:row>
    <x:row r="2252">
      <x:c r="A2252" s="26" t="str">
        <x:v>PUBMED-41880772</x:v>
      </x:c>
      <x:c r="B2252" s="26" t="n">
        <x:v>2026</x:v>
      </x:c>
      <x:c r="C2252" s="26" t="str">
        <x:v>41880772</x:v>
      </x:c>
      <x:c r="D2252" s="28" t="str">
        <x:v>Optimized Complex-Valued Spatio-Temporal Graph Convolutional Networks for attention deficit hyperactivity disorder detection in pediatric EEG signals.</x:v>
      </x:c>
      <x:c r="E2252" s="28" t="str">
        <x:v>Primary/contextual journal article</x:v>
      </x:c>
      <x:c r="F2252" s="28" t="str">
        <x:v>Development &amp; presentation; Recognition &amp; diagnosis; Family &amp; education; Social &amp; structural; Environmental &amp; lifestyle; Historical &amp; contemporary context</x:v>
      </x:c>
      <x:c r="G2252" s="28" t="str">
        <x:v>Childhood</x:v>
      </x:c>
      <x:c r="H2252" s="28" t="str">
        <x:v>Later specialized</x:v>
      </x:c>
      <x:c r="I2252" s="28" t="str">
        <x:v>Direct or strongly ADHD-related record retained for later screening; typically narrower treatment, biomarker, mechanistic, or single-comorbidity focus.</x:v>
      </x:c>
      <x:c r="J2252" s="38" t="e">
        <x:f>HYPERLINK("https://pubmed.ncbi.nlm.nih.gov/"&amp;C2252&amp;"/","Open PubMed")</x:f>
        <x:v>HYPERLINK is not implemented. linkLocation=https://pubmed.ncbi.nlm.nih.gov/41880772/, friendlyName=Open PubMed</x:v>
      </x:c>
    </x:row>
    <x:row r="2253">
      <x:c r="A2253" s="26" t="str">
        <x:v>PUBMED-41873451</x:v>
      </x:c>
      <x:c r="B2253" s="26" t="n">
        <x:v>2026</x:v>
      </x:c>
      <x:c r="C2253" s="26" t="str">
        <x:v>41873451</x:v>
      </x:c>
      <x:c r="D2253" s="28" t="str">
        <x:v>The Effect of Methylphenidate Treatment on Oxidative Stress Levels in Children Diagnosed with Attention-Deficit/Hyperactivity Disorder: An Observational Study.</x:v>
      </x:c>
      <x:c r="E2253" s="28" t="str">
        <x:v>Primary study - cohort</x:v>
      </x:c>
      <x:c r="F2253" s="28" t="str">
        <x:v>Development &amp; presentation; Recognition &amp; diagnosis; Family &amp; education; Social &amp; structural; Environmental &amp; lifestyle; Treatment &amp; support; Life outcomes &amp; lived experience</x:v>
      </x:c>
      <x:c r="G2253" s="28" t="str">
        <x:v>Childhood</x:v>
      </x:c>
      <x:c r="H2253" s="28" t="str">
        <x:v>Batch 1 core</x:v>
      </x:c>
      <x:c r="I2253" s="28" t="str">
        <x:v>Direct ADHD primary study on diagnosis, family/education, structural conditions, lived experience/outcomes, or environment/lifestyle.</x:v>
      </x:c>
      <x:c r="J2253" s="38" t="e">
        <x:f>HYPERLINK("https://pubmed.ncbi.nlm.nih.gov/"&amp;C2253&amp;"/","Open PubMed")</x:f>
        <x:v>HYPERLINK is not implemented. linkLocation=https://pubmed.ncbi.nlm.nih.gov/41873451/, friendlyName=Open PubMed</x:v>
      </x:c>
    </x:row>
    <x:row r="2254">
      <x:c r="A2254" s="26" t="str">
        <x:v>PUBMED-41864252</x:v>
      </x:c>
      <x:c r="B2254" s="26" t="n">
        <x:v>2026</x:v>
      </x:c>
      <x:c r="C2254" s="26" t="str">
        <x:v>41864252</x:v>
      </x:c>
      <x:c r="D2254" s="28" t="str">
        <x:v>Pain as muse: How creative acts flourish in the shadow of struggle.</x:v>
      </x:c>
      <x:c r="E2254" s="28" t="str">
        <x:v>Evidence synthesis - review</x:v>
      </x:c>
      <x:c r="F2254" s="28" t="str">
        <x:v>Development &amp; presentation; Social &amp; structural; Treatment &amp; support; Life outcomes &amp; lived experience</x:v>
      </x:c>
      <x:c r="G2254" s="28" t="str">
        <x:v>Not specified</x:v>
      </x:c>
      <x:c r="H2254" s="28" t="str">
        <x:v>Later specialized</x:v>
      </x:c>
      <x:c r="I2254" s="28" t="str">
        <x:v>Direct or strongly ADHD-related record retained for later screening; typically narrower treatment, biomarker, mechanistic, or single-comorbidity focus.</x:v>
      </x:c>
      <x:c r="J2254" s="38" t="e">
        <x:f>HYPERLINK("https://pubmed.ncbi.nlm.nih.gov/"&amp;C2254&amp;"/","Open PubMed")</x:f>
        <x:v>HYPERLINK is not implemented. linkLocation=https://pubmed.ncbi.nlm.nih.gov/41864252/, friendlyName=Open PubMed</x:v>
      </x:c>
    </x:row>
    <x:row r="2255">
      <x:c r="A2255" s="26" t="str">
        <x:v>PUBMED-41862867</x:v>
      </x:c>
      <x:c r="B2255" s="26" t="n">
        <x:v>2026</x:v>
      </x:c>
      <x:c r="C2255" s="26" t="str">
        <x:v>41862867</x:v>
      </x:c>
      <x:c r="D2255" s="28" t="str">
        <x:v>Disruptive behavior in preschoolers: associations with attention deficit hyperactivity disorder and parental psychopathology.</x:v>
      </x:c>
      <x:c r="E2255" s="28" t="str">
        <x:v>Primary/contextual journal article</x:v>
      </x:c>
      <x:c r="F2255" s="28" t="str">
        <x:v>Development &amp; presentation; Recognition &amp; diagnosis; Family &amp; education; Social &amp; structural; Environmental &amp; lifestyle</x:v>
      </x:c>
      <x:c r="G2255" s="28" t="str">
        <x:v>Childhood</x:v>
      </x:c>
      <x:c r="H2255" s="28" t="str">
        <x:v>Later specialized</x:v>
      </x:c>
      <x:c r="I2255" s="28" t="str">
        <x:v>Direct or strongly ADHD-related record retained for later screening; typically narrower treatment, biomarker, mechanistic, or single-comorbidity focus.</x:v>
      </x:c>
      <x:c r="J2255" s="38" t="e">
        <x:f>HYPERLINK("https://pubmed.ncbi.nlm.nih.gov/"&amp;C2255&amp;"/","Open PubMed")</x:f>
        <x:v>HYPERLINK is not implemented. linkLocation=https://pubmed.ncbi.nlm.nih.gov/41862867/, friendlyName=Open PubMed</x:v>
      </x:c>
    </x:row>
    <x:row r="2256">
      <x:c r="A2256" s="26" t="str">
        <x:v>PUBMED-41845547</x:v>
      </x:c>
      <x:c r="B2256" s="26" t="n">
        <x:v>2026</x:v>
      </x:c>
      <x:c r="C2256" s="26" t="str">
        <x:v>41845547</x:v>
      </x:c>
      <x:c r="D2256" s="28" t="str">
        <x:v>The Turkish adaptation of the Child Occupational Self-Assessment Scale (COSA) and its psychometric properties in children with attention-deficit/hyperactivity disorder.</x:v>
      </x:c>
      <x:c r="E2256" s="28" t="str">
        <x:v>Primary/contextual journal article</x:v>
      </x:c>
      <x:c r="F2256" s="28" t="str">
        <x:v>Development &amp; presentation; Recognition &amp; diagnosis; Family &amp; education; Social &amp; structural; Treatment &amp; support; Life outcomes &amp; lived experience</x:v>
      </x:c>
      <x:c r="G2256" s="28" t="str">
        <x:v>Childhood</x:v>
      </x:c>
      <x:c r="H2256" s="28" t="str">
        <x:v>Later specialized</x:v>
      </x:c>
      <x:c r="I2256" s="28" t="str">
        <x:v>Direct or strongly ADHD-related record retained for later screening; typically narrower treatment, biomarker, mechanistic, or single-comorbidity focus.</x:v>
      </x:c>
      <x:c r="J2256" s="38" t="e">
        <x:f>HYPERLINK("https://pubmed.ncbi.nlm.nih.gov/"&amp;C2256&amp;"/","Open PubMed")</x:f>
        <x:v>HYPERLINK is not implemented. linkLocation=https://pubmed.ncbi.nlm.nih.gov/41845547/, friendlyName=Open PubMed</x:v>
      </x:c>
    </x:row>
    <x:row r="2257">
      <x:c r="A2257" s="26" t="str">
        <x:v>PUBMED-41844145</x:v>
      </x:c>
      <x:c r="B2257" s="26" t="n">
        <x:v>2026</x:v>
      </x:c>
      <x:c r="C2257" s="26" t="str">
        <x:v>41844145</x:v>
      </x:c>
      <x:c r="D2257" s="28" t="str">
        <x:v>Maternal Diabetes Mellitus and Child Neurodevelopmental Disorders: Rethinking Causality in Light of Environmental Pollutants.</x:v>
      </x:c>
      <x:c r="E2257" s="28" t="str">
        <x:v>Evidence synthesis - review</x:v>
      </x:c>
      <x:c r="F2257" s="28" t="str">
        <x:v>Development &amp; presentation; Social &amp; structural; Environmental &amp; lifestyle; Life outcomes &amp; lived experience</x:v>
      </x:c>
      <x:c r="G2257" s="28" t="str">
        <x:v>Childhood</x:v>
      </x:c>
      <x:c r="H2257" s="28" t="str">
        <x:v>Exclude/incidental</x:v>
      </x:c>
      <x:c r="I2257" s="28" t="str">
        <x:v>ADHD appears peripheral or insufficiently aligned with the requested corpus scope based on accessible metadata/abstract.</x:v>
      </x:c>
      <x:c r="J2257" s="38" t="e">
        <x:f>HYPERLINK("https://pubmed.ncbi.nlm.nih.gov/"&amp;C2257&amp;"/","Open PubMed")</x:f>
        <x:v>HYPERLINK is not implemented. linkLocation=https://pubmed.ncbi.nlm.nih.gov/41844145/, friendlyName=Open PubMed</x:v>
      </x:c>
    </x:row>
    <x:row r="2258">
      <x:c r="A2258" s="26" t="str">
        <x:v>PUBMED-41843146</x:v>
      </x:c>
      <x:c r="B2258" s="26" t="n">
        <x:v>2026</x:v>
      </x:c>
      <x:c r="C2258" s="26" t="str">
        <x:v>41843146</x:v>
      </x:c>
      <x:c r="D2258" s="28" t="str">
        <x:v>Impaired motor imagery in children with developmental coordination disorder: task-specific deficits and links to ADHD and ASD traits.</x:v>
      </x:c>
      <x:c r="E2258" s="28" t="str">
        <x:v>Primary/contextual journal article</x:v>
      </x:c>
      <x:c r="F2258" s="28" t="str">
        <x:v>Development &amp; presentation; Recognition &amp; diagnosis; Social &amp; structural</x:v>
      </x:c>
      <x:c r="G2258" s="28" t="str">
        <x:v>Childhood</x:v>
      </x:c>
      <x:c r="H2258" s="28" t="str">
        <x:v>Later specialized</x:v>
      </x:c>
      <x:c r="I2258" s="28" t="str">
        <x:v>Direct or strongly ADHD-related record retained for later screening; typically narrower treatment, biomarker, mechanistic, or single-comorbidity focus.</x:v>
      </x:c>
      <x:c r="J2258" s="38" t="e">
        <x:f>HYPERLINK("https://pubmed.ncbi.nlm.nih.gov/"&amp;C2258&amp;"/","Open PubMed")</x:f>
        <x:v>HYPERLINK is not implemented. linkLocation=https://pubmed.ncbi.nlm.nih.gov/41843146/, friendlyName=Open PubMed</x:v>
      </x:c>
    </x:row>
    <x:row r="2259">
      <x:c r="A2259" s="26" t="str">
        <x:v>PUBMED-41839570</x:v>
      </x:c>
      <x:c r="B2259" s="26" t="n">
        <x:v>2026</x:v>
      </x:c>
      <x:c r="C2259" s="26" t="str">
        <x:v>41839570</x:v>
      </x:c>
      <x:c r="D2259" s="28" t="str">
        <x:v>Sleep-Like Slow Waves during Wakefulness Mediate Attention and Vigilance Difficulties in Adult Attention-Deficit/Hyperactivity Disorder.</x:v>
      </x:c>
      <x:c r="E2259" s="28" t="str">
        <x:v>Primary/contextual journal article</x:v>
      </x:c>
      <x:c r="F2259" s="28" t="str">
        <x:v>Development &amp; presentation; Social &amp; structural; Environmental &amp; lifestyle; Treatment &amp; support</x:v>
      </x:c>
      <x:c r="G2259" s="28" t="str">
        <x:v>Adulthood</x:v>
      </x:c>
      <x:c r="H2259" s="28" t="str">
        <x:v>Later specialized</x:v>
      </x:c>
      <x:c r="I2259" s="28" t="str">
        <x:v>Direct or strongly ADHD-related record retained for later screening; typically narrower treatment, biomarker, mechanistic, or single-comorbidity focus.</x:v>
      </x:c>
      <x:c r="J2259" s="38" t="e">
        <x:f>HYPERLINK("https://pubmed.ncbi.nlm.nih.gov/"&amp;C2259&amp;"/","Open PubMed")</x:f>
        <x:v>HYPERLINK is not implemented. linkLocation=https://pubmed.ncbi.nlm.nih.gov/41839570/, friendlyName=Open PubMed</x:v>
      </x:c>
    </x:row>
    <x:row r="2260">
      <x:c r="A2260" s="26" t="str">
        <x:v>PUBMED-41834118</x:v>
      </x:c>
      <x:c r="B2260" s="26" t="n">
        <x:v>2026</x:v>
      </x:c>
      <x:c r="C2260" s="26" t="str">
        <x:v>41834118</x:v>
      </x:c>
      <x:c r="D2260" s="28" t="str">
        <x:v>[Formula: see text] Behavioral attention and academic achievement: a comprehensive meta-analysis.</x:v>
      </x:c>
      <x:c r="E2260" s="28" t="str">
        <x:v>Evidence synthesis - meta-analysis</x:v>
      </x:c>
      <x:c r="F2260" s="28" t="str">
        <x:v>Development &amp; presentation; Family &amp; education; Social &amp; structural; Treatment &amp; support</x:v>
      </x:c>
      <x:c r="G2260" s="28" t="str">
        <x:v>Childhood; Adolescence</x:v>
      </x:c>
      <x:c r="H2260" s="28" t="str">
        <x:v>Later specialized</x:v>
      </x:c>
      <x:c r="I2260" s="28" t="str">
        <x:v>Direct or strongly ADHD-related record retained for later screening; typically narrower treatment, biomarker, mechanistic, or single-comorbidity focus.</x:v>
      </x:c>
      <x:c r="J2260" s="38" t="e">
        <x:f>HYPERLINK("https://pubmed.ncbi.nlm.nih.gov/"&amp;C2260&amp;"/","Open PubMed")</x:f>
        <x:v>HYPERLINK is not implemented. linkLocation=https://pubmed.ncbi.nlm.nih.gov/41834118/, friendlyName=Open PubMed</x:v>
      </x:c>
    </x:row>
    <x:row r="2261">
      <x:c r="A2261" s="26" t="str">
        <x:v>PUBMED-41833504</x:v>
      </x:c>
      <x:c r="B2261" s="26" t="n">
        <x:v>2026</x:v>
      </x:c>
      <x:c r="C2261" s="26" t="str">
        <x:v>41833504</x:v>
      </x:c>
      <x:c r="D2261" s="28" t="str">
        <x:v>Experience of the diagnostic journey for ADHD in adulthood: A quantitative and qualitative study.</x:v>
      </x:c>
      <x:c r="E2261" s="28" t="str">
        <x:v>Primary study - qualitative</x:v>
      </x:c>
      <x:c r="F2261" s="28" t="str">
        <x:v>Development &amp; presentation; Recognition &amp; diagnosis; Social &amp; structural; Treatment &amp; support; Life outcomes &amp; lived experience; Historical &amp; contemporary context</x:v>
      </x:c>
      <x:c r="G2261" s="28" t="str">
        <x:v>Childhood; Adolescence; Adulthood</x:v>
      </x:c>
      <x:c r="H2261" s="28" t="str">
        <x:v>Batch 1 core</x:v>
      </x:c>
      <x:c r="I2261" s="28" t="str">
        <x:v>Direct ADHD primary study on diagnosis, family/education, structural conditions, lived experience/outcomes, or environment/lifestyle.</x:v>
      </x:c>
      <x:c r="J2261" s="38" t="e">
        <x:f>HYPERLINK("https://pubmed.ncbi.nlm.nih.gov/"&amp;C2261&amp;"/","Open PubMed")</x:f>
        <x:v>HYPERLINK is not implemented. linkLocation=https://pubmed.ncbi.nlm.nih.gov/41833504/, friendlyName=Open PubMed</x:v>
      </x:c>
    </x:row>
    <x:row r="2262">
      <x:c r="A2262" s="26" t="str">
        <x:v>PUBMED-41831590</x:v>
      </x:c>
      <x:c r="B2262" s="26" t="n">
        <x:v>2026</x:v>
      </x:c>
      <x:c r="C2262" s="26" t="str">
        <x:v>41831590</x:v>
      </x:c>
      <x:c r="D2262" s="28" t="str">
        <x:v>A neurofeedback-guided EEG and BCI framework for personalized attention rehabilitation in ADHD.</x:v>
      </x:c>
      <x:c r="E2262" s="28" t="str">
        <x:v>Primary/contextual journal article</x:v>
      </x:c>
      <x:c r="F2262" s="28" t="str">
        <x:v>Development &amp; presentation; Recognition &amp; diagnosis; Social &amp; structural; Treatment &amp; support</x:v>
      </x:c>
      <x:c r="G2262" s="28" t="str">
        <x:v>Childhood; Adolescence</x:v>
      </x:c>
      <x:c r="H2262" s="28" t="str">
        <x:v>Later specialized</x:v>
      </x:c>
      <x:c r="I2262" s="28" t="str">
        <x:v>Direct or strongly ADHD-related record retained for later screening; typically narrower treatment, biomarker, mechanistic, or single-comorbidity focus.</x:v>
      </x:c>
      <x:c r="J2262" s="38" t="e">
        <x:f>HYPERLINK("https://pubmed.ncbi.nlm.nih.gov/"&amp;C2262&amp;"/","Open PubMed")</x:f>
        <x:v>HYPERLINK is not implemented. linkLocation=https://pubmed.ncbi.nlm.nih.gov/41831590/, friendlyName=Open PubMed</x:v>
      </x:c>
    </x:row>
    <x:row r="2263">
      <x:c r="A2263" s="26" t="str">
        <x:v>PUBMED-41823929</x:v>
      </x:c>
      <x:c r="B2263" s="26" t="n">
        <x:v>2026</x:v>
      </x:c>
      <x:c r="C2263" s="26" t="str">
        <x:v>41823929</x:v>
      </x:c>
      <x:c r="D2263" s="28" t="str">
        <x:v>University Students and the Stimulant Shortage: A Survey of Strategies to Obtain Medication, Consequences of Shortages, and Mental Health Correlates.</x:v>
      </x:c>
      <x:c r="E2263" s="28" t="str">
        <x:v>Primary study - cross-sectional</x:v>
      </x:c>
      <x:c r="F2263" s="28" t="str">
        <x:v>Development &amp; presentation; Recognition &amp; diagnosis; Family &amp; education; Social &amp; structural; Environmental &amp; lifestyle; Treatment &amp; support; Life outcomes &amp; lived experience</x:v>
      </x:c>
      <x:c r="G2263" s="28" t="str">
        <x:v>Adolescence; Adulthood</x:v>
      </x:c>
      <x:c r="H2263" s="28" t="str">
        <x:v>Later specialized</x:v>
      </x:c>
      <x:c r="I2263" s="28" t="str">
        <x:v>Direct or strongly ADHD-related record retained for later screening; typically narrower treatment, biomarker, mechanistic, or single-comorbidity focus.</x:v>
      </x:c>
      <x:c r="J2263" s="38" t="e">
        <x:f>HYPERLINK("https://pubmed.ncbi.nlm.nih.gov/"&amp;C2263&amp;"/","Open PubMed")</x:f>
        <x:v>HYPERLINK is not implemented. linkLocation=https://pubmed.ncbi.nlm.nih.gov/41823929/, friendlyName=Open PubMed</x:v>
      </x:c>
    </x:row>
    <x:row r="2264">
      <x:c r="A2264" s="26" t="str">
        <x:v>PUBMED-41819028</x:v>
      </x:c>
      <x:c r="B2264" s="26" t="n">
        <x:v>2026</x:v>
      </x:c>
      <x:c r="C2264" s="26" t="str">
        <x:v>41819028</x:v>
      </x:c>
      <x:c r="D2264" s="28" t="str">
        <x:v>What Do We Currently Know About Functional Tic-Like Behaviors: A Topical Review.</x:v>
      </x:c>
      <x:c r="E2264" s="28" t="str">
        <x:v>Evidence synthesis - review</x:v>
      </x:c>
      <x:c r="F2264" s="28" t="str">
        <x:v>Development &amp; presentation; Recognition &amp; diagnosis; Social &amp; structural; Treatment &amp; support</x:v>
      </x:c>
      <x:c r="G2264" s="28" t="str">
        <x:v>Not specified</x:v>
      </x:c>
      <x:c r="H2264" s="28" t="str">
        <x:v>Exclude/incidental</x:v>
      </x:c>
      <x:c r="I2264" s="28" t="str">
        <x:v>ADHD appears peripheral or insufficiently aligned with the requested corpus scope based on accessible metadata/abstract.</x:v>
      </x:c>
      <x:c r="J2264" s="38" t="e">
        <x:f>HYPERLINK("https://pubmed.ncbi.nlm.nih.gov/"&amp;C2264&amp;"/","Open PubMed")</x:f>
        <x:v>HYPERLINK is not implemented. linkLocation=https://pubmed.ncbi.nlm.nih.gov/41819028/, friendlyName=Open PubMed</x:v>
      </x:c>
    </x:row>
    <x:row r="2265">
      <x:c r="A2265" s="26" t="str">
        <x:v>PUBMED-41810603</x:v>
      </x:c>
      <x:c r="B2265" s="26" t="n">
        <x:v>2026</x:v>
      </x:c>
      <x:c r="C2265" s="26" t="str">
        <x:v>41810603</x:v>
      </x:c>
      <x:c r="D2265" s="28" t="str">
        <x:v>Improving Children's Social Skills With Virtual Reality: A Tailored Single-Session Training in Special Education.</x:v>
      </x:c>
      <x:c r="E2265" s="28" t="str">
        <x:v>Primary/contextual journal article</x:v>
      </x:c>
      <x:c r="F2265" s="28" t="str">
        <x:v>Development &amp; presentation; Family &amp; education; Social &amp; structural; Environmental &amp; lifestyle; Treatment &amp; support; Life outcomes &amp; lived experience</x:v>
      </x:c>
      <x:c r="G2265" s="28" t="str">
        <x:v>Childhood; Adolescence</x:v>
      </x:c>
      <x:c r="H2265" s="28" t="str">
        <x:v>Exclude/incidental</x:v>
      </x:c>
      <x:c r="I2265" s="28" t="str">
        <x:v>ADHD appears peripheral or insufficiently aligned with the requested corpus scope based on accessible metadata/abstract.</x:v>
      </x:c>
      <x:c r="J2265" s="38" t="e">
        <x:f>HYPERLINK("https://pubmed.ncbi.nlm.nih.gov/"&amp;C2265&amp;"/","Open PubMed")</x:f>
        <x:v>HYPERLINK is not implemented. linkLocation=https://pubmed.ncbi.nlm.nih.gov/41810603/, friendlyName=Open PubMed</x:v>
      </x:c>
    </x:row>
    <x:row r="2266">
      <x:c r="A2266" s="26" t="str">
        <x:v>PUBMED-41803733</x:v>
      </x:c>
      <x:c r="B2266" s="26" t="n">
        <x:v>2026</x:v>
      </x:c>
      <x:c r="C2266" s="26" t="str">
        <x:v>41803733</x:v>
      </x:c>
      <x:c r="D2266" s="28" t="str">
        <x:v>Stimulant shortage in children with ADHD: greater vulnerability among those with comorbidity.</x:v>
      </x:c>
      <x:c r="E2266" s="28" t="str">
        <x:v>Primary study - cross-sectional</x:v>
      </x:c>
      <x:c r="F2266" s="28" t="str">
        <x:v>Development &amp; presentation; Recognition &amp; diagnosis; Family &amp; education; Social &amp; structural; Environmental &amp; lifestyle; Treatment &amp; support; Life outcomes &amp; lived experience</x:v>
      </x:c>
      <x:c r="G2266" s="28" t="str">
        <x:v>Childhood; Adolescence</x:v>
      </x:c>
      <x:c r="H2266" s="28" t="str">
        <x:v>Later specialized</x:v>
      </x:c>
      <x:c r="I2266" s="28" t="str">
        <x:v>Direct or strongly ADHD-related record retained for later screening; typically narrower treatment, biomarker, mechanistic, or single-comorbidity focus.</x:v>
      </x:c>
      <x:c r="J2266" s="38" t="e">
        <x:f>HYPERLINK("https://pubmed.ncbi.nlm.nih.gov/"&amp;C2266&amp;"/","Open PubMed")</x:f>
        <x:v>HYPERLINK is not implemented. linkLocation=https://pubmed.ncbi.nlm.nih.gov/41803733/, friendlyName=Open PubMed</x:v>
      </x:c>
    </x:row>
    <x:row r="2267">
      <x:c r="A2267" s="26" t="str">
        <x:v>PUBMED-41802979</x:v>
      </x:c>
      <x:c r="B2267" s="26" t="n">
        <x:v>2026</x:v>
      </x:c>
      <x:c r="C2267" s="26" t="str">
        <x:v>41802979</x:v>
      </x:c>
      <x:c r="D2267" s="28" t="str">
        <x:v>Clinical Heterogeneity Among Preschoolers Recruited as Infants Due to Elevated Likelihood of Autism: A Sibling Study.</x:v>
      </x:c>
      <x:c r="E2267" s="28" t="str">
        <x:v>Primary study - cohort</x:v>
      </x:c>
      <x:c r="F2267" s="28" t="str">
        <x:v>Development &amp; presentation; Recognition &amp; diagnosis; Family &amp; education; Social &amp; structural; Life outcomes &amp; lived experience</x:v>
      </x:c>
      <x:c r="G2267" s="28" t="str">
        <x:v>Childhood</x:v>
      </x:c>
      <x:c r="H2267" s="28" t="str">
        <x:v>Later specialized</x:v>
      </x:c>
      <x:c r="I2267" s="28" t="str">
        <x:v>Direct or strongly ADHD-related record retained for later screening; typically narrower treatment, biomarker, mechanistic, or single-comorbidity focus.</x:v>
      </x:c>
      <x:c r="J2267" s="38" t="e">
        <x:f>HYPERLINK("https://pubmed.ncbi.nlm.nih.gov/"&amp;C2267&amp;"/","Open PubMed")</x:f>
        <x:v>HYPERLINK is not implemented. linkLocation=https://pubmed.ncbi.nlm.nih.gov/41802979/, friendlyName=Open PubMed</x:v>
      </x:c>
    </x:row>
    <x:row r="2268">
      <x:c r="A2268" s="26" t="str">
        <x:v>PUBMED-41801232</x:v>
      </x:c>
      <x:c r="B2268" s="26" t="n">
        <x:v>2026</x:v>
      </x:c>
      <x:c r="C2268" s="26" t="str">
        <x:v>41801232</x:v>
      </x:c>
      <x:c r="D2268" s="28" t="str">
        <x:v>Maternal Acetaminophen Use and Child Neurodevelopment.</x:v>
      </x:c>
      <x:c r="E2268" s="28" t="str">
        <x:v>Primary study - cohort</x:v>
      </x:c>
      <x:c r="F2268" s="28" t="str">
        <x:v>Development &amp; presentation; Recognition &amp; diagnosis; Family &amp; education; Social &amp; structural; Environmental &amp; lifestyle; Treatment &amp; support; Life outcomes &amp; lived experience</x:v>
      </x:c>
      <x:c r="G2268" s="28" t="str">
        <x:v>Childhood; Adulthood</x:v>
      </x:c>
      <x:c r="H2268" s="28" t="str">
        <x:v>Later specialized</x:v>
      </x:c>
      <x:c r="I2268" s="28" t="str">
        <x:v>Direct or strongly ADHD-related record retained for later screening; typically narrower treatment, biomarker, mechanistic, or single-comorbidity focus.</x:v>
      </x:c>
      <x:c r="J2268" s="38" t="e">
        <x:f>HYPERLINK("https://pubmed.ncbi.nlm.nih.gov/"&amp;C2268&amp;"/","Open PubMed")</x:f>
        <x:v>HYPERLINK is not implemented. linkLocation=https://pubmed.ncbi.nlm.nih.gov/41801232/, friendlyName=Open PubMed</x:v>
      </x:c>
    </x:row>
    <x:row r="2269">
      <x:c r="A2269" s="26" t="str">
        <x:v>PUBMED-41796375</x:v>
      </x:c>
      <x:c r="B2269" s="26" t="n">
        <x:v>2026</x:v>
      </x:c>
      <x:c r="C2269" s="26" t="str">
        <x:v>41796375</x:v>
      </x:c>
      <x:c r="D2269" s="28" t="str">
        <x:v>The bidirectional relationship between children's bedtime irregularity &amp; hyperactivity/inattention symptoms: a prospective cohort study.</x:v>
      </x:c>
      <x:c r="E2269" s="28" t="str">
        <x:v>Primary study - cohort</x:v>
      </x:c>
      <x:c r="F2269" s="28" t="str">
        <x:v>Development &amp; presentation; Family &amp; education; Social &amp; structural; Environmental &amp; lifestyle; Life outcomes &amp; lived experience; Historical &amp; contemporary context</x:v>
      </x:c>
      <x:c r="G2269" s="28" t="str">
        <x:v>Childhood</x:v>
      </x:c>
      <x:c r="H2269" s="28" t="str">
        <x:v>Later specialized</x:v>
      </x:c>
      <x:c r="I2269" s="28" t="str">
        <x:v>Direct or strongly ADHD-related record retained for later screening; typically narrower treatment, biomarker, mechanistic, or single-comorbidity focus.</x:v>
      </x:c>
      <x:c r="J2269" s="38" t="e">
        <x:f>HYPERLINK("https://pubmed.ncbi.nlm.nih.gov/"&amp;C2269&amp;"/","Open PubMed")</x:f>
        <x:v>HYPERLINK is not implemented. linkLocation=https://pubmed.ncbi.nlm.nih.gov/41796375/, friendlyName=Open PubMed</x:v>
      </x:c>
    </x:row>
    <x:row r="2270">
      <x:c r="A2270" s="26" t="str">
        <x:v>PUBMED-41795042</x:v>
      </x:c>
      <x:c r="B2270" s="26" t="n">
        <x:v>2026</x:v>
      </x:c>
      <x:c r="C2270" s="26" t="str">
        <x:v>41795042</x:v>
      </x:c>
      <x:c r="D2270" s="28" t="str">
        <x:v>Leveraging the genetics of psychiatric disorders to prioritize potential drug targets and compounds.</x:v>
      </x:c>
      <x:c r="E2270" s="28" t="str">
        <x:v>Primary/contextual journal article</x:v>
      </x:c>
      <x:c r="F2270" s="28" t="str">
        <x:v>Development &amp; presentation; Social &amp; structural; Treatment &amp; support; Life outcomes &amp; lived experience</x:v>
      </x:c>
      <x:c r="G2270" s="28" t="str">
        <x:v>Not specified</x:v>
      </x:c>
      <x:c r="H2270" s="28" t="str">
        <x:v>Later specialized</x:v>
      </x:c>
      <x:c r="I2270" s="28" t="str">
        <x:v>Direct or strongly ADHD-related record retained for later screening; typically narrower treatment, biomarker, mechanistic, or single-comorbidity focus.</x:v>
      </x:c>
      <x:c r="J2270" s="38" t="e">
        <x:f>HYPERLINK("https://pubmed.ncbi.nlm.nih.gov/"&amp;C2270&amp;"/","Open PubMed")</x:f>
        <x:v>HYPERLINK is not implemented. linkLocation=https://pubmed.ncbi.nlm.nih.gov/41795042/, friendlyName=Open PubMed</x:v>
      </x:c>
    </x:row>
    <x:row r="2271">
      <x:c r="A2271" s="26" t="str">
        <x:v>PUBMED-41794747</x:v>
      </x:c>
      <x:c r="B2271" s="26" t="n">
        <x:v>2026</x:v>
      </x:c>
      <x:c r="C2271" s="26" t="str">
        <x:v>41794747</x:v>
      </x:c>
      <x:c r="D2271" s="28" t="str">
        <x:v>Past diseases history: an important predictor of persistent learning disability in US children.</x:v>
      </x:c>
      <x:c r="E2271" s="28" t="str">
        <x:v>Primary/contextual journal article</x:v>
      </x:c>
      <x:c r="F2271" s="28" t="str">
        <x:v>Development &amp; presentation; Recognition &amp; diagnosis; Family &amp; education; Social &amp; structural; Historical &amp; contemporary context</x:v>
      </x:c>
      <x:c r="G2271" s="28" t="str">
        <x:v>Childhood; Adolescence</x:v>
      </x:c>
      <x:c r="H2271" s="28" t="str">
        <x:v>Later specialized</x:v>
      </x:c>
      <x:c r="I2271" s="28" t="str">
        <x:v>Direct or strongly ADHD-related record retained for later screening; typically narrower treatment, biomarker, mechanistic, or single-comorbidity focus.</x:v>
      </x:c>
      <x:c r="J2271" s="38" t="e">
        <x:f>HYPERLINK("https://pubmed.ncbi.nlm.nih.gov/"&amp;C2271&amp;"/","Open PubMed")</x:f>
        <x:v>HYPERLINK is not implemented. linkLocation=https://pubmed.ncbi.nlm.nih.gov/41794747/, friendlyName=Open PubMed</x:v>
      </x:c>
    </x:row>
    <x:row r="2272">
      <x:c r="A2272" s="26" t="str">
        <x:v>PUBMED-41787892</x:v>
      </x:c>
      <x:c r="B2272" s="26" t="n">
        <x:v>2026</x:v>
      </x:c>
      <x:c r="C2272" s="26" t="str">
        <x:v>41787892</x:v>
      </x:c>
      <x:c r="D2272" s="28" t="str">
        <x:v>Association between genetic polymorphisms in circadian cycle genes (PER2, PER3, and HCRTR2) and Attention Deficit Hyperactivity Disorder (ADHD).</x:v>
      </x:c>
      <x:c r="E2272" s="28" t="str">
        <x:v>Primary study - cohort</x:v>
      </x:c>
      <x:c r="F2272" s="28" t="str">
        <x:v>Development &amp; presentation; Social &amp; structural; Environmental &amp; lifestyle</x:v>
      </x:c>
      <x:c r="G2272" s="28" t="str">
        <x:v>Childhood; Adolescence</x:v>
      </x:c>
      <x:c r="H2272" s="28" t="str">
        <x:v>Later specialized</x:v>
      </x:c>
      <x:c r="I2272" s="28" t="str">
        <x:v>Direct or strongly ADHD-related record retained for later screening; typically narrower treatment, biomarker, mechanistic, or single-comorbidity focus.</x:v>
      </x:c>
      <x:c r="J2272" s="38" t="e">
        <x:f>HYPERLINK("https://pubmed.ncbi.nlm.nih.gov/"&amp;C2272&amp;"/","Open PubMed")</x:f>
        <x:v>HYPERLINK is not implemented. linkLocation=https://pubmed.ncbi.nlm.nih.gov/41787892/, friendlyName=Open PubMed</x:v>
      </x:c>
    </x:row>
    <x:row r="2273">
      <x:c r="A2273" s="26" t="str">
        <x:v>PUBMED-41784178</x:v>
      </x:c>
      <x:c r="B2273" s="26" t="n">
        <x:v>2026</x:v>
      </x:c>
      <x:c r="C2273" s="26" t="str">
        <x:v>41784178</x:v>
      </x:c>
      <x:c r="D2273" s="28" t="str">
        <x:v>Study on miRNA-146a-5p rs2910164 polymorphism in attention deficit and hyperactive disorder occurrence and development.</x:v>
      </x:c>
      <x:c r="E2273" s="28" t="str">
        <x:v>Primary study - case-control</x:v>
      </x:c>
      <x:c r="F2273" s="28" t="str">
        <x:v>Development &amp; presentation; Recognition &amp; diagnosis; Family &amp; education; Social &amp; structural; Treatment &amp; support; Life outcomes &amp; lived experience</x:v>
      </x:c>
      <x:c r="G2273" s="28" t="str">
        <x:v>Childhood</x:v>
      </x:c>
      <x:c r="H2273" s="28" t="str">
        <x:v>Later specialized</x:v>
      </x:c>
      <x:c r="I2273" s="28" t="str">
        <x:v>Direct or strongly ADHD-related record retained for later screening; typically narrower treatment, biomarker, mechanistic, or single-comorbidity focus.</x:v>
      </x:c>
      <x:c r="J2273" s="38" t="e">
        <x:f>HYPERLINK("https://pubmed.ncbi.nlm.nih.gov/"&amp;C2273&amp;"/","Open PubMed")</x:f>
        <x:v>HYPERLINK is not implemented. linkLocation=https://pubmed.ncbi.nlm.nih.gov/41784178/, friendlyName=Open PubMed</x:v>
      </x:c>
    </x:row>
    <x:row r="2274">
      <x:c r="A2274" s="26" t="str">
        <x:v>PUBMED-41773320</x:v>
      </x:c>
      <x:c r="B2274" s="26" t="n">
        <x:v>2026</x:v>
      </x:c>
      <x:c r="C2274" s="26" t="str">
        <x:v>41773320</x:v>
      </x:c>
      <x:c r="D2274" s="28" t="str">
        <x:v>Attention-Deficit/Hyperactivity Disorder in Psychiatric Outpatients Aged 65 and Over: Prevalence, Impulsivity, and Clinical Outcomes.</x:v>
      </x:c>
      <x:c r="E2274" s="28" t="str">
        <x:v>Primary/contextual journal article</x:v>
      </x:c>
      <x:c r="F2274" s="28" t="str">
        <x:v>Development &amp; presentation; Recognition &amp; diagnosis; Family &amp; education; Social &amp; structural; Treatment &amp; support; Life outcomes &amp; lived experience</x:v>
      </x:c>
      <x:c r="G2274" s="28" t="str">
        <x:v>Childhood; Adulthood</x:v>
      </x:c>
      <x:c r="H2274" s="28" t="str">
        <x:v>Later specialized</x:v>
      </x:c>
      <x:c r="I2274" s="28" t="str">
        <x:v>Direct or strongly ADHD-related record retained for later screening; typically narrower treatment, biomarker, mechanistic, or single-comorbidity focus.</x:v>
      </x:c>
      <x:c r="J2274" s="38" t="e">
        <x:f>HYPERLINK("https://pubmed.ncbi.nlm.nih.gov/"&amp;C2274&amp;"/","Open PubMed")</x:f>
        <x:v>HYPERLINK is not implemented. linkLocation=https://pubmed.ncbi.nlm.nih.gov/41773320/, friendlyName=Open PubMed</x:v>
      </x:c>
    </x:row>
    <x:row r="2275">
      <x:c r="A2275" s="26" t="str">
        <x:v>PUBMED-41769932</x:v>
      </x:c>
      <x:c r="B2275" s="26" t="n">
        <x:v>2026</x:v>
      </x:c>
      <x:c r="C2275" s="26" t="str">
        <x:v>41769932</x:v>
      </x:c>
      <x:c r="D2275" s="28" t="str">
        <x:v>Multimodal Virtual Reality Assessment of Medication Effects in Attention-Deficit/Hyperactivity Disorder and Its Distinction From Depression: Cross-Sectional Study.</x:v>
      </x:c>
      <x:c r="E2275" s="28" t="str">
        <x:v>Primary study - cross-sectional</x:v>
      </x:c>
      <x:c r="F2275" s="28" t="str">
        <x:v>Development &amp; presentation; Recognition &amp; diagnosis; Social &amp; structural; Environmental &amp; lifestyle; Treatment &amp; support</x:v>
      </x:c>
      <x:c r="G2275" s="28" t="str">
        <x:v>Adulthood</x:v>
      </x:c>
      <x:c r="H2275" s="28" t="str">
        <x:v>Later specialized</x:v>
      </x:c>
      <x:c r="I2275" s="28" t="str">
        <x:v>Direct or strongly ADHD-related record retained for later screening; typically narrower treatment, biomarker, mechanistic, or single-comorbidity focus.</x:v>
      </x:c>
      <x:c r="J2275" s="38" t="e">
        <x:f>HYPERLINK("https://pubmed.ncbi.nlm.nih.gov/"&amp;C2275&amp;"/","Open PubMed")</x:f>
        <x:v>HYPERLINK is not implemented. linkLocation=https://pubmed.ncbi.nlm.nih.gov/41769932/, friendlyName=Open PubMed</x:v>
      </x:c>
    </x:row>
    <x:row r="2276">
      <x:c r="A2276" s="26" t="str">
        <x:v>PUBMED-41748846</x:v>
      </x:c>
      <x:c r="B2276" s="26" t="n">
        <x:v>2026</x:v>
      </x:c>
      <x:c r="C2276" s="26" t="str">
        <x:v>41748846</x:v>
      </x:c>
      <x:c r="D2276" s="28" t="str">
        <x:v>Exploring early-stage orienting behavior using an eye tracker for attention deficit hyperactivity disorder classification.</x:v>
      </x:c>
      <x:c r="E2276" s="28" t="str">
        <x:v>Primary/contextual journal article</x:v>
      </x:c>
      <x:c r="F2276" s="28" t="str">
        <x:v>Development &amp; presentation; Recognition &amp; diagnosis; Social &amp; structural; Treatment &amp; support</x:v>
      </x:c>
      <x:c r="G2276" s="28" t="str">
        <x:v>Childhood</x:v>
      </x:c>
      <x:c r="H2276" s="28" t="str">
        <x:v>Later specialized</x:v>
      </x:c>
      <x:c r="I2276" s="28" t="str">
        <x:v>Direct or strongly ADHD-related record retained for later screening; typically narrower treatment, biomarker, mechanistic, or single-comorbidity focus.</x:v>
      </x:c>
      <x:c r="J2276" s="38" t="e">
        <x:f>HYPERLINK("https://pubmed.ncbi.nlm.nih.gov/"&amp;C2276&amp;"/","Open PubMed")</x:f>
        <x:v>HYPERLINK is not implemented. linkLocation=https://pubmed.ncbi.nlm.nih.gov/41748846/, friendlyName=Open PubMed</x:v>
      </x:c>
    </x:row>
    <x:row r="2277">
      <x:c r="A2277" s="26" t="str">
        <x:v>PUBMED-41747615</x:v>
      </x:c>
      <x:c r="B2277" s="26" t="n">
        <x:v>2026</x:v>
      </x:c>
      <x:c r="C2277" s="26" t="str">
        <x:v>41747615</x:v>
      </x:c>
      <x:c r="D2277" s="28" t="str">
        <x:v>Exploring the Interictal Neuropsychological Burden of Pediatric Migraine.</x:v>
      </x:c>
      <x:c r="E2277" s="28" t="str">
        <x:v>Primary study - cross-sectional</x:v>
      </x:c>
      <x:c r="F2277" s="28" t="str">
        <x:v>Development &amp; presentation; Recognition &amp; diagnosis; Family &amp; education; Social &amp; structural; Treatment &amp; support; Life outcomes &amp; lived experience</x:v>
      </x:c>
      <x:c r="G2277" s="28" t="str">
        <x:v>Childhood; Adolescence</x:v>
      </x:c>
      <x:c r="H2277" s="28" t="str">
        <x:v>Later specialized</x:v>
      </x:c>
      <x:c r="I2277" s="28" t="str">
        <x:v>Direct or strongly ADHD-related record retained for later screening; typically narrower treatment, biomarker, mechanistic, or single-comorbidity focus.</x:v>
      </x:c>
      <x:c r="J2277" s="38" t="e">
        <x:f>HYPERLINK("https://pubmed.ncbi.nlm.nih.gov/"&amp;C2277&amp;"/","Open PubMed")</x:f>
        <x:v>HYPERLINK is not implemented. linkLocation=https://pubmed.ncbi.nlm.nih.gov/41747615/, friendlyName=Open PubMed</x:v>
      </x:c>
    </x:row>
    <x:row r="2278">
      <x:c r="A2278" s="26" t="str">
        <x:v>PUBMED-41736174</x:v>
      </x:c>
      <x:c r="B2278" s="26" t="n">
        <x:v>2026</x:v>
      </x:c>
      <x:c r="C2278" s="26" t="str">
        <x:v>41736174</x:v>
      </x:c>
      <x:c r="D2278" s="28" t="str">
        <x:v>Psychometric properties of the Turkish Maladaptive Daydreaming Scale (MDS-16) and its short form (MDS-5): An item-level examination in adults with ADHD.</x:v>
      </x:c>
      <x:c r="E2278" s="28" t="str">
        <x:v>Primary study - cross-sectional</x:v>
      </x:c>
      <x:c r="F2278" s="28" t="str">
        <x:v>Development &amp; presentation; Recognition &amp; diagnosis; Social &amp; structural</x:v>
      </x:c>
      <x:c r="G2278" s="28" t="str">
        <x:v>Adulthood</x:v>
      </x:c>
      <x:c r="H2278" s="28" t="str">
        <x:v>Later specialized</x:v>
      </x:c>
      <x:c r="I2278" s="28" t="str">
        <x:v>Direct or strongly ADHD-related record retained for later screening; typically narrower treatment, biomarker, mechanistic, or single-comorbidity focus.</x:v>
      </x:c>
      <x:c r="J2278" s="38" t="e">
        <x:f>HYPERLINK("https://pubmed.ncbi.nlm.nih.gov/"&amp;C2278&amp;"/","Open PubMed")</x:f>
        <x:v>HYPERLINK is not implemented. linkLocation=https://pubmed.ncbi.nlm.nih.gov/41736174/, friendlyName=Open PubMed</x:v>
      </x:c>
    </x:row>
    <x:row r="2279">
      <x:c r="A2279" s="26" t="str">
        <x:v>PUBMED-41735456</x:v>
      </x:c>
      <x:c r="B2279" s="26" t="n">
        <x:v>2026</x:v>
      </x:c>
      <x:c r="C2279" s="26" t="str">
        <x:v>41735456</x:v>
      </x:c>
      <x:c r="D2279" s="28" t="str">
        <x:v>The combined ADHD profile faces the greatest risk of delay, depletion and disengagement in university students.</x:v>
      </x:c>
      <x:c r="E2279" s="28" t="str">
        <x:v>Primary study - cross-sectional</x:v>
      </x:c>
      <x:c r="F2279" s="28" t="str">
        <x:v>Development &amp; presentation; Recognition &amp; diagnosis; Family &amp; education; Social &amp; structural; Life outcomes &amp; lived experience; Historical &amp; contemporary context</x:v>
      </x:c>
      <x:c r="G2279" s="28" t="str">
        <x:v>Adolescence; Adulthood</x:v>
      </x:c>
      <x:c r="H2279" s="28" t="str">
        <x:v>Later specialized</x:v>
      </x:c>
      <x:c r="I2279" s="28" t="str">
        <x:v>Direct or strongly ADHD-related record retained for later screening; typically narrower treatment, biomarker, mechanistic, or single-comorbidity focus.</x:v>
      </x:c>
      <x:c r="J2279" s="38" t="e">
        <x:f>HYPERLINK("https://pubmed.ncbi.nlm.nih.gov/"&amp;C2279&amp;"/","Open PubMed")</x:f>
        <x:v>HYPERLINK is not implemented. linkLocation=https://pubmed.ncbi.nlm.nih.gov/41735456/, friendlyName=Open PubMed</x:v>
      </x:c>
    </x:row>
    <x:row r="2280">
      <x:c r="A2280" s="26" t="str">
        <x:v>PUBMED-41735274</x:v>
      </x:c>
      <x:c r="B2280" s="26" t="n">
        <x:v>2026</x:v>
      </x:c>
      <x:c r="C2280" s="26" t="str">
        <x:v>41735274</x:v>
      </x:c>
      <x:c r="D2280" s="28" t="str">
        <x:v>In-Depth characterization of the shared genetic architecture of suicide attempts with other major psychiatric disorders.</x:v>
      </x:c>
      <x:c r="E2280" s="28" t="str">
        <x:v>Primary/contextual journal article</x:v>
      </x:c>
      <x:c r="F2280" s="28" t="str">
        <x:v>Development &amp; presentation; Social &amp; structural</x:v>
      </x:c>
      <x:c r="G2280" s="28" t="str">
        <x:v>Not specified</x:v>
      </x:c>
      <x:c r="H2280" s="28" t="str">
        <x:v>Later specialized</x:v>
      </x:c>
      <x:c r="I2280" s="28" t="str">
        <x:v>Direct or strongly ADHD-related record retained for later screening; typically narrower treatment, biomarker, mechanistic, or single-comorbidity focus.</x:v>
      </x:c>
      <x:c r="J2280" s="38" t="e">
        <x:f>HYPERLINK("https://pubmed.ncbi.nlm.nih.gov/"&amp;C2280&amp;"/","Open PubMed")</x:f>
        <x:v>HYPERLINK is not implemented. linkLocation=https://pubmed.ncbi.nlm.nih.gov/41735274/, friendlyName=Open PubMed</x:v>
      </x:c>
    </x:row>
    <x:row r="2281">
      <x:c r="A2281" s="26" t="str">
        <x:v>PUBMED-41729977</x:v>
      </x:c>
      <x:c r="B2281" s="26" t="n">
        <x:v>2026</x:v>
      </x:c>
      <x:c r="C2281" s="26" t="str">
        <x:v>41729977</x:v>
      </x:c>
      <x:c r="D2281" s="28" t="str">
        <x:v>Dissecting the shared genetic architecture of bipolar disorder, major depressive disorder, and attention-deficit hyperactivity disorder.</x:v>
      </x:c>
      <x:c r="E2281" s="28" t="str">
        <x:v>Primary/contextual journal article</x:v>
      </x:c>
      <x:c r="F2281" s="28" t="str">
        <x:v>Development &amp; presentation; Social &amp; structural; Treatment &amp; support</x:v>
      </x:c>
      <x:c r="G2281" s="28" t="str">
        <x:v>Not specified</x:v>
      </x:c>
      <x:c r="H2281" s="28" t="str">
        <x:v>Later specialized</x:v>
      </x:c>
      <x:c r="I2281" s="28" t="str">
        <x:v>Direct or strongly ADHD-related record retained for later screening; typically narrower treatment, biomarker, mechanistic, or single-comorbidity focus.</x:v>
      </x:c>
      <x:c r="J2281" s="38" t="e">
        <x:f>HYPERLINK("https://pubmed.ncbi.nlm.nih.gov/"&amp;C2281&amp;"/","Open PubMed")</x:f>
        <x:v>HYPERLINK is not implemented. linkLocation=https://pubmed.ncbi.nlm.nih.gov/41729977/, friendlyName=Open PubMed</x:v>
      </x:c>
    </x:row>
    <x:row r="2282">
      <x:c r="A2282" s="26" t="str">
        <x:v>PUBMED-41713568</x:v>
      </x:c>
      <x:c r="B2282" s="26" t="n">
        <x:v>2026</x:v>
      </x:c>
      <x:c r="C2282" s="26" t="str">
        <x:v>41713568</x:v>
      </x:c>
      <x:c r="D2282" s="28" t="str">
        <x:v>Personalized ADHD Medication Experiments to Inform Decisions About Continued Medication Use: An Open-Label Trial.</x:v>
      </x:c>
      <x:c r="E2282" s="28" t="str">
        <x:v>Primary study - clinical trial</x:v>
      </x:c>
      <x:c r="F2282" s="28" t="str">
        <x:v>Development &amp; presentation; Family &amp; education; Social &amp; structural; Treatment &amp; support; Life outcomes &amp; lived experience</x:v>
      </x:c>
      <x:c r="G2282" s="28" t="str">
        <x:v>Childhood; Adolescence</x:v>
      </x:c>
      <x:c r="H2282" s="28" t="str">
        <x:v>Later specialized</x:v>
      </x:c>
      <x:c r="I2282" s="28" t="str">
        <x:v>Direct or strongly ADHD-related record retained for later screening; typically narrower treatment, biomarker, mechanistic, or single-comorbidity focus.</x:v>
      </x:c>
      <x:c r="J2282" s="38" t="e">
        <x:f>HYPERLINK("https://pubmed.ncbi.nlm.nih.gov/"&amp;C2282&amp;"/","Open PubMed")</x:f>
        <x:v>HYPERLINK is not implemented. linkLocation=https://pubmed.ncbi.nlm.nih.gov/41713568/, friendlyName=Open PubMed</x:v>
      </x:c>
    </x:row>
    <x:row r="2283">
      <x:c r="A2283" s="26" t="str">
        <x:v>PUBMED-41696840</x:v>
      </x:c>
      <x:c r="B2283" s="26" t="n">
        <x:v>2026</x:v>
      </x:c>
      <x:c r="C2283" s="26" t="str">
        <x:v>41696840</x:v>
      </x:c>
      <x:c r="D2283" s="28" t="str">
        <x:v>[Factors associated with ADHD medication adherence and treatment outcomes].</x:v>
      </x:c>
      <x:c r="E2283" s="28" t="str">
        <x:v>Evidence synthesis - review</x:v>
      </x:c>
      <x:c r="F2283" s="28" t="str">
        <x:v>Development &amp; presentation; Recognition &amp; diagnosis; Family &amp; education; Social &amp; structural; Treatment &amp; support; Life outcomes &amp; lived experience; Historical &amp; contemporary context</x:v>
      </x:c>
      <x:c r="G2283" s="28" t="str">
        <x:v>Childhood; Adolescence; Adulthood</x:v>
      </x:c>
      <x:c r="H2283" s="28" t="str">
        <x:v>Later specialized</x:v>
      </x:c>
      <x:c r="I2283" s="28" t="str">
        <x:v>Direct or strongly ADHD-related record retained for later screening; typically narrower treatment, biomarker, mechanistic, or single-comorbidity focus.</x:v>
      </x:c>
      <x:c r="J2283" s="38" t="e">
        <x:f>HYPERLINK("https://pubmed.ncbi.nlm.nih.gov/"&amp;C2283&amp;"/","Open PubMed")</x:f>
        <x:v>HYPERLINK is not implemented. linkLocation=https://pubmed.ncbi.nlm.nih.gov/41696840/, friendlyName=Open PubMed</x:v>
      </x:c>
    </x:row>
    <x:row r="2284">
      <x:c r="A2284" s="26" t="str">
        <x:v>PUBMED-41696839</x:v>
      </x:c>
      <x:c r="B2284" s="26" t="n">
        <x:v>2026</x:v>
      </x:c>
      <x:c r="C2284" s="26" t="str">
        <x:v>41696839</x:v>
      </x:c>
      <x:c r="D2284" s="28" t="str">
        <x:v>[Social skills in adults with late-onset diagnosis of ASD and ADHD].</x:v>
      </x:c>
      <x:c r="E2284" s="28" t="str">
        <x:v>Primary/contextual journal article</x:v>
      </x:c>
      <x:c r="F2284" s="28" t="str">
        <x:v>Development &amp; presentation; Recognition &amp; diagnosis; Social &amp; structural; Treatment &amp; support</x:v>
      </x:c>
      <x:c r="G2284" s="28" t="str">
        <x:v>Adolescence; Adulthood</x:v>
      </x:c>
      <x:c r="H2284" s="28" t="str">
        <x:v>Later specialized</x:v>
      </x:c>
      <x:c r="I2284" s="28" t="str">
        <x:v>Direct or strongly ADHD-related record retained for later screening; typically narrower treatment, biomarker, mechanistic, or single-comorbidity focus.</x:v>
      </x:c>
      <x:c r="J2284" s="38" t="e">
        <x:f>HYPERLINK("https://pubmed.ncbi.nlm.nih.gov/"&amp;C2284&amp;"/","Open PubMed")</x:f>
        <x:v>HYPERLINK is not implemented. linkLocation=https://pubmed.ncbi.nlm.nih.gov/41696839/, friendlyName=Open PubMed</x:v>
      </x:c>
    </x:row>
    <x:row r="2285">
      <x:c r="A2285" s="26" t="str">
        <x:v>PUBMED-41693477</x:v>
      </x:c>
      <x:c r="B2285" s="26" t="n">
        <x:v>2026</x:v>
      </x:c>
      <x:c r="C2285" s="26" t="str">
        <x:v>41693477</x:v>
      </x:c>
      <x:c r="D2285" s="28" t="str">
        <x:v>Early detection of adults ADHD using electronic health records: A machine learning study.</x:v>
      </x:c>
      <x:c r="E2285" s="28" t="str">
        <x:v>Primary/contextual journal article</x:v>
      </x:c>
      <x:c r="F2285" s="28" t="str">
        <x:v>Development &amp; presentation; Recognition &amp; diagnosis; Social &amp; structural; Environmental &amp; lifestyle; Treatment &amp; support; Life outcomes &amp; lived experience</x:v>
      </x:c>
      <x:c r="G2285" s="28" t="str">
        <x:v>Childhood; Adolescence; Adulthood</x:v>
      </x:c>
      <x:c r="H2285" s="28" t="str">
        <x:v>Later specialized</x:v>
      </x:c>
      <x:c r="I2285" s="28" t="str">
        <x:v>Direct or strongly ADHD-related record retained for later screening; typically narrower treatment, biomarker, mechanistic, or single-comorbidity focus.</x:v>
      </x:c>
      <x:c r="J2285" s="38" t="e">
        <x:f>HYPERLINK("https://pubmed.ncbi.nlm.nih.gov/"&amp;C2285&amp;"/","Open PubMed")</x:f>
        <x:v>HYPERLINK is not implemented. linkLocation=https://pubmed.ncbi.nlm.nih.gov/41693477/, friendlyName=Open PubMed</x:v>
      </x:c>
    </x:row>
    <x:row r="2286">
      <x:c r="A2286" s="26" t="str">
        <x:v>PUBMED-41689912</x:v>
      </x:c>
      <x:c r="B2286" s="26" t="n">
        <x:v>2026</x:v>
      </x:c>
      <x:c r="C2286" s="26" t="str">
        <x:v>41689912</x:v>
      </x:c>
      <x:c r="D2286" s="28" t="str">
        <x:v>Neurocognitive functioning in gambling: A systematic review of comparisons with other psychiatric and comorbid conditions.</x:v>
      </x:c>
      <x:c r="E2286" s="28" t="str">
        <x:v>Evidence synthesis - systematic review</x:v>
      </x:c>
      <x:c r="F2286" s="28" t="str">
        <x:v>Development &amp; presentation; Recognition &amp; diagnosis; Social &amp; structural; Environmental &amp; lifestyle; Treatment &amp; support; Life outcomes &amp; lived experience</x:v>
      </x:c>
      <x:c r="G2286" s="28" t="str">
        <x:v>Not specified</x:v>
      </x:c>
      <x:c r="H2286" s="28" t="str">
        <x:v>Exclude/incidental</x:v>
      </x:c>
      <x:c r="I2286" s="28" t="str">
        <x:v>ADHD appears peripheral or insufficiently aligned with the requested corpus scope based on accessible metadata/abstract.</x:v>
      </x:c>
      <x:c r="J2286" s="38" t="e">
        <x:f>HYPERLINK("https://pubmed.ncbi.nlm.nih.gov/"&amp;C2286&amp;"/","Open PubMed")</x:f>
        <x:v>HYPERLINK is not implemented. linkLocation=https://pubmed.ncbi.nlm.nih.gov/41689912/, friendlyName=Open PubMed</x:v>
      </x:c>
    </x:row>
    <x:row r="2287">
      <x:c r="A2287" s="26" t="str">
        <x:v>PUBMED-41685752</x:v>
      </x:c>
      <x:c r="B2287" s="26" t="n">
        <x:v>2026</x:v>
      </x:c>
      <x:c r="C2287" s="26" t="str">
        <x:v>41685752</x:v>
      </x:c>
      <x:c r="D2287" s="28" t="str">
        <x:v>Complex Attention-Deficit Hyperactivity Disorder in a 15-year-old With a Substance Use Disorder.</x:v>
      </x:c>
      <x:c r="E2287" s="28" t="str">
        <x:v>Primary/contextual journal article</x:v>
      </x:c>
      <x:c r="F2287" s="28" t="str">
        <x:v>Development &amp; presentation; Recognition &amp; diagnosis; Family &amp; education; Social &amp; structural; Environmental &amp; lifestyle; Treatment &amp; support; Life outcomes &amp; lived experience</x:v>
      </x:c>
      <x:c r="G2287" s="28" t="str">
        <x:v>Adolescence</x:v>
      </x:c>
      <x:c r="H2287" s="28" t="str">
        <x:v>Later specialized</x:v>
      </x:c>
      <x:c r="I2287" s="28" t="str">
        <x:v>Direct or strongly ADHD-related record retained for later screening; typically narrower treatment, biomarker, mechanistic, or single-comorbidity focus.</x:v>
      </x:c>
      <x:c r="J2287" s="38" t="e">
        <x:f>HYPERLINK("https://pubmed.ncbi.nlm.nih.gov/"&amp;C2287&amp;"/","Open PubMed")</x:f>
        <x:v>HYPERLINK is not implemented. linkLocation=https://pubmed.ncbi.nlm.nih.gov/41685752/, friendlyName=Open PubMed</x:v>
      </x:c>
    </x:row>
    <x:row r="2288">
      <x:c r="A2288" s="26" t="str">
        <x:v>PUBMED-41679739</x:v>
      </x:c>
      <x:c r="B2288" s="26" t="n">
        <x:v>2026</x:v>
      </x:c>
      <x:c r="C2288" s="26" t="str">
        <x:v>41679739</x:v>
      </x:c>
      <x:c r="D2288" s="28" t="str">
        <x:v>The Association Between Attention Performance and Empathy in Children Diagnosed with ADHD.</x:v>
      </x:c>
      <x:c r="E2288" s="28" t="str">
        <x:v>Primary/contextual journal article</x:v>
      </x:c>
      <x:c r="F2288" s="28" t="str">
        <x:v>Development &amp; presentation; Recognition &amp; diagnosis; Family &amp; education; Social &amp; structural; Life outcomes &amp; lived experience</x:v>
      </x:c>
      <x:c r="G2288" s="28" t="str">
        <x:v>Childhood</x:v>
      </x:c>
      <x:c r="H2288" s="28" t="str">
        <x:v>Later specialized</x:v>
      </x:c>
      <x:c r="I2288" s="28" t="str">
        <x:v>Direct or strongly ADHD-related record retained for later screening; typically narrower treatment, biomarker, mechanistic, or single-comorbidity focus.</x:v>
      </x:c>
      <x:c r="J2288" s="38" t="e">
        <x:f>HYPERLINK("https://pubmed.ncbi.nlm.nih.gov/"&amp;C2288&amp;"/","Open PubMed")</x:f>
        <x:v>HYPERLINK is not implemented. linkLocation=https://pubmed.ncbi.nlm.nih.gov/41679739/, friendlyName=Open PubMed</x:v>
      </x:c>
    </x:row>
    <x:row r="2289">
      <x:c r="A2289" s="26" t="str">
        <x:v>PUBMED-41673465</x:v>
      </x:c>
      <x:c r="B2289" s="26" t="n">
        <x:v>2026</x:v>
      </x:c>
      <x:c r="C2289" s="26" t="str">
        <x:v>41673465</x:v>
      </x:c>
      <x:c r="D2289" s="28" t="str">
        <x:v>Neonatal gut Bifidobacterium associates with indole-3-lactic acid levels in blood and risk of ADHD at age 10.</x:v>
      </x:c>
      <x:c r="E2289" s="28" t="str">
        <x:v>Primary study - cohort</x:v>
      </x:c>
      <x:c r="F2289" s="28" t="str">
        <x:v>Development &amp; presentation; Social &amp; structural; Environmental &amp; lifestyle; Treatment &amp; support; Life outcomes &amp; lived experience</x:v>
      </x:c>
      <x:c r="G2289" s="28" t="str">
        <x:v>Childhood</x:v>
      </x:c>
      <x:c r="H2289" s="28" t="str">
        <x:v>Later specialized</x:v>
      </x:c>
      <x:c r="I2289" s="28" t="str">
        <x:v>Direct or strongly ADHD-related record retained for later screening; typically narrower treatment, biomarker, mechanistic, or single-comorbidity focus.</x:v>
      </x:c>
      <x:c r="J2289" s="38" t="e">
        <x:f>HYPERLINK("https://pubmed.ncbi.nlm.nih.gov/"&amp;C2289&amp;"/","Open PubMed")</x:f>
        <x:v>HYPERLINK is not implemented. linkLocation=https://pubmed.ncbi.nlm.nih.gov/41673465/, friendlyName=Open PubMed</x:v>
      </x:c>
    </x:row>
    <x:row r="2290">
      <x:c r="A2290" s="26" t="str">
        <x:v>PUBMED-41673260</x:v>
      </x:c>
      <x:c r="B2290" s="26" t="n">
        <x:v>2026</x:v>
      </x:c>
      <x:c r="C2290" s="26" t="str">
        <x:v>41673260</x:v>
      </x:c>
      <x:c r="D2290" s="28" t="str">
        <x:v>Integrated cognitive-motor exercise for core symptoms and executive functions in children with attention deficit hyperactivity disorder: a randomized clinical trial.</x:v>
      </x:c>
      <x:c r="E2290" s="28" t="str">
        <x:v>Primary study - randomized controlled trial</x:v>
      </x:c>
      <x:c r="F2290" s="28" t="str">
        <x:v>Development &amp; presentation; Recognition &amp; diagnosis; Family &amp; education; Social &amp; structural; Environmental &amp; lifestyle; Treatment &amp; support; Life outcomes &amp; lived experience</x:v>
      </x:c>
      <x:c r="G2290" s="28" t="str">
        <x:v>Childhood</x:v>
      </x:c>
      <x:c r="H2290" s="28" t="str">
        <x:v>Later specialized</x:v>
      </x:c>
      <x:c r="I2290" s="28" t="str">
        <x:v>Direct or strongly ADHD-related record retained for later screening; typically narrower treatment, biomarker, mechanistic, or single-comorbidity focus.</x:v>
      </x:c>
      <x:c r="J2290" s="38" t="e">
        <x:f>HYPERLINK("https://pubmed.ncbi.nlm.nih.gov/"&amp;C2290&amp;"/","Open PubMed")</x:f>
        <x:v>HYPERLINK is not implemented. linkLocation=https://pubmed.ncbi.nlm.nih.gov/41673260/, friendlyName=Open PubMed</x:v>
      </x:c>
    </x:row>
    <x:row r="2291">
      <x:c r="A2291" s="26" t="str">
        <x:v>PUBMED-41667893</x:v>
      </x:c>
      <x:c r="B2291" s="26" t="n">
        <x:v>2026</x:v>
      </x:c>
      <x:c r="C2291" s="26" t="str">
        <x:v>41667893</x:v>
      </x:c>
      <x:c r="D2291" s="28" t="str">
        <x:v>Mazindol Immediate-Release/Sustained-Release (IR/SR): A 50-Year Legacy of Multifaceted Mechanisms and Emerging Therapeutic Potential.</x:v>
      </x:c>
      <x:c r="E2291" s="28" t="str">
        <x:v>Evidence synthesis - review</x:v>
      </x:c>
      <x:c r="F2291" s="28" t="str">
        <x:v>Development &amp; presentation; Social &amp; structural; Treatment &amp; support; Life outcomes &amp; lived experience</x:v>
      </x:c>
      <x:c r="G2291" s="28" t="str">
        <x:v>Not specified</x:v>
      </x:c>
      <x:c r="H2291" s="28" t="str">
        <x:v>Later specialized</x:v>
      </x:c>
      <x:c r="I2291" s="28" t="str">
        <x:v>Direct or strongly ADHD-related record retained for later screening; typically narrower treatment, biomarker, mechanistic, or single-comorbidity focus.</x:v>
      </x:c>
      <x:c r="J2291" s="38" t="e">
        <x:f>HYPERLINK("https://pubmed.ncbi.nlm.nih.gov/"&amp;C2291&amp;"/","Open PubMed")</x:f>
        <x:v>HYPERLINK is not implemented. linkLocation=https://pubmed.ncbi.nlm.nih.gov/41667893/, friendlyName=Open PubMed</x:v>
      </x:c>
    </x:row>
    <x:row r="2292">
      <x:c r="A2292" s="26" t="str">
        <x:v>PUBMED-41661569</x:v>
      </x:c>
      <x:c r="B2292" s="26" t="n">
        <x:v>2026</x:v>
      </x:c>
      <x:c r="C2292" s="26" t="str">
        <x:v>41661569</x:v>
      </x:c>
      <x:c r="D2292" s="28" t="str">
        <x:v>Relative effects of treatment history and family environment on attention functioning in pediatric cancer survivors.</x:v>
      </x:c>
      <x:c r="E2292" s="28" t="str">
        <x:v>Primary/contextual journal article</x:v>
      </x:c>
      <x:c r="F2292" s="28" t="str">
        <x:v>Development &amp; presentation; Family &amp; education; Social &amp; structural; Environmental &amp; lifestyle; Treatment &amp; support; Life outcomes &amp; lived experience; Historical &amp; contemporary context</x:v>
      </x:c>
      <x:c r="G2292" s="28" t="str">
        <x:v>Childhood; Adolescence</x:v>
      </x:c>
      <x:c r="H2292" s="28" t="str">
        <x:v>Later specialized</x:v>
      </x:c>
      <x:c r="I2292" s="28" t="str">
        <x:v>Direct or strongly ADHD-related record retained for later screening; typically narrower treatment, biomarker, mechanistic, or single-comorbidity focus.</x:v>
      </x:c>
      <x:c r="J2292" s="38" t="e">
        <x:f>HYPERLINK("https://pubmed.ncbi.nlm.nih.gov/"&amp;C2292&amp;"/","Open PubMed")</x:f>
        <x:v>HYPERLINK is not implemented. linkLocation=https://pubmed.ncbi.nlm.nih.gov/41661569/, friendlyName=Open PubMed</x:v>
      </x:c>
    </x:row>
    <x:row r="2293">
      <x:c r="A2293" s="26" t="str">
        <x:v>PUBMED-41661010</x:v>
      </x:c>
      <x:c r="B2293" s="26" t="n">
        <x:v>2026</x:v>
      </x:c>
      <x:c r="C2293" s="26" t="str">
        <x:v>41661010</x:v>
      </x:c>
      <x:c r="D2293" s="28" t="str">
        <x:v>[Impulsivity as a key to transdiagnostic understanding of mental disorders].</x:v>
      </x:c>
      <x:c r="E2293" s="28" t="str">
        <x:v>Evidence synthesis - review</x:v>
      </x:c>
      <x:c r="F2293" s="28" t="str">
        <x:v>Development &amp; presentation; Recognition &amp; diagnosis; Social &amp; structural; Treatment &amp; support; Life outcomes &amp; lived experience</x:v>
      </x:c>
      <x:c r="G2293" s="28" t="str">
        <x:v>Not specified</x:v>
      </x:c>
      <x:c r="H2293" s="28" t="str">
        <x:v>Later specialized</x:v>
      </x:c>
      <x:c r="I2293" s="28" t="str">
        <x:v>Direct or strongly ADHD-related record retained for later screening; typically narrower treatment, biomarker, mechanistic, or single-comorbidity focus.</x:v>
      </x:c>
      <x:c r="J2293" s="38" t="e">
        <x:f>HYPERLINK("https://pubmed.ncbi.nlm.nih.gov/"&amp;C2293&amp;"/","Open PubMed")</x:f>
        <x:v>HYPERLINK is not implemented. linkLocation=https://pubmed.ncbi.nlm.nih.gov/41661010/, friendlyName=Open PubMed</x:v>
      </x:c>
    </x:row>
    <x:row r="2294">
      <x:c r="A2294" s="26" t="str">
        <x:v>PUBMED-41655471</x:v>
      </x:c>
      <x:c r="B2294" s="26" t="n">
        <x:v>2026</x:v>
      </x:c>
      <x:c r="C2294" s="26" t="str">
        <x:v>41655471</x:v>
      </x:c>
      <x:c r="D2294" s="28" t="str">
        <x:v>A multi-cohort assessment of the polygenic prediction in ADHD treatment response.</x:v>
      </x:c>
      <x:c r="E2294" s="28" t="str">
        <x:v>Evidence synthesis - meta-analysis</x:v>
      </x:c>
      <x:c r="F2294" s="28" t="str">
        <x:v>Development &amp; presentation; Recognition &amp; diagnosis; Family &amp; education; Social &amp; structural; Treatment &amp; support; Life outcomes &amp; lived experience</x:v>
      </x:c>
      <x:c r="G2294" s="28" t="str">
        <x:v>Childhood</x:v>
      </x:c>
      <x:c r="H2294" s="28" t="str">
        <x:v>Later specialized</x:v>
      </x:c>
      <x:c r="I2294" s="28" t="str">
        <x:v>Direct or strongly ADHD-related record retained for later screening; typically narrower treatment, biomarker, mechanistic, or single-comorbidity focus.</x:v>
      </x:c>
      <x:c r="J2294" s="38" t="e">
        <x:f>HYPERLINK("https://pubmed.ncbi.nlm.nih.gov/"&amp;C2294&amp;"/","Open PubMed")</x:f>
        <x:v>HYPERLINK is not implemented. linkLocation=https://pubmed.ncbi.nlm.nih.gov/41655471/, friendlyName=Open PubMed</x:v>
      </x:c>
    </x:row>
    <x:row r="2295">
      <x:c r="A2295" s="26" t="str">
        <x:v>PUBMED-41653994</x:v>
      </x:c>
      <x:c r="B2295" s="26" t="n">
        <x:v>2026</x:v>
      </x:c>
      <x:c r="C2295" s="26" t="str">
        <x:v>41653994</x:v>
      </x:c>
      <x:c r="D2295" s="28" t="str">
        <x:v>Clinical and cognitive profile of nigral iron content in children with ADHD.</x:v>
      </x:c>
      <x:c r="E2295" s="28" t="str">
        <x:v>Primary/contextual journal article</x:v>
      </x:c>
      <x:c r="F2295" s="28" t="str">
        <x:v>Development &amp; presentation; Recognition &amp; diagnosis; Family &amp; education; Treatment &amp; support; Life outcomes &amp; lived experience</x:v>
      </x:c>
      <x:c r="G2295" s="28" t="str">
        <x:v>Childhood</x:v>
      </x:c>
      <x:c r="H2295" s="28" t="str">
        <x:v>Later specialized</x:v>
      </x:c>
      <x:c r="I2295" s="28" t="str">
        <x:v>Direct or strongly ADHD-related record retained for later screening; typically narrower treatment, biomarker, mechanistic, or single-comorbidity focus.</x:v>
      </x:c>
      <x:c r="J2295" s="38" t="e">
        <x:f>HYPERLINK("https://pubmed.ncbi.nlm.nih.gov/"&amp;C2295&amp;"/","Open PubMed")</x:f>
        <x:v>HYPERLINK is not implemented. linkLocation=https://pubmed.ncbi.nlm.nih.gov/41653994/, friendlyName=Open PubMed</x:v>
      </x:c>
    </x:row>
    <x:row r="2296">
      <x:c r="A2296" s="26" t="str">
        <x:v>PUBMED-41629587</x:v>
      </x:c>
      <x:c r="B2296" s="26" t="n">
        <x:v>2026</x:v>
      </x:c>
      <x:c r="C2296" s="26" t="str">
        <x:v>41629587</x:v>
      </x:c>
      <x:c r="D2296" s="28" t="str">
        <x:v>Sleep deprivation alters early event-related potentials during emotional face processing in adults with ADHD.</x:v>
      </x:c>
      <x:c r="E2296" s="28" t="str">
        <x:v>Primary/contextual journal article</x:v>
      </x:c>
      <x:c r="F2296" s="28" t="str">
        <x:v>Development &amp; presentation; Social &amp; structural; Environmental &amp; lifestyle; Treatment &amp; support</x:v>
      </x:c>
      <x:c r="G2296" s="28" t="str">
        <x:v>Adulthood</x:v>
      </x:c>
      <x:c r="H2296" s="28" t="str">
        <x:v>Later specialized</x:v>
      </x:c>
      <x:c r="I2296" s="28" t="str">
        <x:v>Direct or strongly ADHD-related record retained for later screening; typically narrower treatment, biomarker, mechanistic, or single-comorbidity focus.</x:v>
      </x:c>
      <x:c r="J2296" s="38" t="e">
        <x:f>HYPERLINK("https://pubmed.ncbi.nlm.nih.gov/"&amp;C2296&amp;"/","Open PubMed")</x:f>
        <x:v>HYPERLINK is not implemented. linkLocation=https://pubmed.ncbi.nlm.nih.gov/41629587/, friendlyName=Open PubMed</x:v>
      </x:c>
    </x:row>
    <x:row r="2297">
      <x:c r="A2297" s="26" t="str">
        <x:v>PUBMED-41627718</x:v>
      </x:c>
      <x:c r="B2297" s="26" t="n">
        <x:v>2026</x:v>
      </x:c>
      <x:c r="C2297" s="26" t="str">
        <x:v>41627718</x:v>
      </x:c>
      <x:c r="D2297" s="28" t="str">
        <x:v>Tolerance and Tachyphylaxis to Medications for Attention-Deficit/Hyperactivity Disorder (ADHD): A Systematic Review of Empirical Studies.</x:v>
      </x:c>
      <x:c r="E2297" s="28" t="str">
        <x:v>Evidence synthesis - systematic review</x:v>
      </x:c>
      <x:c r="F2297" s="28" t="str">
        <x:v>Development &amp; presentation; Recognition &amp; diagnosis; Social &amp; structural; Treatment &amp; support</x:v>
      </x:c>
      <x:c r="G2297" s="28" t="str">
        <x:v>Not specified</x:v>
      </x:c>
      <x:c r="H2297" s="28" t="str">
        <x:v>Batch 1 core</x:v>
      </x:c>
      <x:c r="I2297" s="28" t="str">
        <x:v>Direct ADHD evidence synthesis/guideline with broad multi-topic relevance.</x:v>
      </x:c>
      <x:c r="J2297" s="38" t="e">
        <x:f>HYPERLINK("https://pubmed.ncbi.nlm.nih.gov/"&amp;C2297&amp;"/","Open PubMed")</x:f>
        <x:v>HYPERLINK is not implemented. linkLocation=https://pubmed.ncbi.nlm.nih.gov/41627718/, friendlyName=Open PubMed</x:v>
      </x:c>
    </x:row>
    <x:row r="2298">
      <x:c r="A2298" s="26" t="str">
        <x:v>PUBMED-41621353</x:v>
      </x:c>
      <x:c r="B2298" s="26" t="n">
        <x:v>2026</x:v>
      </x:c>
      <x:c r="C2298" s="26" t="str">
        <x:v>41621353</x:v>
      </x:c>
      <x:c r="D2298" s="28" t="str">
        <x:v>Abnormal spatial and temporal concordance between local spontaneous intrinsic brain activity measures across three major psychiatric disorders.</x:v>
      </x:c>
      <x:c r="E2298" s="28" t="str">
        <x:v>Primary/contextual journal article</x:v>
      </x:c>
      <x:c r="F2298" s="28" t="str">
        <x:v>Development &amp; presentation; Recognition &amp; diagnosis</x:v>
      </x:c>
      <x:c r="G2298" s="28" t="str">
        <x:v>Adulthood</x:v>
      </x:c>
      <x:c r="H2298" s="28" t="str">
        <x:v>Later specialized</x:v>
      </x:c>
      <x:c r="I2298" s="28" t="str">
        <x:v>Direct or strongly ADHD-related record retained for later screening; typically narrower treatment, biomarker, mechanistic, or single-comorbidity focus.</x:v>
      </x:c>
      <x:c r="J2298" s="38" t="e">
        <x:f>HYPERLINK("https://pubmed.ncbi.nlm.nih.gov/"&amp;C2298&amp;"/","Open PubMed")</x:f>
        <x:v>HYPERLINK is not implemented. linkLocation=https://pubmed.ncbi.nlm.nih.gov/41621353/, friendlyName=Open PubMed</x:v>
      </x:c>
    </x:row>
    <x:row r="2299">
      <x:c r="A2299" s="26" t="str">
        <x:v>PUBMED-41612554</x:v>
      </x:c>
      <x:c r="B2299" s="26" t="n">
        <x:v>2026</x:v>
      </x:c>
      <x:c r="C2299" s="26" t="str">
        <x:v>41612554</x:v>
      </x:c>
      <x:c r="D2299" s="28" t="str">
        <x:v>Linking Attention Deficits to Difficulties in the Comprehension of Complex Syntax in Dyslexia.</x:v>
      </x:c>
      <x:c r="E2299" s="28" t="str">
        <x:v>Primary/contextual journal article</x:v>
      </x:c>
      <x:c r="F2299" s="28" t="str">
        <x:v>Development &amp; presentation; Recognition &amp; diagnosis; Social &amp; structural</x:v>
      </x:c>
      <x:c r="G2299" s="28" t="str">
        <x:v>Childhood; Adolescence</x:v>
      </x:c>
      <x:c r="H2299" s="28" t="str">
        <x:v>Later specialized</x:v>
      </x:c>
      <x:c r="I2299" s="28" t="str">
        <x:v>Direct or strongly ADHD-related record retained for later screening; typically narrower treatment, biomarker, mechanistic, or single-comorbidity focus.</x:v>
      </x:c>
      <x:c r="J2299" s="38" t="e">
        <x:f>HYPERLINK("https://pubmed.ncbi.nlm.nih.gov/"&amp;C2299&amp;"/","Open PubMed")</x:f>
        <x:v>HYPERLINK is not implemented. linkLocation=https://pubmed.ncbi.nlm.nih.gov/41612554/, friendlyName=Open PubMed</x:v>
      </x:c>
    </x:row>
    <x:row r="2300">
      <x:c r="A2300" s="26" t="str">
        <x:v>PUBMED-41612100</x:v>
      </x:c>
      <x:c r="B2300" s="26" t="n">
        <x:v>2026</x:v>
      </x:c>
      <x:c r="C2300" s="26" t="str">
        <x:v>41612100</x:v>
      </x:c>
      <x:c r="D2300" s="28" t="str">
        <x:v>Indirect and Conditional Associations Between ADHD and Risky Internet Use in Elementary School Children With Parent-child Conflict and Maternal Childhood Trauma.</x:v>
      </x:c>
      <x:c r="E2300" s="28" t="str">
        <x:v>Primary/contextual journal article</x:v>
      </x:c>
      <x:c r="F2300" s="28" t="str">
        <x:v>Development &amp; presentation; Recognition &amp; diagnosis; Family &amp; education; Social &amp; structural; Life outcomes &amp; lived experience</x:v>
      </x:c>
      <x:c r="G2300" s="28" t="str">
        <x:v>Childhood</x:v>
      </x:c>
      <x:c r="H2300" s="28" t="str">
        <x:v>Later specialized</x:v>
      </x:c>
      <x:c r="I2300" s="28" t="str">
        <x:v>Direct or strongly ADHD-related record retained for later screening; typically narrower treatment, biomarker, mechanistic, or single-comorbidity focus.</x:v>
      </x:c>
      <x:c r="J2300" s="38" t="e">
        <x:f>HYPERLINK("https://pubmed.ncbi.nlm.nih.gov/"&amp;C2300&amp;"/","Open PubMed")</x:f>
        <x:v>HYPERLINK is not implemented. linkLocation=https://pubmed.ncbi.nlm.nih.gov/41612100/, friendlyName=Open PubMed</x:v>
      </x:c>
    </x:row>
    <x:row r="2301">
      <x:c r="A2301" s="26" t="str">
        <x:v>PUBMED-41591817</x:v>
      </x:c>
      <x:c r="B2301" s="26" t="n">
        <x:v>2026</x:v>
      </x:c>
      <x:c r="C2301" s="26" t="str">
        <x:v>41591817</x:v>
      </x:c>
      <x:c r="D2301" s="28" t="str">
        <x:v>Mouse model of atypical DAT deficiency syndrome uncovers dopamine dysfunction associated with parkinsonism and ADHD.</x:v>
      </x:c>
      <x:c r="E2301" s="28" t="str">
        <x:v>Primary/contextual journal article</x:v>
      </x:c>
      <x:c r="F2301" s="28" t="str">
        <x:v>Development &amp; presentation; Social &amp; structural; Environmental &amp; lifestyle; Treatment &amp; support</x:v>
      </x:c>
      <x:c r="G2301" s="28" t="str">
        <x:v>Not specified</x:v>
      </x:c>
      <x:c r="H2301" s="28" t="str">
        <x:v>Later specialized</x:v>
      </x:c>
      <x:c r="I2301" s="28" t="str">
        <x:v>Direct or strongly ADHD-related record retained for later screening; typically narrower treatment, biomarker, mechanistic, or single-comorbidity focus.</x:v>
      </x:c>
      <x:c r="J2301" s="38" t="e">
        <x:f>HYPERLINK("https://pubmed.ncbi.nlm.nih.gov/"&amp;C2301&amp;"/","Open PubMed")</x:f>
        <x:v>HYPERLINK is not implemented. linkLocation=https://pubmed.ncbi.nlm.nih.gov/41591817/, friendlyName=Open PubMed</x:v>
      </x:c>
    </x:row>
    <x:row r="2302">
      <x:c r="A2302" s="26" t="str">
        <x:v>PUBMED-41588643</x:v>
      </x:c>
      <x:c r="B2302" s="26" t="n">
        <x:v>2026</x:v>
      </x:c>
      <x:c r="C2302" s="26" t="str">
        <x:v>41588643</x:v>
      </x:c>
      <x:c r="D2302" s="28" t="str">
        <x:v>Gender Differences in Cognitive Behavioral Therapy Outcomes for Adolescents With ADHD: Examining the Impact of Internalizing Symptoms.</x:v>
      </x:c>
      <x:c r="E2302" s="28" t="str">
        <x:v>Primary study - randomized controlled trial</x:v>
      </x:c>
      <x:c r="F2302" s="28" t="str">
        <x:v>Development &amp; presentation; Family &amp; education; Social &amp; structural; Treatment &amp; support; Life outcomes &amp; lived experience</x:v>
      </x:c>
      <x:c r="G2302" s="28" t="str">
        <x:v>Childhood; Adolescence</x:v>
      </x:c>
      <x:c r="H2302" s="28" t="str">
        <x:v>Later specialized</x:v>
      </x:c>
      <x:c r="I2302" s="28" t="str">
        <x:v>Direct or strongly ADHD-related record retained for later screening; typically narrower treatment, biomarker, mechanistic, or single-comorbidity focus.</x:v>
      </x:c>
      <x:c r="J2302" s="38" t="e">
        <x:f>HYPERLINK("https://pubmed.ncbi.nlm.nih.gov/"&amp;C2302&amp;"/","Open PubMed")</x:f>
        <x:v>HYPERLINK is not implemented. linkLocation=https://pubmed.ncbi.nlm.nih.gov/41588643/, friendlyName=Open PubMed</x:v>
      </x:c>
    </x:row>
    <x:row r="2303">
      <x:c r="A2303" s="26" t="str">
        <x:v>PUBMED-41587031</x:v>
      </x:c>
      <x:c r="B2303" s="26" t="n">
        <x:v>2026</x:v>
      </x:c>
      <x:c r="C2303" s="26" t="str">
        <x:v>41587031</x:v>
      </x:c>
      <x:c r="D2303" s="28" t="str">
        <x:v>Umbilical Cord Blood pH Level, Apgar Score, and Attention-Deficit/Hyperactivity Disorder.</x:v>
      </x:c>
      <x:c r="E2303" s="28" t="str">
        <x:v>Primary study - cohort</x:v>
      </x:c>
      <x:c r="F2303" s="28" t="str">
        <x:v>Development &amp; presentation; Recognition &amp; diagnosis; Social &amp; structural; Environmental &amp; lifestyle; Treatment &amp; support; Life outcomes &amp; lived experience</x:v>
      </x:c>
      <x:c r="G2303" s="28" t="str">
        <x:v>Not specified</x:v>
      </x:c>
      <x:c r="H2303" s="28" t="str">
        <x:v>Later specialized</x:v>
      </x:c>
      <x:c r="I2303" s="28" t="str">
        <x:v>Direct or strongly ADHD-related record retained for later screening; typically narrower treatment, biomarker, mechanistic, or single-comorbidity focus.</x:v>
      </x:c>
      <x:c r="J2303" s="38" t="e">
        <x:f>HYPERLINK("https://pubmed.ncbi.nlm.nih.gov/"&amp;C2303&amp;"/","Open PubMed")</x:f>
        <x:v>HYPERLINK is not implemented. linkLocation=https://pubmed.ncbi.nlm.nih.gov/41587031/, friendlyName=Open PubMed</x:v>
      </x:c>
    </x:row>
    <x:row r="2304">
      <x:c r="A2304" s="26" t="str">
        <x:v>PUBMED-41579913</x:v>
      </x:c>
      <x:c r="B2304" s="26" t="n">
        <x:v>2026</x:v>
      </x:c>
      <x:c r="C2304" s="26" t="str">
        <x:v>41579913</x:v>
      </x:c>
      <x:c r="D2304" s="28" t="str">
        <x:v>A systematic review on the association between executive function and emotional regulation in autism, ADHD, and autism/ADHD.</x:v>
      </x:c>
      <x:c r="E2304" s="28" t="str">
        <x:v>Evidence synthesis - systematic review</x:v>
      </x:c>
      <x:c r="F2304" s="28" t="str">
        <x:v>Development &amp; presentation; Recognition &amp; diagnosis; Social &amp; structural; Life outcomes &amp; lived experience</x:v>
      </x:c>
      <x:c r="G2304" s="28" t="str">
        <x:v>Childhood; Adulthood</x:v>
      </x:c>
      <x:c r="H2304" s="28" t="str">
        <x:v>Batch 1 core</x:v>
      </x:c>
      <x:c r="I2304" s="28" t="str">
        <x:v>Direct ADHD evidence synthesis/guideline with broad multi-topic relevance.</x:v>
      </x:c>
      <x:c r="J2304" s="38" t="e">
        <x:f>HYPERLINK("https://pubmed.ncbi.nlm.nih.gov/"&amp;C2304&amp;"/","Open PubMed")</x:f>
        <x:v>HYPERLINK is not implemented. linkLocation=https://pubmed.ncbi.nlm.nih.gov/41579913/, friendlyName=Open PubMed</x:v>
      </x:c>
    </x:row>
    <x:row r="2305">
      <x:c r="A2305" s="26" t="str">
        <x:v>PUBMED-41570264</x:v>
      </x:c>
      <x:c r="B2305" s="26" t="n">
        <x:v>2026</x:v>
      </x:c>
      <x:c r="C2305" s="26" t="str">
        <x:v>41570264</x:v>
      </x:c>
      <x:c r="D2305" s="28" t="str">
        <x:v>Musical Hallucinations in a Preadolescent With ADHD: A Case Report.</x:v>
      </x:c>
      <x:c r="E2305" s="28" t="str">
        <x:v>Primary/contextual journal article</x:v>
      </x:c>
      <x:c r="F2305" s="28" t="str">
        <x:v>Development &amp; presentation; Recognition &amp; diagnosis; Family &amp; education; Social &amp; structural; Environmental &amp; lifestyle; Treatment &amp; support; Historical &amp; contemporary context</x:v>
      </x:c>
      <x:c r="G2305" s="28" t="str">
        <x:v>Childhood</x:v>
      </x:c>
      <x:c r="H2305" s="28" t="str">
        <x:v>Later specialized</x:v>
      </x:c>
      <x:c r="I2305" s="28" t="str">
        <x:v>Direct or strongly ADHD-related record retained for later screening; typically narrower treatment, biomarker, mechanistic, or single-comorbidity focus.</x:v>
      </x:c>
      <x:c r="J2305" s="38" t="e">
        <x:f>HYPERLINK("https://pubmed.ncbi.nlm.nih.gov/"&amp;C2305&amp;"/","Open PubMed")</x:f>
        <x:v>HYPERLINK is not implemented. linkLocation=https://pubmed.ncbi.nlm.nih.gov/41570264/, friendlyName=Open PubMed</x:v>
      </x:c>
    </x:row>
    <x:row r="2306">
      <x:c r="A2306" s="26" t="str">
        <x:v>PUBMED-41566258</x:v>
      </x:c>
      <x:c r="B2306" s="26" t="n">
        <x:v>2026</x:v>
      </x:c>
      <x:c r="C2306" s="26" t="str">
        <x:v>41566258</x:v>
      </x:c>
      <x:c r="D2306" s="28" t="str">
        <x:v>Prevalence of ASD, ADHD and co-occurring conditions among children and adolescents in the Faroe Islands, 2004-2022: a nationwide register-based study.</x:v>
      </x:c>
      <x:c r="E2306" s="28" t="str">
        <x:v>Primary/contextual journal article</x:v>
      </x:c>
      <x:c r="F2306" s="28" t="str">
        <x:v>Development &amp; presentation; Recognition &amp; diagnosis; Family &amp; education; Social &amp; structural; Environmental &amp; lifestyle</x:v>
      </x:c>
      <x:c r="G2306" s="28" t="str">
        <x:v>Childhood; Adolescence</x:v>
      </x:c>
      <x:c r="H2306" s="28" t="str">
        <x:v>Later specialized</x:v>
      </x:c>
      <x:c r="I2306" s="28" t="str">
        <x:v>Direct or strongly ADHD-related record retained for later screening; typically narrower treatment, biomarker, mechanistic, or single-comorbidity focus.</x:v>
      </x:c>
      <x:c r="J2306" s="38" t="e">
        <x:f>HYPERLINK("https://pubmed.ncbi.nlm.nih.gov/"&amp;C2306&amp;"/","Open PubMed")</x:f>
        <x:v>HYPERLINK is not implemented. linkLocation=https://pubmed.ncbi.nlm.nih.gov/41566258/, friendlyName=Open PubMed</x:v>
      </x:c>
    </x:row>
    <x:row r="2307">
      <x:c r="A2307" s="26" t="str">
        <x:v>PUBMED-41549051</x:v>
      </x:c>
      <x:c r="B2307" s="26" t="n">
        <x:v>2026</x:v>
      </x:c>
      <x:c r="C2307" s="26" t="str">
        <x:v>41549051</x:v>
      </x:c>
      <x:c r="D2307" s="28" t="str">
        <x:v>What Are You Waiting For?! Roles of Motivation, Goal Orientation, and Emotion Regulation in Explaining the Link Between ADHD and Procrastination.</x:v>
      </x:c>
      <x:c r="E2307" s="28" t="str">
        <x:v>Primary/contextual journal article</x:v>
      </x:c>
      <x:c r="F2307" s="28" t="str">
        <x:v>Development &amp; presentation; Social &amp; structural; Environmental &amp; lifestyle; Life outcomes &amp; lived experience; Historical &amp; contemporary context</x:v>
      </x:c>
      <x:c r="G2307" s="28" t="str">
        <x:v>Adulthood</x:v>
      </x:c>
      <x:c r="H2307" s="28" t="str">
        <x:v>Later specialized</x:v>
      </x:c>
      <x:c r="I2307" s="28" t="str">
        <x:v>Direct or strongly ADHD-related record retained for later screening; typically narrower treatment, biomarker, mechanistic, or single-comorbidity focus.</x:v>
      </x:c>
      <x:c r="J2307" s="38" t="e">
        <x:f>HYPERLINK("https://pubmed.ncbi.nlm.nih.gov/"&amp;C2307&amp;"/","Open PubMed")</x:f>
        <x:v>HYPERLINK is not implemented. linkLocation=https://pubmed.ncbi.nlm.nih.gov/41549051/, friendlyName=Open PubMed</x:v>
      </x:c>
    </x:row>
    <x:row r="2308">
      <x:c r="A2308" s="26" t="str">
        <x:v>PUBMED-41547081</x:v>
      </x:c>
      <x:c r="B2308" s="26" t="n">
        <x:v>2026</x:v>
      </x:c>
      <x:c r="C2308" s="26" t="str">
        <x:v>41547081</x:v>
      </x:c>
      <x:c r="D2308" s="28" t="str">
        <x:v>The intake of monosodium aspartate attenuates aggression induced by post-weaning social isolation in an ADHD rat model.</x:v>
      </x:c>
      <x:c r="E2308" s="28" t="str">
        <x:v>Primary/contextual journal article</x:v>
      </x:c>
      <x:c r="F2308" s="28" t="str">
        <x:v>Development &amp; presentation; Social &amp; structural; Treatment &amp; support</x:v>
      </x:c>
      <x:c r="G2308" s="28" t="str">
        <x:v>Not specified</x:v>
      </x:c>
      <x:c r="H2308" s="28" t="str">
        <x:v>Exclude/incidental</x:v>
      </x:c>
      <x:c r="I2308" s="28" t="str">
        <x:v>Animal-only record; retained outside the human-focused core corpus.</x:v>
      </x:c>
      <x:c r="J2308" s="38" t="e">
        <x:f>HYPERLINK("https://pubmed.ncbi.nlm.nih.gov/"&amp;C2308&amp;"/","Open PubMed")</x:f>
        <x:v>HYPERLINK is not implemented. linkLocation=https://pubmed.ncbi.nlm.nih.gov/41547081/, friendlyName=Open PubMed</x:v>
      </x:c>
    </x:row>
    <x:row r="2309">
      <x:c r="A2309" s="26" t="str">
        <x:v>PUBMED-41531996</x:v>
      </x:c>
      <x:c r="B2309" s="26" t="n">
        <x:v>2026</x:v>
      </x:c>
      <x:c r="C2309" s="26" t="str">
        <x:v>41531996</x:v>
      </x:c>
      <x:c r="D2309" s="28" t="str">
        <x:v>The Intersections of Fetal Alcohol Syndrome with Autism Spectrum Disorder and Mood Dysregulation: A Rare Case of Behavioral Complexity.</x:v>
      </x:c>
      <x:c r="E2309" s="28" t="str">
        <x:v>Evidence synthesis - review</x:v>
      </x:c>
      <x:c r="F2309" s="28" t="str">
        <x:v>Development &amp; presentation; Recognition &amp; diagnosis; Social &amp; structural; Environmental &amp; lifestyle; Treatment &amp; support; Life outcomes &amp; lived experience; Historical &amp; contemporary context</x:v>
      </x:c>
      <x:c r="G2309" s="28" t="str">
        <x:v>Adulthood</x:v>
      </x:c>
      <x:c r="H2309" s="28" t="str">
        <x:v>Later specialized</x:v>
      </x:c>
      <x:c r="I2309" s="28" t="str">
        <x:v>Direct or strongly ADHD-related record retained for later screening; typically narrower treatment, biomarker, mechanistic, or single-comorbidity focus.</x:v>
      </x:c>
      <x:c r="J2309" s="38" t="e">
        <x:f>HYPERLINK("https://pubmed.ncbi.nlm.nih.gov/"&amp;C2309&amp;"/","Open PubMed")</x:f>
        <x:v>HYPERLINK is not implemented. linkLocation=https://pubmed.ncbi.nlm.nih.gov/41531996/, friendlyName=Open PubMed</x:v>
      </x:c>
    </x:row>
    <x:row r="2310">
      <x:c r="A2310" s="26" t="str">
        <x:v>PUBMED-41529545</x:v>
      </x:c>
      <x:c r="B2310" s="26" t="n">
        <x:v>2026</x:v>
      </x:c>
      <x:c r="C2310" s="26" t="str">
        <x:v>41529545</x:v>
      </x:c>
      <x:c r="D2310" s="28" t="str">
        <x:v>Animal models of attention-deficit/hyperactivity disorder: Diversity and validity.</x:v>
      </x:c>
      <x:c r="E2310" s="28" t="str">
        <x:v>Evidence synthesis - review</x:v>
      </x:c>
      <x:c r="F2310" s="28" t="str">
        <x:v>Development &amp; presentation; Social &amp; structural; Treatment &amp; support</x:v>
      </x:c>
      <x:c r="G2310" s="28" t="str">
        <x:v>Not specified</x:v>
      </x:c>
      <x:c r="H2310" s="28" t="str">
        <x:v>Later specialized</x:v>
      </x:c>
      <x:c r="I2310" s="28" t="str">
        <x:v>Direct or strongly ADHD-related record retained for later screening; typically narrower treatment, biomarker, mechanistic, or single-comorbidity focus.</x:v>
      </x:c>
      <x:c r="J2310" s="38" t="e">
        <x:f>HYPERLINK("https://pubmed.ncbi.nlm.nih.gov/"&amp;C2310&amp;"/","Open PubMed")</x:f>
        <x:v>HYPERLINK is not implemented. linkLocation=https://pubmed.ncbi.nlm.nih.gov/41529545/, friendlyName=Open PubMed</x:v>
      </x:c>
    </x:row>
    <x:row r="2311">
      <x:c r="A2311" s="26" t="str">
        <x:v>PUBMED-41520568</x:v>
      </x:c>
      <x:c r="B2311" s="26" t="n">
        <x:v>2026</x:v>
      </x:c>
      <x:c r="C2311" s="26" t="str">
        <x:v>41520568</x:v>
      </x:c>
      <x:c r="D2311" s="28" t="str">
        <x:v>STAM1-deficient mice exhibit an attention-deficit/hyperactivity disorder-like phenotype.</x:v>
      </x:c>
      <x:c r="E2311" s="28" t="str">
        <x:v>Primary/contextual journal article</x:v>
      </x:c>
      <x:c r="F2311" s="28" t="str">
        <x:v>Development &amp; presentation; Social &amp; structural; Treatment &amp; support</x:v>
      </x:c>
      <x:c r="G2311" s="28" t="str">
        <x:v>Not specified</x:v>
      </x:c>
      <x:c r="H2311" s="28" t="str">
        <x:v>Exclude/incidental</x:v>
      </x:c>
      <x:c r="I2311" s="28" t="str">
        <x:v>Animal-only record; retained outside the human-focused core corpus.</x:v>
      </x:c>
      <x:c r="J2311" s="38" t="e">
        <x:f>HYPERLINK("https://pubmed.ncbi.nlm.nih.gov/"&amp;C2311&amp;"/","Open PubMed")</x:f>
        <x:v>HYPERLINK is not implemented. linkLocation=https://pubmed.ncbi.nlm.nih.gov/41520568/, friendlyName=Open PubMed</x:v>
      </x:c>
    </x:row>
    <x:row r="2312">
      <x:c r="A2312" s="26" t="str">
        <x:v>PUBMED-41520464</x:v>
      </x:c>
      <x:c r="B2312" s="26" t="n">
        <x:v>2026</x:v>
      </x:c>
      <x:c r="C2312" s="26" t="str">
        <x:v>41520464</x:v>
      </x:c>
      <x:c r="D2312" s="28" t="str">
        <x:v>Academic self-efficacy and study engagement in university students with and without attention deficit hyperactivity disorder.</x:v>
      </x:c>
      <x:c r="E2312" s="28" t="str">
        <x:v>Primary/contextual journal article</x:v>
      </x:c>
      <x:c r="F2312" s="28" t="str">
        <x:v>Development &amp; presentation; Family &amp; education; Social &amp; structural; Life outcomes &amp; lived experience</x:v>
      </x:c>
      <x:c r="G2312" s="28" t="str">
        <x:v>Adulthood</x:v>
      </x:c>
      <x:c r="H2312" s="28" t="str">
        <x:v>Later specialized</x:v>
      </x:c>
      <x:c r="I2312" s="28" t="str">
        <x:v>Direct or strongly ADHD-related record retained for later screening; typically narrower treatment, biomarker, mechanistic, or single-comorbidity focus.</x:v>
      </x:c>
      <x:c r="J2312" s="38" t="e">
        <x:f>HYPERLINK("https://pubmed.ncbi.nlm.nih.gov/"&amp;C2312&amp;"/","Open PubMed")</x:f>
        <x:v>HYPERLINK is not implemented. linkLocation=https://pubmed.ncbi.nlm.nih.gov/41520464/, friendlyName=Open PubMed</x:v>
      </x:c>
    </x:row>
    <x:row r="2313">
      <x:c r="A2313" s="26" t="str">
        <x:v>PUBMED-41518128</x:v>
      </x:c>
      <x:c r="B2313" s="26" t="n">
        <x:v>2026</x:v>
      </x:c>
      <x:c r="C2313" s="26" t="str">
        <x:v>41518128</x:v>
      </x:c>
      <x:c r="D2313" s="28" t="str">
        <x:v>Psychiatric Comorbidity, Tic Severity and Quality of Life in Adults with Tourette's Syndrome.</x:v>
      </x:c>
      <x:c r="E2313" s="28" t="str">
        <x:v>Primary/contextual journal article</x:v>
      </x:c>
      <x:c r="F2313" s="28" t="str">
        <x:v>Development &amp; presentation; Recognition &amp; diagnosis; Social &amp; structural; Life outcomes &amp; lived experience</x:v>
      </x:c>
      <x:c r="G2313" s="28" t="str">
        <x:v>Adolescence; Adulthood</x:v>
      </x:c>
      <x:c r="H2313" s="28" t="str">
        <x:v>Later specialized</x:v>
      </x:c>
      <x:c r="I2313" s="28" t="str">
        <x:v>Direct or strongly ADHD-related record retained for later screening; typically narrower treatment, biomarker, mechanistic, or single-comorbidity focus.</x:v>
      </x:c>
      <x:c r="J2313" s="38" t="e">
        <x:f>HYPERLINK("https://pubmed.ncbi.nlm.nih.gov/"&amp;C2313&amp;"/","Open PubMed")</x:f>
        <x:v>HYPERLINK is not implemented. linkLocation=https://pubmed.ncbi.nlm.nih.gov/41518128/, friendlyName=Open PubMed</x:v>
      </x:c>
    </x:row>
    <x:row r="2314">
      <x:c r="A2314" s="26" t="str">
        <x:v>PUBMED-41502056</x:v>
      </x:c>
      <x:c r="B2314" s="26" t="n">
        <x:v>2026</x:v>
      </x:c>
      <x:c r="C2314" s="26" t="str">
        <x:v>41502056</x:v>
      </x:c>
      <x:c r="D2314" s="28" t="str">
        <x:v>Attention-Deficit/Hyperactivity Disorder and Disruptive Behavior in a Child With Eosinophilic Esophagitis and Failure to Thrive.</x:v>
      </x:c>
      <x:c r="E2314" s="28" t="str">
        <x:v>Primary/contextual journal article</x:v>
      </x:c>
      <x:c r="F2314" s="28" t="str">
        <x:v>Development &amp; presentation; Recognition &amp; diagnosis; Family &amp; education; Social &amp; structural; Environmental &amp; lifestyle; Treatment &amp; support; Historical &amp; contemporary context</x:v>
      </x:c>
      <x:c r="G2314" s="28" t="str">
        <x:v>Childhood</x:v>
      </x:c>
      <x:c r="H2314" s="28" t="str">
        <x:v>Later specialized</x:v>
      </x:c>
      <x:c r="I2314" s="28" t="str">
        <x:v>Direct or strongly ADHD-related record retained for later screening; typically narrower treatment, biomarker, mechanistic, or single-comorbidity focus.</x:v>
      </x:c>
      <x:c r="J2314" s="38" t="e">
        <x:f>HYPERLINK("https://pubmed.ncbi.nlm.nih.gov/"&amp;C2314&amp;"/","Open PubMed")</x:f>
        <x:v>HYPERLINK is not implemented. linkLocation=https://pubmed.ncbi.nlm.nih.gov/41502056/, friendlyName=Open PubMed</x:v>
      </x:c>
    </x:row>
    <x:row r="2315">
      <x:c r="A2315" s="26" t="str">
        <x:v>PUBMED-41501991</x:v>
      </x:c>
      <x:c r="B2315" s="26" t="n">
        <x:v>2026</x:v>
      </x:c>
      <x:c r="C2315" s="26" t="str">
        <x:v>41501991</x:v>
      </x:c>
      <x:c r="D2315" s="28" t="str">
        <x:v>Elemental Exposure and Attention-Deficit Hyperactivity Disorder Risk in Population Aged 6-16 Years: Associations and Potential Mediation by Oxylipins.</x:v>
      </x:c>
      <x:c r="E2315" s="28" t="str">
        <x:v>Primary study - cohort</x:v>
      </x:c>
      <x:c r="F2315" s="28" t="str">
        <x:v>Development &amp; presentation; Social &amp; structural; Environmental &amp; lifestyle; Life outcomes &amp; lived experience</x:v>
      </x:c>
      <x:c r="G2315" s="28" t="str">
        <x:v>Childhood; Adolescence</x:v>
      </x:c>
      <x:c r="H2315" s="28" t="str">
        <x:v>Later specialized</x:v>
      </x:c>
      <x:c r="I2315" s="28" t="str">
        <x:v>Direct or strongly ADHD-related record retained for later screening; typically narrower treatment, biomarker, mechanistic, or single-comorbidity focus.</x:v>
      </x:c>
      <x:c r="J2315" s="38" t="e">
        <x:f>HYPERLINK("https://pubmed.ncbi.nlm.nih.gov/"&amp;C2315&amp;"/","Open PubMed")</x:f>
        <x:v>HYPERLINK is not implemented. linkLocation=https://pubmed.ncbi.nlm.nih.gov/41501991/, friendlyName=Open PubMed</x:v>
      </x:c>
    </x:row>
    <x:row r="2316">
      <x:c r="A2316" s="26" t="str">
        <x:v>PUBMED-41499135</x:v>
      </x:c>
      <x:c r="B2316" s="26" t="n">
        <x:v>2026</x:v>
      </x:c>
      <x:c r="C2316" s="26" t="str">
        <x:v>41499135</x:v>
      </x:c>
      <x:c r="D2316" s="28" t="str">
        <x:v>Prenatal Exposure to Acid-Suppressive Medications and Risk of Neuropsychiatric Disorders in Children.</x:v>
      </x:c>
      <x:c r="E2316" s="28" t="str">
        <x:v>Primary study - cohort</x:v>
      </x:c>
      <x:c r="F2316" s="28" t="str">
        <x:v>Development &amp; presentation; Recognition &amp; diagnosis; Family &amp; education; Social &amp; structural; Environmental &amp; lifestyle; Treatment &amp; support; Life outcomes &amp; lived experience</x:v>
      </x:c>
      <x:c r="G2316" s="28" t="str">
        <x:v>Childhood; Adulthood</x:v>
      </x:c>
      <x:c r="H2316" s="28" t="str">
        <x:v>Later specialized</x:v>
      </x:c>
      <x:c r="I2316" s="28" t="str">
        <x:v>Direct or strongly ADHD-related record retained for later screening; typically narrower treatment, biomarker, mechanistic, or single-comorbidity focus.</x:v>
      </x:c>
      <x:c r="J2316" s="38" t="e">
        <x:f>HYPERLINK("https://pubmed.ncbi.nlm.nih.gov/"&amp;C2316&amp;"/","Open PubMed")</x:f>
        <x:v>HYPERLINK is not implemented. linkLocation=https://pubmed.ncbi.nlm.nih.gov/41499135/, friendlyName=Open PubMed</x:v>
      </x:c>
    </x:row>
    <x:row r="2317">
      <x:c r="A2317" s="26" t="str">
        <x:v>PUBMED-41496432</x:v>
      </x:c>
      <x:c r="B2317" s="26" t="n">
        <x:v>2026</x:v>
      </x:c>
      <x:c r="C2317" s="26" t="str">
        <x:v>41496432</x:v>
      </x:c>
      <x:c r="D2317" s="28" t="str">
        <x:v>Neurodevelopmental, Pharmacological and Substance Use Factors in the Association Between ADHD and First-Episode Non-Affective Psychosis: A Systematic Review.</x:v>
      </x:c>
      <x:c r="E2317" s="28" t="str">
        <x:v>Evidence synthesis - systematic review</x:v>
      </x:c>
      <x:c r="F2317" s="28" t="str">
        <x:v>Development &amp; presentation; Recognition &amp; diagnosis; Social &amp; structural; Treatment &amp; support; Life outcomes &amp; lived experience</x:v>
      </x:c>
      <x:c r="G2317" s="28" t="str">
        <x:v>Childhood</x:v>
      </x:c>
      <x:c r="H2317" s="28" t="str">
        <x:v>Batch 1 core</x:v>
      </x:c>
      <x:c r="I2317" s="28" t="str">
        <x:v>Direct ADHD evidence synthesis/guideline with broad multi-topic relevance.</x:v>
      </x:c>
      <x:c r="J2317" s="38" t="e">
        <x:f>HYPERLINK("https://pubmed.ncbi.nlm.nih.gov/"&amp;C2317&amp;"/","Open PubMed")</x:f>
        <x:v>HYPERLINK is not implemented. linkLocation=https://pubmed.ncbi.nlm.nih.gov/41496432/, friendlyName=Open PubMed</x:v>
      </x:c>
    </x:row>
    <x:row r="2318">
      <x:c r="A2318" s="26" t="str">
        <x:v>PUBMED-41496070</x:v>
      </x:c>
      <x:c r="B2318" s="26" t="n">
        <x:v>2026</x:v>
      </x:c>
      <x:c r="C2318" s="26" t="str">
        <x:v>41496070</x:v>
      </x:c>
      <x:c r="D2318" s="28" t="str">
        <x:v>The causal relationships between limb fat distribution and mental disorders: A Mendelian randomization study.</x:v>
      </x:c>
      <x:c r="E2318" s="28" t="str">
        <x:v>Primary/contextual journal article</x:v>
      </x:c>
      <x:c r="F2318" s="28" t="str">
        <x:v>Development &amp; presentation; Social &amp; structural; Life outcomes &amp; lived experience</x:v>
      </x:c>
      <x:c r="G2318" s="28" t="str">
        <x:v>Not specified</x:v>
      </x:c>
      <x:c r="H2318" s="28" t="str">
        <x:v>Later specialized</x:v>
      </x:c>
      <x:c r="I2318" s="28" t="str">
        <x:v>Direct or strongly ADHD-related record retained for later screening; typically narrower treatment, biomarker, mechanistic, or single-comorbidity focus.</x:v>
      </x:c>
      <x:c r="J2318" s="38" t="e">
        <x:f>HYPERLINK("https://pubmed.ncbi.nlm.nih.gov/"&amp;C2318&amp;"/","Open PubMed")</x:f>
        <x:v>HYPERLINK is not implemented. linkLocation=https://pubmed.ncbi.nlm.nih.gov/41496070/, friendlyName=Open PubMed</x:v>
      </x:c>
    </x:row>
    <x:row r="2319">
      <x:c r="A2319" s="26" t="str">
        <x:v>PUBMED-41490180</x:v>
      </x:c>
      <x:c r="B2319" s="26" t="n">
        <x:v>2026</x:v>
      </x:c>
      <x:c r="C2319" s="26" t="str">
        <x:v>41490180</x:v>
      </x:c>
      <x:c r="D2319" s="28" t="str">
        <x:v>Concurrent measurement of working memory and inhibitory control and their correlations with autistic and ADHD traits in the general population.</x:v>
      </x:c>
      <x:c r="E2319" s="28" t="str">
        <x:v>Primary/contextual journal article</x:v>
      </x:c>
      <x:c r="F2319" s="28" t="str">
        <x:v>Development &amp; presentation; Social &amp; structural</x:v>
      </x:c>
      <x:c r="G2319" s="28" t="str">
        <x:v>Adolescence; Adulthood</x:v>
      </x:c>
      <x:c r="H2319" s="28" t="str">
        <x:v>Later specialized</x:v>
      </x:c>
      <x:c r="I2319" s="28" t="str">
        <x:v>Direct or strongly ADHD-related record retained for later screening; typically narrower treatment, biomarker, mechanistic, or single-comorbidity focus.</x:v>
      </x:c>
      <x:c r="J2319" s="38" t="e">
        <x:f>HYPERLINK("https://pubmed.ncbi.nlm.nih.gov/"&amp;C2319&amp;"/","Open PubMed")</x:f>
        <x:v>HYPERLINK is not implemented. linkLocation=https://pubmed.ncbi.nlm.nih.gov/41490180/, friendlyName=Open PubMed</x:v>
      </x:c>
    </x:row>
    <x:row r="2320">
      <x:c r="A2320" s="26" t="str">
        <x:v>PUBMED-41489639</x:v>
      </x:c>
      <x:c r="B2320" s="26" t="n">
        <x:v>2026</x:v>
      </x:c>
      <x:c r="C2320" s="26" t="str">
        <x:v>41489639</x:v>
      </x:c>
      <x:c r="D2320" s="28" t="str">
        <x:v>Association between neuronal pentraxin 2, ADHD symptoms, and executive functioning in adults with ADHD: a case-control study.</x:v>
      </x:c>
      <x:c r="E2320" s="28" t="str">
        <x:v>Primary study - case-control</x:v>
      </x:c>
      <x:c r="F2320" s="28" t="str">
        <x:v>Development &amp; presentation; Family &amp; education; Social &amp; structural; Treatment &amp; support; Life outcomes &amp; lived experience</x:v>
      </x:c>
      <x:c r="G2320" s="28" t="str">
        <x:v>Adulthood</x:v>
      </x:c>
      <x:c r="H2320" s="28" t="str">
        <x:v>Later specialized</x:v>
      </x:c>
      <x:c r="I2320" s="28" t="str">
        <x:v>Direct or strongly ADHD-related record retained for later screening; typically narrower treatment, biomarker, mechanistic, or single-comorbidity focus.</x:v>
      </x:c>
      <x:c r="J2320" s="38" t="e">
        <x:f>HYPERLINK("https://pubmed.ncbi.nlm.nih.gov/"&amp;C2320&amp;"/","Open PubMed")</x:f>
        <x:v>HYPERLINK is not implemented. linkLocation=https://pubmed.ncbi.nlm.nih.gov/41489639/, friendlyName=Open PubMed</x:v>
      </x:c>
    </x:row>
    <x:row r="2321">
      <x:c r="A2321" s="26" t="str">
        <x:v>PUBMED-41482857</x:v>
      </x:c>
      <x:c r="B2321" s="26" t="n">
        <x:v>2026</x:v>
      </x:c>
      <x:c r="C2321" s="26" t="str">
        <x:v>41482857</x:v>
      </x:c>
      <x:c r="D2321" s="28" t="str">
        <x:v>Profiles and Predictors of Neurodevelopmental Outcome at 5-6 Years in Children With a History of Acute Provoked Neonatal Seizures.</x:v>
      </x:c>
      <x:c r="E2321" s="28" t="str">
        <x:v>Primary/contextual journal article</x:v>
      </x:c>
      <x:c r="F2321" s="28" t="str">
        <x:v>Development &amp; presentation; Recognition &amp; diagnosis; Family &amp; education; Social &amp; structural; Treatment &amp; support; Life outcomes &amp; lived experience; Historical &amp; contemporary context</x:v>
      </x:c>
      <x:c r="G2321" s="28" t="str">
        <x:v>Childhood</x:v>
      </x:c>
      <x:c r="H2321" s="28" t="str">
        <x:v>Exclude/incidental</x:v>
      </x:c>
      <x:c r="I2321" s="28" t="str">
        <x:v>ADHD appears peripheral or insufficiently aligned with the requested corpus scope based on accessible metadata/abstract.</x:v>
      </x:c>
      <x:c r="J2321" s="38" t="e">
        <x:f>HYPERLINK("https://pubmed.ncbi.nlm.nih.gov/"&amp;C2321&amp;"/","Open PubMed")</x:f>
        <x:v>HYPERLINK is not implemented. linkLocation=https://pubmed.ncbi.nlm.nih.gov/41482857/, friendlyName=Open PubMed</x:v>
      </x:c>
    </x:row>
    <x:row r="2322">
      <x:c r="A2322" s="26" t="str">
        <x:v>PUBMED-41476331</x:v>
      </x:c>
      <x:c r="B2322" s="26" t="n">
        <x:v>2026</x:v>
      </x:c>
      <x:c r="C2322" s="26" t="str">
        <x:v>41476331</x:v>
      </x:c>
      <x:c r="D2322" s="28" t="str">
        <x:v>The Evolving ADHD Phenotype in the Externalizing Context.</x:v>
      </x:c>
      <x:c r="E2322" s="28" t="str">
        <x:v>Evidence synthesis - review</x:v>
      </x:c>
      <x:c r="F2322" s="28" t="str">
        <x:v>Development &amp; presentation; Recognition &amp; diagnosis; Social &amp; structural; Environmental &amp; lifestyle; Treatment &amp; support</x:v>
      </x:c>
      <x:c r="G2322" s="28" t="str">
        <x:v>Childhood</x:v>
      </x:c>
      <x:c r="H2322" s="28" t="str">
        <x:v>Later specialized</x:v>
      </x:c>
      <x:c r="I2322" s="28" t="str">
        <x:v>Direct or strongly ADHD-related record retained for later screening; typically narrower treatment, biomarker, mechanistic, or single-comorbidity focus.</x:v>
      </x:c>
      <x:c r="J2322" s="38" t="e">
        <x:f>HYPERLINK("https://pubmed.ncbi.nlm.nih.gov/"&amp;C2322&amp;"/","Open PubMed")</x:f>
        <x:v>HYPERLINK is not implemented. linkLocation=https://pubmed.ncbi.nlm.nih.gov/41476331/, friendlyName=Open PubMed</x:v>
      </x:c>
    </x:row>
    <x:row r="2323">
      <x:c r="A2323" s="26" t="str">
        <x:v>PUBMED-41475316</x:v>
      </x:c>
      <x:c r="B2323" s="26" t="n">
        <x:v>2026</x:v>
      </x:c>
      <x:c r="C2323" s="26" t="str">
        <x:v>41475316</x:v>
      </x:c>
      <x:c r="D2323" s="28" t="str">
        <x:v>Unlocking exercise compliance in children with ADHD: A comprehensive analysis of influencing factors.</x:v>
      </x:c>
      <x:c r="E2323" s="28" t="str">
        <x:v>Primary study - qualitative</x:v>
      </x:c>
      <x:c r="F2323" s="28" t="str">
        <x:v>Development &amp; presentation; Recognition &amp; diagnosis; Family &amp; education; Social &amp; structural; Environmental &amp; lifestyle; Treatment &amp; support; Life outcomes &amp; lived experience</x:v>
      </x:c>
      <x:c r="G2323" s="28" t="str">
        <x:v>Childhood; Adulthood</x:v>
      </x:c>
      <x:c r="H2323" s="28" t="str">
        <x:v>Later specialized</x:v>
      </x:c>
      <x:c r="I2323" s="28" t="str">
        <x:v>Direct or strongly ADHD-related record retained for later screening; typically narrower treatment, biomarker, mechanistic, or single-comorbidity focus.</x:v>
      </x:c>
      <x:c r="J2323" s="38" t="e">
        <x:f>HYPERLINK("https://pubmed.ncbi.nlm.nih.gov/"&amp;C2323&amp;"/","Open PubMed")</x:f>
        <x:v>HYPERLINK is not implemented. linkLocation=https://pubmed.ncbi.nlm.nih.gov/41475316/, friendlyName=Open PubMed</x:v>
      </x:c>
    </x:row>
    <x:row r="2324">
      <x:c r="A2324" s="26" t="str">
        <x:v>PUBMED-41435782</x:v>
      </x:c>
      <x:c r="B2324" s="26" t="n">
        <x:v>2026</x:v>
      </x:c>
      <x:c r="C2324" s="26" t="str">
        <x:v>41435782</x:v>
      </x:c>
      <x:c r="D2324" s="28" t="str">
        <x:v>Sleep problems in relation to emotion dysregulation in children with ADHD.</x:v>
      </x:c>
      <x:c r="E2324" s="28" t="str">
        <x:v>Primary/contextual journal article</x:v>
      </x:c>
      <x:c r="F2324" s="28" t="str">
        <x:v>Development &amp; presentation; Family &amp; education; Social &amp; structural; Environmental &amp; lifestyle; Life outcomes &amp; lived experience</x:v>
      </x:c>
      <x:c r="G2324" s="28" t="str">
        <x:v>Childhood</x:v>
      </x:c>
      <x:c r="H2324" s="28" t="str">
        <x:v>Later specialized</x:v>
      </x:c>
      <x:c r="I2324" s="28" t="str">
        <x:v>Direct or strongly ADHD-related record retained for later screening; typically narrower treatment, biomarker, mechanistic, or single-comorbidity focus.</x:v>
      </x:c>
      <x:c r="J2324" s="38" t="e">
        <x:f>HYPERLINK("https://pubmed.ncbi.nlm.nih.gov/"&amp;C2324&amp;"/","Open PubMed")</x:f>
        <x:v>HYPERLINK is not implemented. linkLocation=https://pubmed.ncbi.nlm.nih.gov/41435782/, friendlyName=Open PubMed</x:v>
      </x:c>
    </x:row>
    <x:row r="2325">
      <x:c r="A2325" s="26" t="str">
        <x:v>PUBMED-41431932</x:v>
      </x:c>
      <x:c r="B2325" s="26" t="n">
        <x:v>2026</x:v>
      </x:c>
      <x:c r="C2325" s="26" t="str">
        <x:v>41431932</x:v>
      </x:c>
      <x:c r="D2325" s="28" t="str">
        <x:v>Assessing Executive Functions in Children With Developmental Dyslexia: A Comprehensive Approach.</x:v>
      </x:c>
      <x:c r="E2325" s="28" t="str">
        <x:v>Primary/contextual journal article</x:v>
      </x:c>
      <x:c r="F2325" s="28" t="str">
        <x:v>Development &amp; presentation; Recognition &amp; diagnosis; Family &amp; education; Social &amp; structural</x:v>
      </x:c>
      <x:c r="G2325" s="28" t="str">
        <x:v>Childhood; Adolescence</x:v>
      </x:c>
      <x:c r="H2325" s="28" t="str">
        <x:v>Later specialized</x:v>
      </x:c>
      <x:c r="I2325" s="28" t="str">
        <x:v>Direct or strongly ADHD-related record retained for later screening; typically narrower treatment, biomarker, mechanistic, or single-comorbidity focus.</x:v>
      </x:c>
      <x:c r="J2325" s="38" t="e">
        <x:f>HYPERLINK("https://pubmed.ncbi.nlm.nih.gov/"&amp;C2325&amp;"/","Open PubMed")</x:f>
        <x:v>HYPERLINK is not implemented. linkLocation=https://pubmed.ncbi.nlm.nih.gov/41431932/, friendlyName=Open PubMed</x:v>
      </x:c>
    </x:row>
    <x:row r="2326">
      <x:c r="A2326" s="26" t="str">
        <x:v>PUBMED-41429081</x:v>
      </x:c>
      <x:c r="B2326" s="26" t="n">
        <x:v>2026</x:v>
      </x:c>
      <x:c r="C2326" s="26" t="str">
        <x:v>41429081</x:v>
      </x:c>
      <x:c r="D2326" s="28" t="str">
        <x:v>Complex wavelet-based Transformer for neurodevelopmental disorder diagnosis via direct modeling of real and imaginary components.</x:v>
      </x:c>
      <x:c r="E2326" s="28" t="str">
        <x:v>Primary/contextual journal article</x:v>
      </x:c>
      <x:c r="F2326" s="28" t="str">
        <x:v>Development &amp; presentation; Recognition &amp; diagnosis; Social &amp; structural; Life outcomes &amp; lived experience</x:v>
      </x:c>
      <x:c r="G2326" s="28" t="str">
        <x:v>Not specified</x:v>
      </x:c>
      <x:c r="H2326" s="28" t="str">
        <x:v>Later specialized</x:v>
      </x:c>
      <x:c r="I2326" s="28" t="str">
        <x:v>Direct or strongly ADHD-related record retained for later screening; typically narrower treatment, biomarker, mechanistic, or single-comorbidity focus.</x:v>
      </x:c>
      <x:c r="J2326" s="38" t="e">
        <x:f>HYPERLINK("https://pubmed.ncbi.nlm.nih.gov/"&amp;C2326&amp;"/","Open PubMed")</x:f>
        <x:v>HYPERLINK is not implemented. linkLocation=https://pubmed.ncbi.nlm.nih.gov/41429081/, friendlyName=Open PubMed</x:v>
      </x:c>
    </x:row>
    <x:row r="2327">
      <x:c r="A2327" s="26" t="str">
        <x:v>PUBMED-41421091</x:v>
      </x:c>
      <x:c r="B2327" s="26" t="n">
        <x:v>2026</x:v>
      </x:c>
      <x:c r="C2327" s="26" t="str">
        <x:v>41421091</x:v>
      </x:c>
      <x:c r="D2327" s="28" t="str">
        <x:v>Drug grouping learning for improving evidence-based treatment recommendations.</x:v>
      </x:c>
      <x:c r="E2327" s="28" t="str">
        <x:v>Primary/contextual journal article</x:v>
      </x:c>
      <x:c r="F2327" s="28" t="str">
        <x:v>Development &amp; presentation; Social &amp; structural; Treatment &amp; support; Life outcomes &amp; lived experience</x:v>
      </x:c>
      <x:c r="G2327" s="28" t="str">
        <x:v>Not specified</x:v>
      </x:c>
      <x:c r="H2327" s="28" t="str">
        <x:v>Later specialized</x:v>
      </x:c>
      <x:c r="I2327" s="28" t="str">
        <x:v>Direct or strongly ADHD-related record retained for later screening; typically narrower treatment, biomarker, mechanistic, or single-comorbidity focus.</x:v>
      </x:c>
      <x:c r="J2327" s="38" t="e">
        <x:f>HYPERLINK("https://pubmed.ncbi.nlm.nih.gov/"&amp;C2327&amp;"/","Open PubMed")</x:f>
        <x:v>HYPERLINK is not implemented. linkLocation=https://pubmed.ncbi.nlm.nih.gov/41421091/, friendlyName=Open PubMed</x:v>
      </x:c>
    </x:row>
    <x:row r="2328">
      <x:c r="A2328" s="26" t="str">
        <x:v>PUBMED-41411987</x:v>
      </x:c>
      <x:c r="B2328" s="26" t="n">
        <x:v>2026</x:v>
      </x:c>
      <x:c r="C2328" s="26" t="str">
        <x:v>41411987</x:v>
      </x:c>
      <x:c r="D2328" s="28" t="str">
        <x:v>Intellectual achievement and cognitive functioning in children and adolescents with ADHD-affected siblings: A systematic literature review and meta-analysis.</x:v>
      </x:c>
      <x:c r="E2328" s="28" t="str">
        <x:v>Evidence synthesis - meta-analysis</x:v>
      </x:c>
      <x:c r="F2328" s="28" t="str">
        <x:v>Development &amp; presentation; Recognition &amp; diagnosis; Family &amp; education; Social &amp; structural; Environmental &amp; lifestyle; Life outcomes &amp; lived experience</x:v>
      </x:c>
      <x:c r="G2328" s="28" t="str">
        <x:v>Childhood; Adolescence</x:v>
      </x:c>
      <x:c r="H2328" s="28" t="str">
        <x:v>Batch 1 core</x:v>
      </x:c>
      <x:c r="I2328" s="28" t="str">
        <x:v>Direct ADHD evidence synthesis/guideline with broad multi-topic relevance.</x:v>
      </x:c>
      <x:c r="J2328" s="38" t="e">
        <x:f>HYPERLINK("https://pubmed.ncbi.nlm.nih.gov/"&amp;C2328&amp;"/","Open PubMed")</x:f>
        <x:v>HYPERLINK is not implemented. linkLocation=https://pubmed.ncbi.nlm.nih.gov/41411987/, friendlyName=Open PubMed</x:v>
      </x:c>
    </x:row>
    <x:row r="2329">
      <x:c r="A2329" s="26" t="str">
        <x:v>PUBMED-41403099</x:v>
      </x:c>
      <x:c r="B2329" s="26" t="n">
        <x:v>2026</x:v>
      </x:c>
      <x:c r="C2329" s="26" t="str">
        <x:v>41403099</x:v>
      </x:c>
      <x:c r="D2329" s="28" t="str">
        <x:v>Effects of Exercise on Hyperactivity/Impulsivity and Inhibitory Control at Behavioral and Electrophysiological Levels in ADHD: A Systematic Review and Meta-Analysis.</x:v>
      </x:c>
      <x:c r="E2329" s="28" t="str">
        <x:v>Evidence synthesis - meta-analysis</x:v>
      </x:c>
      <x:c r="F2329" s="28" t="str">
        <x:v>Development &amp; presentation; Social &amp; structural; Environmental &amp; lifestyle; Treatment &amp; support</x:v>
      </x:c>
      <x:c r="G2329" s="28" t="str">
        <x:v>Childhood; Adolescence</x:v>
      </x:c>
      <x:c r="H2329" s="28" t="str">
        <x:v>Batch 1 core</x:v>
      </x:c>
      <x:c r="I2329" s="28" t="str">
        <x:v>Direct ADHD evidence synthesis/guideline with broad multi-topic relevance.</x:v>
      </x:c>
      <x:c r="J2329" s="38" t="e">
        <x:f>HYPERLINK("https://pubmed.ncbi.nlm.nih.gov/"&amp;C2329&amp;"/","Open PubMed")</x:f>
        <x:v>HYPERLINK is not implemented. linkLocation=https://pubmed.ncbi.nlm.nih.gov/41403099/, friendlyName=Open PubMed</x:v>
      </x:c>
    </x:row>
    <x:row r="2330">
      <x:c r="A2330" s="26" t="str">
        <x:v>PUBMED-41391262</x:v>
      </x:c>
      <x:c r="B2330" s="26" t="n">
        <x:v>2026</x:v>
      </x:c>
      <x:c r="C2330" s="26" t="str">
        <x:v>41391262</x:v>
      </x:c>
      <x:c r="D2330" s="28" t="str">
        <x:v>Ribosome occupancy and miRNA-mediated silencing of upregulated genes in attention deficit hyperactivity disorder.</x:v>
      </x:c>
      <x:c r="E2330" s="28" t="str">
        <x:v>Primary/contextual journal article</x:v>
      </x:c>
      <x:c r="F2330" s="28" t="str">
        <x:v>Development &amp; presentation; Social &amp; structural; Treatment &amp; support</x:v>
      </x:c>
      <x:c r="G2330" s="28" t="str">
        <x:v>Not specified</x:v>
      </x:c>
      <x:c r="H2330" s="28" t="str">
        <x:v>Later specialized</x:v>
      </x:c>
      <x:c r="I2330" s="28" t="str">
        <x:v>Direct or strongly ADHD-related record retained for later screening; typically narrower treatment, biomarker, mechanistic, or single-comorbidity focus.</x:v>
      </x:c>
      <x:c r="J2330" s="38" t="e">
        <x:f>HYPERLINK("https://pubmed.ncbi.nlm.nih.gov/"&amp;C2330&amp;"/","Open PubMed")</x:f>
        <x:v>HYPERLINK is not implemented. linkLocation=https://pubmed.ncbi.nlm.nih.gov/41391262/, friendlyName=Open PubMed</x:v>
      </x:c>
    </x:row>
    <x:row r="2331">
      <x:c r="A2331" s="26" t="str">
        <x:v>PUBMED-41386194</x:v>
      </x:c>
      <x:c r="B2331" s="26" t="n">
        <x:v>2026</x:v>
      </x:c>
      <x:c r="C2331" s="26" t="str">
        <x:v>41386194</x:v>
      </x:c>
      <x:c r="D2331" s="28" t="str">
        <x:v>Neurocognitive outcomes of ADHD as a comorbidity in pediatric epilepsy: a systematic review.</x:v>
      </x:c>
      <x:c r="E2331" s="28" t="str">
        <x:v>Evidence synthesis - systematic review</x:v>
      </x:c>
      <x:c r="F2331" s="28" t="str">
        <x:v>Development &amp; presentation; Recognition &amp; diagnosis; Social &amp; structural; Life outcomes &amp; lived experience</x:v>
      </x:c>
      <x:c r="G2331" s="28" t="str">
        <x:v>Childhood; Adolescence</x:v>
      </x:c>
      <x:c r="H2331" s="28" t="str">
        <x:v>Batch 1 core</x:v>
      </x:c>
      <x:c r="I2331" s="28" t="str">
        <x:v>Direct ADHD evidence synthesis/guideline with broad multi-topic relevance.</x:v>
      </x:c>
      <x:c r="J2331" s="38" t="e">
        <x:f>HYPERLINK("https://pubmed.ncbi.nlm.nih.gov/"&amp;C2331&amp;"/","Open PubMed")</x:f>
        <x:v>HYPERLINK is not implemented. linkLocation=https://pubmed.ncbi.nlm.nih.gov/41386194/, friendlyName=Open PubMed</x:v>
      </x:c>
    </x:row>
    <x:row r="2332">
      <x:c r="A2332" s="26" t="str">
        <x:v>PUBMED-41385457</x:v>
      </x:c>
      <x:c r="B2332" s="26" t="n">
        <x:v>2026</x:v>
      </x:c>
      <x:c r="C2332" s="26" t="str">
        <x:v>41385457</x:v>
      </x:c>
      <x:c r="D2332" s="28" t="str">
        <x:v>A Meta-Analysis of the Prevalence of ADHD in Youth Across Racial and Ethnic Groups.</x:v>
      </x:c>
      <x:c r="E2332" s="28" t="str">
        <x:v>Evidence synthesis - meta-analysis</x:v>
      </x:c>
      <x:c r="F2332" s="28" t="str">
        <x:v>Development &amp; presentation; Recognition &amp; diagnosis; Family &amp; education; Social &amp; structural; Life outcomes &amp; lived experience</x:v>
      </x:c>
      <x:c r="G2332" s="28" t="str">
        <x:v>Childhood; Adolescence</x:v>
      </x:c>
      <x:c r="H2332" s="28" t="str">
        <x:v>Batch 1 core</x:v>
      </x:c>
      <x:c r="I2332" s="28" t="str">
        <x:v>Direct ADHD evidence synthesis/guideline with broad multi-topic relevance.</x:v>
      </x:c>
      <x:c r="J2332" s="38" t="e">
        <x:f>HYPERLINK("https://pubmed.ncbi.nlm.nih.gov/"&amp;C2332&amp;"/","Open PubMed")</x:f>
        <x:v>HYPERLINK is not implemented. linkLocation=https://pubmed.ncbi.nlm.nih.gov/41385457/, friendlyName=Open PubMed</x:v>
      </x:c>
    </x:row>
    <x:row r="2333">
      <x:c r="A2333" s="26" t="str">
        <x:v>PUBMED-41363151</x:v>
      </x:c>
      <x:c r="B2333" s="26" t="n">
        <x:v>2026</x:v>
      </x:c>
      <x:c r="C2333" s="26" t="str">
        <x:v>41363151</x:v>
      </x:c>
      <x:c r="D2333" s="28" t="str">
        <x:v>Visual Function in Children with ADHD: Clinical Findings and the Mediating Role of Psychostimulant Medication.</x:v>
      </x:c>
      <x:c r="E2333" s="28" t="str">
        <x:v>Primary/contextual journal article</x:v>
      </x:c>
      <x:c r="F2333" s="28" t="str">
        <x:v>Development &amp; presentation; Social &amp; structural; Treatment &amp; support</x:v>
      </x:c>
      <x:c r="G2333" s="28" t="str">
        <x:v>Childhood; Adolescence</x:v>
      </x:c>
      <x:c r="H2333" s="28" t="str">
        <x:v>Later specialized</x:v>
      </x:c>
      <x:c r="I2333" s="28" t="str">
        <x:v>Direct or strongly ADHD-related record retained for later screening; typically narrower treatment, biomarker, mechanistic, or single-comorbidity focus.</x:v>
      </x:c>
      <x:c r="J2333" s="38" t="e">
        <x:f>HYPERLINK("https://pubmed.ncbi.nlm.nih.gov/"&amp;C2333&amp;"/","Open PubMed")</x:f>
        <x:v>HYPERLINK is not implemented. linkLocation=https://pubmed.ncbi.nlm.nih.gov/41363151/, friendlyName=Open PubMed</x:v>
      </x:c>
    </x:row>
    <x:row r="2334">
      <x:c r="A2334" s="26" t="str">
        <x:v>PUBMED-41358568</x:v>
      </x:c>
      <x:c r="B2334" s="26" t="n">
        <x:v>2026</x:v>
      </x:c>
      <x:c r="C2334" s="26" t="str">
        <x:v>41358568</x:v>
      </x:c>
      <x:c r="D2334" s="28" t="str">
        <x:v>Investigation of Tight Junction Protein Alterations in ADHD: The Role of Claudin-5, β-Catenin and Paxillin.</x:v>
      </x:c>
      <x:c r="E2334" s="28" t="str">
        <x:v>Primary study - case-control</x:v>
      </x:c>
      <x:c r="F2334" s="28" t="str">
        <x:v>Development &amp; presentation; Social &amp; structural</x:v>
      </x:c>
      <x:c r="G2334" s="28" t="str">
        <x:v>Childhood; Adolescence</x:v>
      </x:c>
      <x:c r="H2334" s="28" t="str">
        <x:v>Later specialized</x:v>
      </x:c>
      <x:c r="I2334" s="28" t="str">
        <x:v>Direct or strongly ADHD-related record retained for later screening; typically narrower treatment, biomarker, mechanistic, or single-comorbidity focus.</x:v>
      </x:c>
      <x:c r="J2334" s="38" t="e">
        <x:f>HYPERLINK("https://pubmed.ncbi.nlm.nih.gov/"&amp;C2334&amp;"/","Open PubMed")</x:f>
        <x:v>HYPERLINK is not implemented. linkLocation=https://pubmed.ncbi.nlm.nih.gov/41358568/, friendlyName=Open PubMed</x:v>
      </x:c>
    </x:row>
    <x:row r="2335">
      <x:c r="A2335" s="26" t="str">
        <x:v>PUBMED-41352760</x:v>
      </x:c>
      <x:c r="B2335" s="26" t="n">
        <x:v>2026</x:v>
      </x:c>
      <x:c r="C2335" s="26" t="str">
        <x:v>41352760</x:v>
      </x:c>
      <x:c r="D2335" s="28" t="str">
        <x:v>ADHD and the Risk of Benzodiazepine Misuse: A Systematic Review and Meta-Analysis.</x:v>
      </x:c>
      <x:c r="E2335" s="28" t="str">
        <x:v>Evidence synthesis - meta-analysis</x:v>
      </x:c>
      <x:c r="F2335" s="28" t="str">
        <x:v>Development &amp; presentation; Recognition &amp; diagnosis; Social &amp; structural; Environmental &amp; lifestyle; Treatment &amp; support; Life outcomes &amp; lived experience</x:v>
      </x:c>
      <x:c r="G2335" s="28" t="str">
        <x:v>Adulthood</x:v>
      </x:c>
      <x:c r="H2335" s="28" t="str">
        <x:v>Batch 1 core</x:v>
      </x:c>
      <x:c r="I2335" s="28" t="str">
        <x:v>Direct ADHD evidence synthesis/guideline with broad multi-topic relevance.</x:v>
      </x:c>
      <x:c r="J2335" s="38" t="e">
        <x:f>HYPERLINK("https://pubmed.ncbi.nlm.nih.gov/"&amp;C2335&amp;"/","Open PubMed")</x:f>
        <x:v>HYPERLINK is not implemented. linkLocation=https://pubmed.ncbi.nlm.nih.gov/41352760/, friendlyName=Open PubMed</x:v>
      </x:c>
    </x:row>
    <x:row r="2336">
      <x:c r="A2336" s="26" t="str">
        <x:v>PUBMED-41352018</x:v>
      </x:c>
      <x:c r="B2336" s="26" t="n">
        <x:v>2026</x:v>
      </x:c>
      <x:c r="C2336" s="26" t="str">
        <x:v>41352018</x:v>
      </x:c>
      <x:c r="D2336" s="28" t="str">
        <x:v>Long-term ozone exposure and attention-deficit/hyperactivity disorder symptoms in school-aged children: Findings from a large multi-city study in China.</x:v>
      </x:c>
      <x:c r="E2336" s="28" t="str">
        <x:v>Primary/contextual journal article</x:v>
      </x:c>
      <x:c r="F2336" s="28" t="str">
        <x:v>Development &amp; presentation; Recognition &amp; diagnosis; Family &amp; education; Social &amp; structural; Environmental &amp; lifestyle; Treatment &amp; support</x:v>
      </x:c>
      <x:c r="G2336" s="28" t="str">
        <x:v>Childhood</x:v>
      </x:c>
      <x:c r="H2336" s="28" t="str">
        <x:v>Later specialized</x:v>
      </x:c>
      <x:c r="I2336" s="28" t="str">
        <x:v>Direct or strongly ADHD-related record retained for later screening; typically narrower treatment, biomarker, mechanistic, or single-comorbidity focus.</x:v>
      </x:c>
      <x:c r="J2336" s="38" t="e">
        <x:f>HYPERLINK("https://pubmed.ncbi.nlm.nih.gov/"&amp;C2336&amp;"/","Open PubMed")</x:f>
        <x:v>HYPERLINK is not implemented. linkLocation=https://pubmed.ncbi.nlm.nih.gov/41352018/, friendlyName=Open PubMed</x:v>
      </x:c>
    </x:row>
    <x:row r="2337">
      <x:c r="A2337" s="26" t="str">
        <x:v>PUBMED-41349281</x:v>
      </x:c>
      <x:c r="B2337" s="26" t="n">
        <x:v>2026</x:v>
      </x:c>
      <x:c r="C2337" s="26" t="str">
        <x:v>41349281</x:v>
      </x:c>
      <x:c r="D2337" s="28" t="str">
        <x:v>Distracted and connected: characterizing the clinical phenotype and exploring potential biotype markers of adults with attention deficit hyperactivity disorder (ADHD) and problematic usage of the internet (PUI).</x:v>
      </x:c>
      <x:c r="E2337" s="28" t="str">
        <x:v>Primary/contextual journal article</x:v>
      </x:c>
      <x:c r="F2337" s="28" t="str">
        <x:v>Development &amp; presentation; Recognition &amp; diagnosis; Social &amp; structural; Environmental &amp; lifestyle; Historical &amp; contemporary context</x:v>
      </x:c>
      <x:c r="G2337" s="28" t="str">
        <x:v>Adulthood</x:v>
      </x:c>
      <x:c r="H2337" s="28" t="str">
        <x:v>Later specialized</x:v>
      </x:c>
      <x:c r="I2337" s="28" t="str">
        <x:v>Direct or strongly ADHD-related record retained for later screening; typically narrower treatment, biomarker, mechanistic, or single-comorbidity focus.</x:v>
      </x:c>
      <x:c r="J2337" s="38" t="e">
        <x:f>HYPERLINK("https://pubmed.ncbi.nlm.nih.gov/"&amp;C2337&amp;"/","Open PubMed")</x:f>
        <x:v>HYPERLINK is not implemented. linkLocation=https://pubmed.ncbi.nlm.nih.gov/41349281/, friendlyName=Open PubMed</x:v>
      </x:c>
    </x:row>
    <x:row r="2338">
      <x:c r="A2338" s="26" t="str">
        <x:v>PUBMED-41331225</x:v>
      </x:c>
      <x:c r="B2338" s="26" t="n">
        <x:v>2026</x:v>
      </x:c>
      <x:c r="C2338" s="26" t="str">
        <x:v>41331225</x:v>
      </x:c>
      <x:c r="D2338" s="28" t="str">
        <x:v>SMR/Theta Neurofeedback Training on Attention and Reading Abilities in Children with Attention Deficit Hyperactivity Disorder-Predominantly Inattentive.</x:v>
      </x:c>
      <x:c r="E2338" s="28" t="str">
        <x:v>Primary study - cohort</x:v>
      </x:c>
      <x:c r="F2338" s="28" t="str">
        <x:v>Development &amp; presentation; Social &amp; structural; Treatment &amp; support</x:v>
      </x:c>
      <x:c r="G2338" s="28" t="str">
        <x:v>Childhood</x:v>
      </x:c>
      <x:c r="H2338" s="28" t="str">
        <x:v>Later specialized</x:v>
      </x:c>
      <x:c r="I2338" s="28" t="str">
        <x:v>Direct or strongly ADHD-related record retained for later screening; typically narrower treatment, biomarker, mechanistic, or single-comorbidity focus.</x:v>
      </x:c>
      <x:c r="J2338" s="38" t="e">
        <x:f>HYPERLINK("https://pubmed.ncbi.nlm.nih.gov/"&amp;C2338&amp;"/","Open PubMed")</x:f>
        <x:v>HYPERLINK is not implemented. linkLocation=https://pubmed.ncbi.nlm.nih.gov/41331225/, friendlyName=Open PubMed</x:v>
      </x:c>
    </x:row>
    <x:row r="2339">
      <x:c r="A2339" s="26" t="str">
        <x:v>PUBMED-41326379</x:v>
      </x:c>
      <x:c r="B2339" s="26" t="n">
        <x:v>2026</x:v>
      </x:c>
      <x:c r="C2339" s="26" t="str">
        <x:v>41326379</x:v>
      </x:c>
      <x:c r="D2339" s="28" t="str">
        <x:v>Daring-Impulsive (DI) Traits Versus ADHD Features in Adolescent Boys with Conduct Problems.</x:v>
      </x:c>
      <x:c r="E2339" s="28" t="str">
        <x:v>Primary/contextual journal article</x:v>
      </x:c>
      <x:c r="F2339" s="28" t="str">
        <x:v>Development &amp; presentation; Recognition &amp; diagnosis; Social &amp; structural; Life outcomes &amp; lived experience</x:v>
      </x:c>
      <x:c r="G2339" s="28" t="str">
        <x:v>Adolescence</x:v>
      </x:c>
      <x:c r="H2339" s="28" t="str">
        <x:v>Later specialized</x:v>
      </x:c>
      <x:c r="I2339" s="28" t="str">
        <x:v>Direct or strongly ADHD-related record retained for later screening; typically narrower treatment, biomarker, mechanistic, or single-comorbidity focus.</x:v>
      </x:c>
      <x:c r="J2339" s="38" t="e">
        <x:f>HYPERLINK("https://pubmed.ncbi.nlm.nih.gov/"&amp;C2339&amp;"/","Open PubMed")</x:f>
        <x:v>HYPERLINK is not implemented. linkLocation=https://pubmed.ncbi.nlm.nih.gov/41326379/, friendlyName=Open PubMed</x:v>
      </x:c>
    </x:row>
    <x:row r="2340">
      <x:c r="A2340" s="26" t="str">
        <x:v>PUBMED-41319052</x:v>
      </x:c>
      <x:c r="B2340" s="26" t="n">
        <x:v>2026</x:v>
      </x:c>
      <x:c r="C2340" s="26" t="str">
        <x:v>41319052</x:v>
      </x:c>
      <x:c r="D2340" s="28" t="str">
        <x:v>Does the family situation impact academic achievement differently in students with versus without neurodevelopmental disorders?</x:v>
      </x:c>
      <x:c r="E2340" s="28" t="str">
        <x:v>Primary/contextual journal article</x:v>
      </x:c>
      <x:c r="F2340" s="28" t="str">
        <x:v>Development &amp; presentation; Recognition &amp; diagnosis; Family &amp; education; Social &amp; structural; Life outcomes &amp; lived experience</x:v>
      </x:c>
      <x:c r="G2340" s="28" t="str">
        <x:v>Childhood; Adolescence</x:v>
      </x:c>
      <x:c r="H2340" s="28" t="str">
        <x:v>Later specialized</x:v>
      </x:c>
      <x:c r="I2340" s="28" t="str">
        <x:v>Direct or strongly ADHD-related record retained for later screening; typically narrower treatment, biomarker, mechanistic, or single-comorbidity focus.</x:v>
      </x:c>
      <x:c r="J2340" s="38" t="e">
        <x:f>HYPERLINK("https://pubmed.ncbi.nlm.nih.gov/"&amp;C2340&amp;"/","Open PubMed")</x:f>
        <x:v>HYPERLINK is not implemented. linkLocation=https://pubmed.ncbi.nlm.nih.gov/41319052/, friendlyName=Open PubMed</x:v>
      </x:c>
    </x:row>
    <x:row r="2341">
      <x:c r="A2341" s="26" t="str">
        <x:v>PUBMED-41316947</x:v>
      </x:c>
      <x:c r="B2341" s="26" t="n">
        <x:v>2026</x:v>
      </x:c>
      <x:c r="C2341" s="26" t="str">
        <x:v>41316947</x:v>
      </x:c>
      <x:c r="D2341" s="28" t="str">
        <x:v>How Does Adult Temperament Relate to ADHD Symptom Domains? Testing the Dual-Pathway Model.</x:v>
      </x:c>
      <x:c r="E2341" s="28" t="str">
        <x:v>Primary/contextual journal article</x:v>
      </x:c>
      <x:c r="F2341" s="28" t="str">
        <x:v>Development &amp; presentation; Recognition &amp; diagnosis; Social &amp; structural</x:v>
      </x:c>
      <x:c r="G2341" s="28" t="str">
        <x:v>Adulthood</x:v>
      </x:c>
      <x:c r="H2341" s="28" t="str">
        <x:v>Later specialized</x:v>
      </x:c>
      <x:c r="I2341" s="28" t="str">
        <x:v>Direct or strongly ADHD-related record retained for later screening; typically narrower treatment, biomarker, mechanistic, or single-comorbidity focus.</x:v>
      </x:c>
      <x:c r="J2341" s="38" t="e">
        <x:f>HYPERLINK("https://pubmed.ncbi.nlm.nih.gov/"&amp;C2341&amp;"/","Open PubMed")</x:f>
        <x:v>HYPERLINK is not implemented. linkLocation=https://pubmed.ncbi.nlm.nih.gov/41316947/, friendlyName=Open PubMed</x:v>
      </x:c>
    </x:row>
    <x:row r="2342">
      <x:c r="A2342" s="26" t="str">
        <x:v>PUBMED-41277152</x:v>
      </x:c>
      <x:c r="B2342" s="26" t="n">
        <x:v>2026</x:v>
      </x:c>
      <x:c r="C2342" s="26" t="str">
        <x:v>41277152</x:v>
      </x:c>
      <x:c r="D2342" s="28" t="str">
        <x:v>Attention-Deficit/Hyperactivity Disorder Symptoms and Expectations of Longevity Among Adults in Japan.</x:v>
      </x:c>
      <x:c r="E2342" s="28" t="str">
        <x:v>Primary/contextual journal article</x:v>
      </x:c>
      <x:c r="F2342" s="28" t="str">
        <x:v>Development &amp; presentation; Recognition &amp; diagnosis; Family &amp; education; Social &amp; structural; Life outcomes &amp; lived experience; Historical &amp; contemporary context</x:v>
      </x:c>
      <x:c r="G2342" s="28" t="str">
        <x:v>Adolescence; Adulthood</x:v>
      </x:c>
      <x:c r="H2342" s="28" t="str">
        <x:v>Later specialized</x:v>
      </x:c>
      <x:c r="I2342" s="28" t="str">
        <x:v>Direct or strongly ADHD-related record retained for later screening; typically narrower treatment, biomarker, mechanistic, or single-comorbidity focus.</x:v>
      </x:c>
      <x:c r="J2342" s="38" t="e">
        <x:f>HYPERLINK("https://pubmed.ncbi.nlm.nih.gov/"&amp;C2342&amp;"/","Open PubMed")</x:f>
        <x:v>HYPERLINK is not implemented. linkLocation=https://pubmed.ncbi.nlm.nih.gov/41277152/, friendlyName=Open PubMed</x:v>
      </x:c>
    </x:row>
    <x:row r="2343">
      <x:c r="A2343" s="26" t="str">
        <x:v>PUBMED-41269102</x:v>
      </x:c>
      <x:c r="B2343" s="26" t="n">
        <x:v>2026</x:v>
      </x:c>
      <x:c r="C2343" s="26" t="str">
        <x:v>41269102</x:v>
      </x:c>
      <x:c r="D2343" s="28" t="str">
        <x:v>Sex Differences and Executive Function Profiles in Childhood Attention-Deficit/Hyperactivity Disorder: Evidence from Digital Neurocognitive Assessment.</x:v>
      </x:c>
      <x:c r="E2343" s="28" t="str">
        <x:v>Primary/contextual journal article</x:v>
      </x:c>
      <x:c r="F2343" s="28" t="str">
        <x:v>Development &amp; presentation; Recognition &amp; diagnosis; Social &amp; structural</x:v>
      </x:c>
      <x:c r="G2343" s="28" t="str">
        <x:v>Childhood</x:v>
      </x:c>
      <x:c r="H2343" s="28" t="str">
        <x:v>Later specialized</x:v>
      </x:c>
      <x:c r="I2343" s="28" t="str">
        <x:v>Direct or strongly ADHD-related record retained for later screening; typically narrower treatment, biomarker, mechanistic, or single-comorbidity focus.</x:v>
      </x:c>
      <x:c r="J2343" s="38" t="e">
        <x:f>HYPERLINK("https://pubmed.ncbi.nlm.nih.gov/"&amp;C2343&amp;"/","Open PubMed")</x:f>
        <x:v>HYPERLINK is not implemented. linkLocation=https://pubmed.ncbi.nlm.nih.gov/41269102/, friendlyName=Open PubMed</x:v>
      </x:c>
    </x:row>
    <x:row r="2344">
      <x:c r="A2344" s="26" t="str">
        <x:v>PUBMED-41237356</x:v>
      </x:c>
      <x:c r="B2344" s="26" t="n">
        <x:v>2026</x:v>
      </x:c>
      <x:c r="C2344" s="26" t="str">
        <x:v>41237356</x:v>
      </x:c>
      <x:c r="D2344" s="28" t="str">
        <x:v>Family and community violence: implications for executive dysfunction, attention problems, and epigenetic age acceleration in childhood and youth.</x:v>
      </x:c>
      <x:c r="E2344" s="28" t="str">
        <x:v>Primary study - cohort</x:v>
      </x:c>
      <x:c r="F2344" s="28" t="str">
        <x:v>Development &amp; presentation; Recognition &amp; diagnosis; Family &amp; education; Social &amp; structural; Environmental &amp; lifestyle; Life outcomes &amp; lived experience</x:v>
      </x:c>
      <x:c r="G2344" s="28" t="str">
        <x:v>Childhood; Adolescence</x:v>
      </x:c>
      <x:c r="H2344" s="28" t="str">
        <x:v>Later specialized</x:v>
      </x:c>
      <x:c r="I2344" s="28" t="str">
        <x:v>Direct or strongly ADHD-related record retained for later screening; typically narrower treatment, biomarker, mechanistic, or single-comorbidity focus.</x:v>
      </x:c>
      <x:c r="J2344" s="38" t="e">
        <x:f>HYPERLINK("https://pubmed.ncbi.nlm.nih.gov/"&amp;C2344&amp;"/","Open PubMed")</x:f>
        <x:v>HYPERLINK is not implemented. linkLocation=https://pubmed.ncbi.nlm.nih.gov/41237356/, friendlyName=Open PubMed</x:v>
      </x:c>
    </x:row>
    <x:row r="2345">
      <x:c r="A2345" s="26" t="str">
        <x:v>PUBMED-41235972</x:v>
      </x:c>
      <x:c r="B2345" s="26" t="n">
        <x:v>2026</x:v>
      </x:c>
      <x:c r="C2345" s="26" t="str">
        <x:v>41235972</x:v>
      </x:c>
      <x:c r="D2345" s="28" t="str">
        <x:v>Effects of computerized cognitive training on brain function in children with ADHD: A longitudinal neuroimaging study based on fALFF.</x:v>
      </x:c>
      <x:c r="E2345" s="28" t="str">
        <x:v>Primary/contextual journal article</x:v>
      </x:c>
      <x:c r="F2345" s="28" t="str">
        <x:v>Development &amp; presentation; Recognition &amp; diagnosis; Social &amp; structural; Treatment &amp; support; Life outcomes &amp; lived experience</x:v>
      </x:c>
      <x:c r="G2345" s="28" t="str">
        <x:v>Childhood; Adolescence</x:v>
      </x:c>
      <x:c r="H2345" s="28" t="str">
        <x:v>Later specialized</x:v>
      </x:c>
      <x:c r="I2345" s="28" t="str">
        <x:v>Direct or strongly ADHD-related record retained for later screening; typically narrower treatment, biomarker, mechanistic, or single-comorbidity focus.</x:v>
      </x:c>
      <x:c r="J2345" s="38" t="e">
        <x:f>HYPERLINK("https://pubmed.ncbi.nlm.nih.gov/"&amp;C2345&amp;"/","Open PubMed")</x:f>
        <x:v>HYPERLINK is not implemented. linkLocation=https://pubmed.ncbi.nlm.nih.gov/41235972/, friendlyName=Open PubMed</x:v>
      </x:c>
    </x:row>
    <x:row r="2346">
      <x:c r="A2346" s="26" t="str">
        <x:v>PUBMED-41231696</x:v>
      </x:c>
      <x:c r="B2346" s="26" t="n">
        <x:v>2026</x:v>
      </x:c>
      <x:c r="C2346" s="26" t="str">
        <x:v>41231696</x:v>
      </x:c>
      <x:c r="D2346" s="28" t="str">
        <x:v>4DfCF: 4D fMRI CrossFormer Vision Transformer.</x:v>
      </x:c>
      <x:c r="E2346" s="28" t="str">
        <x:v>Primary/contextual journal article</x:v>
      </x:c>
      <x:c r="F2346" s="28" t="str">
        <x:v>Development &amp; presentation; Recognition &amp; diagnosis; Social &amp; structural; Life outcomes &amp; lived experience</x:v>
      </x:c>
      <x:c r="G2346" s="28" t="str">
        <x:v>Not specified</x:v>
      </x:c>
      <x:c r="H2346" s="28" t="str">
        <x:v>Later specialized</x:v>
      </x:c>
      <x:c r="I2346" s="28" t="str">
        <x:v>Direct or strongly ADHD-related record retained for later screening; typically narrower treatment, biomarker, mechanistic, or single-comorbidity focus.</x:v>
      </x:c>
      <x:c r="J2346" s="38" t="e">
        <x:f>HYPERLINK("https://pubmed.ncbi.nlm.nih.gov/"&amp;C2346&amp;"/","Open PubMed")</x:f>
        <x:v>HYPERLINK is not implemented. linkLocation=https://pubmed.ncbi.nlm.nih.gov/41231696/, friendlyName=Open PubMed</x:v>
      </x:c>
    </x:row>
    <x:row r="2347">
      <x:c r="A2347" s="26" t="str">
        <x:v>PUBMED-41213561</x:v>
      </x:c>
      <x:c r="B2347" s="26" t="n">
        <x:v>2026</x:v>
      </x:c>
      <x:c r="C2347" s="26" t="str">
        <x:v>41213561</x:v>
      </x:c>
      <x:c r="D2347" s="28" t="str">
        <x:v>Preventing prescription stimulant diversion and misuse through brief intervention: Moderators and secondary outcomes from a randomized controlled trial.</x:v>
      </x:c>
      <x:c r="E2347" s="28" t="str">
        <x:v>Primary study - randomized controlled trial</x:v>
      </x:c>
      <x:c r="F2347" s="28" t="str">
        <x:v>Development &amp; presentation; Social &amp; structural; Treatment &amp; support; Life outcomes &amp; lived experience</x:v>
      </x:c>
      <x:c r="G2347" s="28" t="str">
        <x:v>Childhood; Adolescence; Adulthood</x:v>
      </x:c>
      <x:c r="H2347" s="28" t="str">
        <x:v>Later specialized</x:v>
      </x:c>
      <x:c r="I2347" s="28" t="str">
        <x:v>Direct or strongly ADHD-related record retained for later screening; typically narrower treatment, biomarker, mechanistic, or single-comorbidity focus.</x:v>
      </x:c>
      <x:c r="J2347" s="38" t="e">
        <x:f>HYPERLINK("https://pubmed.ncbi.nlm.nih.gov/"&amp;C2347&amp;"/","Open PubMed")</x:f>
        <x:v>HYPERLINK is not implemented. linkLocation=https://pubmed.ncbi.nlm.nih.gov/41213561/, friendlyName=Open PubMed</x:v>
      </x:c>
    </x:row>
    <x:row r="2348">
      <x:c r="A2348" s="26" t="str">
        <x:v>PUBMED-41207614</x:v>
      </x:c>
      <x:c r="B2348" s="26" t="n">
        <x:v>2026</x:v>
      </x:c>
      <x:c r="C2348" s="26" t="str">
        <x:v>41207614</x:v>
      </x:c>
      <x:c r="D2348" s="28" t="str">
        <x:v>Editorial: Centanafadine for Adolescents With Attention-Deficit/Hyperactivity Disorder: Is a Broader Mechanism of Action Better?</x:v>
      </x:c>
      <x:c r="E2348" s="28" t="str">
        <x:v>Contextual - editorial/comment</x:v>
      </x:c>
      <x:c r="F2348" s="28" t="str">
        <x:v>Development &amp; presentation; Recognition &amp; diagnosis; Social &amp; structural; Treatment &amp; support</x:v>
      </x:c>
      <x:c r="G2348" s="28" t="str">
        <x:v>Childhood; Adolescence</x:v>
      </x:c>
      <x:c r="H2348" s="28" t="str">
        <x:v>Later specialized</x:v>
      </x:c>
      <x:c r="I2348" s="28" t="str">
        <x:v>Direct or strongly ADHD-related record retained for later screening; typically narrower treatment, biomarker, mechanistic, or single-comorbidity focus.</x:v>
      </x:c>
      <x:c r="J2348" s="38" t="e">
        <x:f>HYPERLINK("https://pubmed.ncbi.nlm.nih.gov/"&amp;C2348&amp;"/","Open PubMed")</x:f>
        <x:v>HYPERLINK is not implemented. linkLocation=https://pubmed.ncbi.nlm.nih.gov/41207614/, friendlyName=Open PubMed</x:v>
      </x:c>
    </x:row>
    <x:row r="2349">
      <x:c r="A2349" s="26" t="str">
        <x:v>PUBMED-41205076</x:v>
      </x:c>
      <x:c r="B2349" s="26" t="n">
        <x:v>2026</x:v>
      </x:c>
      <x:c r="C2349" s="26" t="str">
        <x:v>41205076</x:v>
      </x:c>
      <x:c r="D2349" s="28" t="str">
        <x:v>The diagnostic validity of central symptoms for major depressive disorder in adults with attention-deficit/hyperactivity disorder: a network analysis.</x:v>
      </x:c>
      <x:c r="E2349" s="28" t="str">
        <x:v>Primary study - cohort</x:v>
      </x:c>
      <x:c r="F2349" s="28" t="str">
        <x:v>Development &amp; presentation; Recognition &amp; diagnosis; Social &amp; structural</x:v>
      </x:c>
      <x:c r="G2349" s="28" t="str">
        <x:v>Adulthood</x:v>
      </x:c>
      <x:c r="H2349" s="28" t="str">
        <x:v>Batch 1 core</x:v>
      </x:c>
      <x:c r="I2349" s="28" t="str">
        <x:v>Direct ADHD primary study on diagnosis, family/education, structural conditions, lived experience/outcomes, or environment/lifestyle.</x:v>
      </x:c>
      <x:c r="J2349" s="38" t="e">
        <x:f>HYPERLINK("https://pubmed.ncbi.nlm.nih.gov/"&amp;C2349&amp;"/","Open PubMed")</x:f>
        <x:v>HYPERLINK is not implemented. linkLocation=https://pubmed.ncbi.nlm.nih.gov/41205076/, friendlyName=Open PubMed</x:v>
      </x:c>
    </x:row>
    <x:row r="2350">
      <x:c r="A2350" s="26" t="str">
        <x:v>PUBMED-41204786</x:v>
      </x:c>
      <x:c r="B2350" s="26" t="n">
        <x:v>2026</x:v>
      </x:c>
      <x:c r="C2350" s="26" t="str">
        <x:v>41204786</x:v>
      </x:c>
      <x:c r="D2350" s="28" t="str">
        <x:v>Interactive Associations of Youth Executive Function and Negative Emotionality: Prospective Predictions of Adolescent Psychopathology.</x:v>
      </x:c>
      <x:c r="E2350" s="28" t="str">
        <x:v>Primary/contextual journal article</x:v>
      </x:c>
      <x:c r="F2350" s="28" t="str">
        <x:v>Development &amp; presentation; Recognition &amp; diagnosis; Family &amp; education; Social &amp; structural; Life outcomes &amp; lived experience</x:v>
      </x:c>
      <x:c r="G2350" s="28" t="str">
        <x:v>Childhood; Adolescence</x:v>
      </x:c>
      <x:c r="H2350" s="28" t="str">
        <x:v>Later specialized</x:v>
      </x:c>
      <x:c r="I2350" s="28" t="str">
        <x:v>Direct or strongly ADHD-related record retained for later screening; typically narrower treatment, biomarker, mechanistic, or single-comorbidity focus.</x:v>
      </x:c>
      <x:c r="J2350" s="38" t="e">
        <x:f>HYPERLINK("https://pubmed.ncbi.nlm.nih.gov/"&amp;C2350&amp;"/","Open PubMed")</x:f>
        <x:v>HYPERLINK is not implemented. linkLocation=https://pubmed.ncbi.nlm.nih.gov/41204786/, friendlyName=Open PubMed</x:v>
      </x:c>
    </x:row>
    <x:row r="2351">
      <x:c r="A2351" s="26" t="str">
        <x:v>PUBMED-41191638</x:v>
      </x:c>
      <x:c r="B2351" s="26" t="n">
        <x:v>2026</x:v>
      </x:c>
      <x:c r="C2351" s="26" t="str">
        <x:v>41191638</x:v>
      </x:c>
      <x:c r="D2351" s="28" t="str">
        <x:v>Causal diagrams for research about childhood-onset disabilities.</x:v>
      </x:c>
      <x:c r="E2351" s="28" t="str">
        <x:v>Evidence synthesis - review</x:v>
      </x:c>
      <x:c r="F2351" s="28" t="str">
        <x:v>Development &amp; presentation; Family &amp; education; Social &amp; structural; Life outcomes &amp; lived experience</x:v>
      </x:c>
      <x:c r="G2351" s="28" t="str">
        <x:v>Childhood</x:v>
      </x:c>
      <x:c r="H2351" s="28" t="str">
        <x:v>Exclude/incidental</x:v>
      </x:c>
      <x:c r="I2351" s="28" t="str">
        <x:v>ADHD appears peripheral or insufficiently aligned with the requested corpus scope based on accessible metadata/abstract.</x:v>
      </x:c>
      <x:c r="J2351" s="38" t="e">
        <x:f>HYPERLINK("https://pubmed.ncbi.nlm.nih.gov/"&amp;C2351&amp;"/","Open PubMed")</x:f>
        <x:v>HYPERLINK is not implemented. linkLocation=https://pubmed.ncbi.nlm.nih.gov/41191638/, friendlyName=Open PubMed</x:v>
      </x:c>
    </x:row>
    <x:row r="2352">
      <x:c r="A2352" s="26" t="str">
        <x:v>PUBMED-41182374</x:v>
      </x:c>
      <x:c r="B2352" s="26" t="n">
        <x:v>2026</x:v>
      </x:c>
      <x:c r="C2352" s="26" t="str">
        <x:v>41182374</x:v>
      </x:c>
      <x:c r="D2352" s="28" t="str">
        <x:v>Use of methylphenidate and the risk of cardiovascular diseases in children and adolescents with a family history of heart diseases and congenital heart diseases: A self-controlled case series study.</x:v>
      </x:c>
      <x:c r="E2352" s="28" t="str">
        <x:v>Primary study - case-control</x:v>
      </x:c>
      <x:c r="F2352" s="28" t="str">
        <x:v>Development &amp; presentation; Family &amp; education; Social &amp; structural; Environmental &amp; lifestyle; Treatment &amp; support; Life outcomes &amp; lived experience; Historical &amp; contemporary context</x:v>
      </x:c>
      <x:c r="G2352" s="28" t="str">
        <x:v>Childhood; Adolescence</x:v>
      </x:c>
      <x:c r="H2352" s="28" t="str">
        <x:v>Later specialized</x:v>
      </x:c>
      <x:c r="I2352" s="28" t="str">
        <x:v>Direct or strongly ADHD-related record retained for later screening; typically narrower treatment, biomarker, mechanistic, or single-comorbidity focus.</x:v>
      </x:c>
      <x:c r="J2352" s="38" t="e">
        <x:f>HYPERLINK("https://pubmed.ncbi.nlm.nih.gov/"&amp;C2352&amp;"/","Open PubMed")</x:f>
        <x:v>HYPERLINK is not implemented. linkLocation=https://pubmed.ncbi.nlm.nih.gov/41182374/, friendlyName=Open PubMed</x:v>
      </x:c>
    </x:row>
    <x:row r="2353">
      <x:c r="A2353" s="26" t="str">
        <x:v>PUBMED-41172928</x:v>
      </x:c>
      <x:c r="B2353" s="26" t="n">
        <x:v>2026</x:v>
      </x:c>
      <x:c r="C2353" s="26" t="str">
        <x:v>41172928</x:v>
      </x:c>
      <x:c r="D2353" s="28" t="str">
        <x:v>Inflammatory and epigenetic alterations associated with attention deficits in adolescents with cocaine base paste addiction.</x:v>
      </x:c>
      <x:c r="E2353" s="28" t="str">
        <x:v>Primary/contextual journal article</x:v>
      </x:c>
      <x:c r="F2353" s="28" t="str">
        <x:v>Development &amp; presentation; Social &amp; structural; Treatment &amp; support; Life outcomes &amp; lived experience</x:v>
      </x:c>
      <x:c r="G2353" s="28" t="str">
        <x:v>Adolescence</x:v>
      </x:c>
      <x:c r="H2353" s="28" t="str">
        <x:v>Later specialized</x:v>
      </x:c>
      <x:c r="I2353" s="28" t="str">
        <x:v>Direct or strongly ADHD-related record retained for later screening; typically narrower treatment, biomarker, mechanistic, or single-comorbidity focus.</x:v>
      </x:c>
      <x:c r="J2353" s="38" t="e">
        <x:f>HYPERLINK("https://pubmed.ncbi.nlm.nih.gov/"&amp;C2353&amp;"/","Open PubMed")</x:f>
        <x:v>HYPERLINK is not implemented. linkLocation=https://pubmed.ncbi.nlm.nih.gov/41172928/, friendlyName=Open PubMed</x:v>
      </x:c>
    </x:row>
    <x:row r="2354">
      <x:c r="A2354" s="26" t="str">
        <x:v>PUBMED-41163560</x:v>
      </x:c>
      <x:c r="B2354" s="26" t="n">
        <x:v>2026</x:v>
      </x:c>
      <x:c r="C2354" s="26" t="str">
        <x:v>41163560</x:v>
      </x:c>
      <x:c r="D2354" s="28" t="str">
        <x:v>ADHD Is Associated With Increased Rates of Postoperative Complications and Revision Surgery After ACL Reconstruction.</x:v>
      </x:c>
      <x:c r="E2354" s="28" t="str">
        <x:v>Primary study - cohort</x:v>
      </x:c>
      <x:c r="F2354" s="28" t="str">
        <x:v>Development &amp; presentation; Social &amp; structural; Treatment &amp; support; Life outcomes &amp; lived experience</x:v>
      </x:c>
      <x:c r="G2354" s="28" t="str">
        <x:v>Adolescence; Adulthood</x:v>
      </x:c>
      <x:c r="H2354" s="28" t="str">
        <x:v>Later specialized</x:v>
      </x:c>
      <x:c r="I2354" s="28" t="str">
        <x:v>Direct or strongly ADHD-related record retained for later screening; typically narrower treatment, biomarker, mechanistic, or single-comorbidity focus.</x:v>
      </x:c>
      <x:c r="J2354" s="38" t="e">
        <x:f>HYPERLINK("https://pubmed.ncbi.nlm.nih.gov/"&amp;C2354&amp;"/","Open PubMed")</x:f>
        <x:v>HYPERLINK is not implemented. linkLocation=https://pubmed.ncbi.nlm.nih.gov/41163560/, friendlyName=Open PubMed</x:v>
      </x:c>
    </x:row>
    <x:row r="2355">
      <x:c r="A2355" s="26" t="str">
        <x:v>PUBMED-41157911</x:v>
      </x:c>
      <x:c r="B2355" s="26" t="n">
        <x:v>2026</x:v>
      </x:c>
      <x:c r="C2355" s="26" t="str">
        <x:v>41157911</x:v>
      </x:c>
      <x:c r="D2355" s="28" t="str">
        <x:v>Are we getting better at identifying and diagnosing neurodivergent girls and women? Insights into sex ratios and age of diagnosis from clinical population data in Scotland.</x:v>
      </x:c>
      <x:c r="E2355" s="28" t="str">
        <x:v>Primary/contextual journal article</x:v>
      </x:c>
      <x:c r="F2355" s="28" t="str">
        <x:v>Development &amp; presentation; Recognition &amp; diagnosis; Family &amp; education; Social &amp; structural; Environmental &amp; lifestyle</x:v>
      </x:c>
      <x:c r="G2355" s="28" t="str">
        <x:v>Childhood; Adolescence; Adulthood</x:v>
      </x:c>
      <x:c r="H2355" s="28" t="str">
        <x:v>Later specialized</x:v>
      </x:c>
      <x:c r="I2355" s="28" t="str">
        <x:v>Direct or strongly ADHD-related record retained for later screening; typically narrower treatment, biomarker, mechanistic, or single-comorbidity focus.</x:v>
      </x:c>
      <x:c r="J2355" s="38" t="e">
        <x:f>HYPERLINK("https://pubmed.ncbi.nlm.nih.gov/"&amp;C2355&amp;"/","Open PubMed")</x:f>
        <x:v>HYPERLINK is not implemented. linkLocation=https://pubmed.ncbi.nlm.nih.gov/41157911/, friendlyName=Open PubMed</x:v>
      </x:c>
    </x:row>
    <x:row r="2356">
      <x:c r="A2356" s="26" t="str">
        <x:v>PUBMED-41138507</x:v>
      </x:c>
      <x:c r="B2356" s="26" t="n">
        <x:v>2026</x:v>
      </x:c>
      <x:c r="C2356" s="26" t="str">
        <x:v>41138507</x:v>
      </x:c>
      <x:c r="D2356" s="28" t="str">
        <x:v>The effect of intranasal oxytocin on theory of mind in children with attention deficit/hyperactive disorder.</x:v>
      </x:c>
      <x:c r="E2356" s="28" t="str">
        <x:v>Primary study - randomized controlled trial</x:v>
      </x:c>
      <x:c r="F2356" s="28" t="str">
        <x:v>Development &amp; presentation; Recognition &amp; diagnosis; Social &amp; structural; Treatment &amp; support</x:v>
      </x:c>
      <x:c r="G2356" s="28" t="str">
        <x:v>Childhood; Adolescence</x:v>
      </x:c>
      <x:c r="H2356" s="28" t="str">
        <x:v>Later specialized</x:v>
      </x:c>
      <x:c r="I2356" s="28" t="str">
        <x:v>Direct or strongly ADHD-related record retained for later screening; typically narrower treatment, biomarker, mechanistic, or single-comorbidity focus.</x:v>
      </x:c>
      <x:c r="J2356" s="38" t="e">
        <x:f>HYPERLINK("https://pubmed.ncbi.nlm.nih.gov/"&amp;C2356&amp;"/","Open PubMed")</x:f>
        <x:v>HYPERLINK is not implemented. linkLocation=https://pubmed.ncbi.nlm.nih.gov/41138507/, friendlyName=Open PubMed</x:v>
      </x:c>
    </x:row>
    <x:row r="2357">
      <x:c r="A2357" s="26" t="str">
        <x:v>PUBMED-41121715</x:v>
      </x:c>
      <x:c r="B2357" s="26" t="n">
        <x:v>2026</x:v>
      </x:c>
      <x:c r="C2357" s="26" t="str">
        <x:v>41121715</x:v>
      </x:c>
      <x:c r="D2357" s="28" t="str">
        <x:v>Assessing functional cognition in adult students with attention-deficit/hyperactivity disorder using the Daily Living Questionnaire.</x:v>
      </x:c>
      <x:c r="E2357" s="28" t="str">
        <x:v>Primary study - cross-sectional</x:v>
      </x:c>
      <x:c r="F2357" s="28" t="str">
        <x:v>Development &amp; presentation; Recognition &amp; diagnosis; Social &amp; structural; Environmental &amp; lifestyle; Life outcomes &amp; lived experience</x:v>
      </x:c>
      <x:c r="G2357" s="28" t="str">
        <x:v>Adulthood</x:v>
      </x:c>
      <x:c r="H2357" s="28" t="str">
        <x:v>Later specialized</x:v>
      </x:c>
      <x:c r="I2357" s="28" t="str">
        <x:v>Direct or strongly ADHD-related record retained for later screening; typically narrower treatment, biomarker, mechanistic, or single-comorbidity focus.</x:v>
      </x:c>
      <x:c r="J2357" s="38" t="e">
        <x:f>HYPERLINK("https://pubmed.ncbi.nlm.nih.gov/"&amp;C2357&amp;"/","Open PubMed")</x:f>
        <x:v>HYPERLINK is not implemented. linkLocation=https://pubmed.ncbi.nlm.nih.gov/41121715/, friendlyName=Open PubMed</x:v>
      </x:c>
    </x:row>
    <x:row r="2358">
      <x:c r="A2358" s="26" t="str">
        <x:v>PUBMED-41115444</x:v>
      </x:c>
      <x:c r="B2358" s="26" t="n">
        <x:v>2026</x:v>
      </x:c>
      <x:c r="C2358" s="26" t="str">
        <x:v>41115444</x:v>
      </x:c>
      <x:c r="D2358" s="28" t="str">
        <x:v>Psychotic symptoms during pharmacological treatment of ADHD: clinical considerations and research needs.</x:v>
      </x:c>
      <x:c r="E2358" s="28" t="str">
        <x:v>Evidence synthesis - review</x:v>
      </x:c>
      <x:c r="F2358" s="28" t="str">
        <x:v>Development &amp; presentation; Recognition &amp; diagnosis; Social &amp; structural; Treatment &amp; support</x:v>
      </x:c>
      <x:c r="G2358" s="28" t="str">
        <x:v>Not specified</x:v>
      </x:c>
      <x:c r="H2358" s="28" t="str">
        <x:v>Later specialized</x:v>
      </x:c>
      <x:c r="I2358" s="28" t="str">
        <x:v>Direct or strongly ADHD-related record retained for later screening; typically narrower treatment, biomarker, mechanistic, or single-comorbidity focus.</x:v>
      </x:c>
      <x:c r="J2358" s="38" t="e">
        <x:f>HYPERLINK("https://pubmed.ncbi.nlm.nih.gov/"&amp;C2358&amp;"/","Open PubMed")</x:f>
        <x:v>HYPERLINK is not implemented. linkLocation=https://pubmed.ncbi.nlm.nih.gov/41115444/, friendlyName=Open PubMed</x:v>
      </x:c>
    </x:row>
    <x:row r="2359">
      <x:c r="A2359" s="26" t="str">
        <x:v>PUBMED-41110746</x:v>
      </x:c>
      <x:c r="B2359" s="26" t="n">
        <x:v>2026</x:v>
      </x:c>
      <x:c r="C2359" s="26" t="str">
        <x:v>41110746</x:v>
      </x:c>
      <x:c r="D2359" s="28" t="str">
        <x:v>Circulating MicroRNAs in Cord Blood to Predict Attention-Deficit/Hyperactivity Disorder Diagnosis.</x:v>
      </x:c>
      <x:c r="E2359" s="28" t="str">
        <x:v>Primary study - cohort</x:v>
      </x:c>
      <x:c r="F2359" s="28" t="str">
        <x:v>Development &amp; presentation; Recognition &amp; diagnosis; Family &amp; education; Social &amp; structural; Environmental &amp; lifestyle; Life outcomes &amp; lived experience</x:v>
      </x:c>
      <x:c r="G2359" s="28" t="str">
        <x:v>Childhood</x:v>
      </x:c>
      <x:c r="H2359" s="28" t="str">
        <x:v>Batch 1 core</x:v>
      </x:c>
      <x:c r="I2359" s="28" t="str">
        <x:v>Direct ADHD primary study on diagnosis, family/education, structural conditions, lived experience/outcomes, or environment/lifestyle.</x:v>
      </x:c>
      <x:c r="J2359" s="38" t="e">
        <x:f>HYPERLINK("https://pubmed.ncbi.nlm.nih.gov/"&amp;C2359&amp;"/","Open PubMed")</x:f>
        <x:v>HYPERLINK is not implemented. linkLocation=https://pubmed.ncbi.nlm.nih.gov/41110746/, friendlyName=Open PubMed</x:v>
      </x:c>
    </x:row>
    <x:row r="2360">
      <x:c r="A2360" s="26" t="str">
        <x:v>PUBMED-41110743</x:v>
      </x:c>
      <x:c r="B2360" s="26" t="n">
        <x:v>2026</x:v>
      </x:c>
      <x:c r="C2360" s="26" t="str">
        <x:v>41110743</x:v>
      </x:c>
      <x:c r="D2360" s="28" t="str">
        <x:v>Patterns and trends in prevalent central nervous system stimulant use in US veterans with traumatic brain injury.</x:v>
      </x:c>
      <x:c r="E2360" s="28" t="str">
        <x:v>Primary/contextual journal article</x:v>
      </x:c>
      <x:c r="F2360" s="28" t="str">
        <x:v>Development &amp; presentation; Recognition &amp; diagnosis; Social &amp; structural; Treatment &amp; support; Life outcomes &amp; lived experience</x:v>
      </x:c>
      <x:c r="G2360" s="28" t="str">
        <x:v>Adulthood</x:v>
      </x:c>
      <x:c r="H2360" s="28" t="str">
        <x:v>Later specialized</x:v>
      </x:c>
      <x:c r="I2360" s="28" t="str">
        <x:v>Direct or strongly ADHD-related record retained for later screening; typically narrower treatment, biomarker, mechanistic, or single-comorbidity focus.</x:v>
      </x:c>
      <x:c r="J2360" s="38" t="e">
        <x:f>HYPERLINK("https://pubmed.ncbi.nlm.nih.gov/"&amp;C2360&amp;"/","Open PubMed")</x:f>
        <x:v>HYPERLINK is not implemented. linkLocation=https://pubmed.ncbi.nlm.nih.gov/41110743/, friendlyName=Open PubMed</x:v>
      </x:c>
    </x:row>
    <x:row r="2361">
      <x:c r="A2361" s="26" t="str">
        <x:v>PUBMED-41091641</x:v>
      </x:c>
      <x:c r="B2361" s="26" t="n">
        <x:v>2026</x:v>
      </x:c>
      <x:c r="C2361" s="26" t="str">
        <x:v>41091641</x:v>
      </x:c>
      <x:c r="D2361" s="28" t="str">
        <x:v>Precocious Puberty and Risk of Psychiatric Disorders: A Nationwide Cohort Study Using Prospective Registry Data.</x:v>
      </x:c>
      <x:c r="E2361" s="28" t="str">
        <x:v>Primary study - cohort</x:v>
      </x:c>
      <x:c r="F2361" s="28" t="str">
        <x:v>Development &amp; presentation; Recognition &amp; diagnosis; Social &amp; structural</x:v>
      </x:c>
      <x:c r="G2361" s="28" t="str">
        <x:v>Childhood; Adolescence</x:v>
      </x:c>
      <x:c r="H2361" s="28" t="str">
        <x:v>Exclude/incidental</x:v>
      </x:c>
      <x:c r="I2361" s="28" t="str">
        <x:v>ADHD appears peripheral or insufficiently aligned with the requested corpus scope based on accessible metadata/abstract.</x:v>
      </x:c>
      <x:c r="J2361" s="38" t="e">
        <x:f>HYPERLINK("https://pubmed.ncbi.nlm.nih.gov/"&amp;C2361&amp;"/","Open PubMed")</x:f>
        <x:v>HYPERLINK is not implemented. linkLocation=https://pubmed.ncbi.nlm.nih.gov/41091641/, friendlyName=Open PubMed</x:v>
      </x:c>
    </x:row>
    <x:row r="2362">
      <x:c r="A2362" s="26" t="str">
        <x:v>PUBMED-41084139</x:v>
      </x:c>
      <x:c r="B2362" s="26" t="n">
        <x:v>2026</x:v>
      </x:c>
      <x:c r="C2362" s="26" t="str">
        <x:v>41084139</x:v>
      </x:c>
      <x:c r="D2362" s="28" t="str">
        <x:v>Feasibility of the Test of Variables of Attention (TOVA) and its relationship to intellectual function in children and adolescents with borderline intellectual functioning: A Norwegian mental health study.</x:v>
      </x:c>
      <x:c r="E2362" s="28" t="str">
        <x:v>Primary/contextual journal article</x:v>
      </x:c>
      <x:c r="F2362" s="28" t="str">
        <x:v>Development &amp; presentation; Recognition &amp; diagnosis; Family &amp; education; Social &amp; structural; Life outcomes &amp; lived experience</x:v>
      </x:c>
      <x:c r="G2362" s="28" t="str">
        <x:v>Childhood; Adolescence</x:v>
      </x:c>
      <x:c r="H2362" s="28" t="str">
        <x:v>Later specialized</x:v>
      </x:c>
      <x:c r="I2362" s="28" t="str">
        <x:v>Direct or strongly ADHD-related record retained for later screening; typically narrower treatment, biomarker, mechanistic, or single-comorbidity focus.</x:v>
      </x:c>
      <x:c r="J2362" s="38" t="e">
        <x:f>HYPERLINK("https://pubmed.ncbi.nlm.nih.gov/"&amp;C2362&amp;"/","Open PubMed")</x:f>
        <x:v>HYPERLINK is not implemented. linkLocation=https://pubmed.ncbi.nlm.nih.gov/41084139/, friendlyName=Open PubMed</x:v>
      </x:c>
    </x:row>
    <x:row r="2363">
      <x:c r="A2363" s="26" t="str">
        <x:v>PUBMED-41077345</x:v>
      </x:c>
      <x:c r="B2363" s="26" t="n">
        <x:v>2026</x:v>
      </x:c>
      <x:c r="C2363" s="26" t="str">
        <x:v>41077345</x:v>
      </x:c>
      <x:c r="D2363" s="28" t="str">
        <x:v>Editorial: Stimulant-Evoked Neural Trajectories Reveal Distinct Neurobiological Phenotypes for Attention-Deficit/Hyperactivity Disorder Based on Familial Risk.</x:v>
      </x:c>
      <x:c r="E2363" s="28" t="str">
        <x:v>Contextual - editorial/comment</x:v>
      </x:c>
      <x:c r="F2363" s="28" t="str">
        <x:v>Development &amp; presentation; Social &amp; structural; Treatment &amp; support</x:v>
      </x:c>
      <x:c r="G2363" s="28" t="str">
        <x:v>Childhood</x:v>
      </x:c>
      <x:c r="H2363" s="28" t="str">
        <x:v>Later specialized</x:v>
      </x:c>
      <x:c r="I2363" s="28" t="str">
        <x:v>Direct or strongly ADHD-related record retained for later screening; typically narrower treatment, biomarker, mechanistic, or single-comorbidity focus.</x:v>
      </x:c>
      <x:c r="J2363" s="38" t="e">
        <x:f>HYPERLINK("https://pubmed.ncbi.nlm.nih.gov/"&amp;C2363&amp;"/","Open PubMed")</x:f>
        <x:v>HYPERLINK is not implemented. linkLocation=https://pubmed.ncbi.nlm.nih.gov/41077345/, friendlyName=Open PubMed</x:v>
      </x:c>
    </x:row>
    <x:row r="2364">
      <x:c r="A2364" s="26" t="str">
        <x:v>PUBMED-41062061</x:v>
      </x:c>
      <x:c r="B2364" s="26" t="n">
        <x:v>2026</x:v>
      </x:c>
      <x:c r="C2364" s="26" t="str">
        <x:v>41062061</x:v>
      </x:c>
      <x:c r="D2364" s="28" t="str">
        <x:v>Systematic Review and Meta-Analysis: Acetaminophen Use During Pregnancy and the Risk of Neurodevelopmental Disorders in Childhood.</x:v>
      </x:c>
      <x:c r="E2364" s="28" t="str">
        <x:v>Evidence synthesis - meta-analysis</x:v>
      </x:c>
      <x:c r="F2364" s="28" t="str">
        <x:v>Development &amp; presentation; Recognition &amp; diagnosis; Social &amp; structural; Environmental &amp; lifestyle; Treatment &amp; support; Life outcomes &amp; lived experience; Historical &amp; contemporary context</x:v>
      </x:c>
      <x:c r="G2364" s="28" t="str">
        <x:v>Childhood</x:v>
      </x:c>
      <x:c r="H2364" s="28" t="str">
        <x:v>Later specialized</x:v>
      </x:c>
      <x:c r="I2364" s="28" t="str">
        <x:v>Direct or strongly ADHD-related record retained for later screening; typically narrower treatment, biomarker, mechanistic, or single-comorbidity focus.</x:v>
      </x:c>
      <x:c r="J2364" s="38" t="e">
        <x:f>HYPERLINK("https://pubmed.ncbi.nlm.nih.gov/"&amp;C2364&amp;"/","Open PubMed")</x:f>
        <x:v>HYPERLINK is not implemented. linkLocation=https://pubmed.ncbi.nlm.nih.gov/41062061/, friendlyName=Open PubMed</x:v>
      </x:c>
    </x:row>
    <x:row r="2365">
      <x:c r="A2365" s="26" t="str">
        <x:v>PUBMED-41058112</x:v>
      </x:c>
      <x:c r="B2365" s="26" t="n">
        <x:v>2026</x:v>
      </x:c>
      <x:c r="C2365" s="26" t="str">
        <x:v>41058112</x:v>
      </x:c>
      <x:c r="D2365" s="28" t="str">
        <x:v>Molecular Profiling of Genes Associated With Methylphenidate Pathway Therapy and Discovery of New Variants in Amazonian Amerindian Populations.</x:v>
      </x:c>
      <x:c r="E2365" s="28" t="str">
        <x:v>Primary/contextual journal article</x:v>
      </x:c>
      <x:c r="F2365" s="28" t="str">
        <x:v>Development &amp; presentation; Social &amp; structural; Treatment &amp; support</x:v>
      </x:c>
      <x:c r="G2365" s="28" t="str">
        <x:v>Adulthood</x:v>
      </x:c>
      <x:c r="H2365" s="28" t="str">
        <x:v>Later specialized</x:v>
      </x:c>
      <x:c r="I2365" s="28" t="str">
        <x:v>Direct or strongly ADHD-related record retained for later screening; typically narrower treatment, biomarker, mechanistic, or single-comorbidity focus.</x:v>
      </x:c>
      <x:c r="J2365" s="38" t="e">
        <x:f>HYPERLINK("https://pubmed.ncbi.nlm.nih.gov/"&amp;C2365&amp;"/","Open PubMed")</x:f>
        <x:v>HYPERLINK is not implemented. linkLocation=https://pubmed.ncbi.nlm.nih.gov/41058112/, friendlyName=Open PubMed</x:v>
      </x:c>
    </x:row>
    <x:row r="2366">
      <x:c r="A2366" s="26" t="str">
        <x:v>PUBMED-41037545</x:v>
      </x:c>
      <x:c r="B2366" s="26" t="n">
        <x:v>2026</x:v>
      </x:c>
      <x:c r="C2366" s="26" t="str">
        <x:v>41037545</x:v>
      </x:c>
      <x:c r="D2366" s="28" t="str">
        <x:v>Multilevel Correlation-Aware and Modal-Aware Graph Convolutional Network for Diagnosing Neurodevelopmental Disorders.</x:v>
      </x:c>
      <x:c r="E2366" s="28" t="str">
        <x:v>Primary/contextual journal article</x:v>
      </x:c>
      <x:c r="F2366" s="28" t="str">
        <x:v>Development &amp; presentation; Recognition &amp; diagnosis; Social &amp; structural; Life outcomes &amp; lived experience</x:v>
      </x:c>
      <x:c r="G2366" s="28" t="str">
        <x:v>Childhood</x:v>
      </x:c>
      <x:c r="H2366" s="28" t="str">
        <x:v>Later specialized</x:v>
      </x:c>
      <x:c r="I2366" s="28" t="str">
        <x:v>Direct or strongly ADHD-related record retained for later screening; typically narrower treatment, biomarker, mechanistic, or single-comorbidity focus.</x:v>
      </x:c>
      <x:c r="J2366" s="38" t="e">
        <x:f>HYPERLINK("https://pubmed.ncbi.nlm.nih.gov/"&amp;C2366&amp;"/","Open PubMed")</x:f>
        <x:v>HYPERLINK is not implemented. linkLocation=https://pubmed.ncbi.nlm.nih.gov/41037545/, friendlyName=Open PubMed</x:v>
      </x:c>
    </x:row>
    <x:row r="2367">
      <x:c r="A2367" s="26" t="str">
        <x:v>PUBMED-41034183</x:v>
      </x:c>
      <x:c r="B2367" s="26" t="n">
        <x:v>2026</x:v>
      </x:c>
      <x:c r="C2367" s="26" t="str">
        <x:v>41034183</x:v>
      </x:c>
      <x:c r="D2367" s="28" t="str">
        <x:v>Pregnancy Outcomes in Women Diagnosed With Attention-Deficit/Hyperactivity Disorder: A Population-Based Register Study.</x:v>
      </x:c>
      <x:c r="E2367" s="28" t="str">
        <x:v>Primary/contextual journal article</x:v>
      </x:c>
      <x:c r="F2367" s="28" t="str">
        <x:v>Development &amp; presentation; Recognition &amp; diagnosis; Family &amp; education; Social &amp; structural; Environmental &amp; lifestyle; Life outcomes &amp; lived experience</x:v>
      </x:c>
      <x:c r="G2367" s="28" t="str">
        <x:v>Adulthood</x:v>
      </x:c>
      <x:c r="H2367" s="28" t="str">
        <x:v>Later specialized</x:v>
      </x:c>
      <x:c r="I2367" s="28" t="str">
        <x:v>Direct or strongly ADHD-related record retained for later screening; typically narrower treatment, biomarker, mechanistic, or single-comorbidity focus.</x:v>
      </x:c>
      <x:c r="J2367" s="38" t="e">
        <x:f>HYPERLINK("https://pubmed.ncbi.nlm.nih.gov/"&amp;C2367&amp;"/","Open PubMed")</x:f>
        <x:v>HYPERLINK is not implemented. linkLocation=https://pubmed.ncbi.nlm.nih.gov/41034183/, friendlyName=Open PubMed</x:v>
      </x:c>
    </x:row>
    <x:row r="2368">
      <x:c r="A2368" s="26" t="str">
        <x:v>PUBMED-41026829</x:v>
      </x:c>
      <x:c r="B2368" s="26" t="n">
        <x:v>2026</x:v>
      </x:c>
      <x:c r="C2368" s="26" t="str">
        <x:v>41026829</x:v>
      </x:c>
      <x:c r="D2368" s="28" t="str">
        <x:v>Age-Specific Auditory Event-Related Potential Abnormalities in Children with Attention Deficit Hyperactivity Disorder: A Cross-Sectional Study.</x:v>
      </x:c>
      <x:c r="E2368" s="28" t="str">
        <x:v>Primary study - cross-sectional</x:v>
      </x:c>
      <x:c r="F2368" s="28" t="str">
        <x:v>Development &amp; presentation; Recognition &amp; diagnosis; Family &amp; education; Social &amp; structural; Treatment &amp; support</x:v>
      </x:c>
      <x:c r="G2368" s="28" t="str">
        <x:v>Childhood; Adolescence</x:v>
      </x:c>
      <x:c r="H2368" s="28" t="str">
        <x:v>Later specialized</x:v>
      </x:c>
      <x:c r="I2368" s="28" t="str">
        <x:v>Direct or strongly ADHD-related record retained for later screening; typically narrower treatment, biomarker, mechanistic, or single-comorbidity focus.</x:v>
      </x:c>
      <x:c r="J2368" s="38" t="e">
        <x:f>HYPERLINK("https://pubmed.ncbi.nlm.nih.gov/"&amp;C2368&amp;"/","Open PubMed")</x:f>
        <x:v>HYPERLINK is not implemented. linkLocation=https://pubmed.ncbi.nlm.nih.gov/41026829/, friendlyName=Open PubMed</x:v>
      </x:c>
    </x:row>
    <x:row r="2369">
      <x:c r="A2369" s="26" t="str">
        <x:v>PUBMED-41021009</x:v>
      </x:c>
      <x:c r="B2369" s="26" t="n">
        <x:v>2026</x:v>
      </x:c>
      <x:c r="C2369" s="26" t="str">
        <x:v>41021009</x:v>
      </x:c>
      <x:c r="D2369" s="28" t="str">
        <x:v>Association between maternal thyroid dysfunction and neurodevelopmental disorders in offspring: a population-based cohort study.</x:v>
      </x:c>
      <x:c r="E2369" s="28" t="str">
        <x:v>Primary study - cohort</x:v>
      </x:c>
      <x:c r="F2369" s="28" t="str">
        <x:v>Development &amp; presentation; Recognition &amp; diagnosis; Family &amp; education; Social &amp; structural; Environmental &amp; lifestyle; Treatment &amp; support</x:v>
      </x:c>
      <x:c r="G2369" s="28" t="str">
        <x:v>Childhood; Adulthood</x:v>
      </x:c>
      <x:c r="H2369" s="28" t="str">
        <x:v>Later specialized</x:v>
      </x:c>
      <x:c r="I2369" s="28" t="str">
        <x:v>Direct or strongly ADHD-related record retained for later screening; typically narrower treatment, biomarker, mechanistic, or single-comorbidity focus.</x:v>
      </x:c>
      <x:c r="J2369" s="38" t="e">
        <x:f>HYPERLINK("https://pubmed.ncbi.nlm.nih.gov/"&amp;C2369&amp;"/","Open PubMed")</x:f>
        <x:v>HYPERLINK is not implemented. linkLocation=https://pubmed.ncbi.nlm.nih.gov/41021009/, friendlyName=Open PubMed</x:v>
      </x:c>
    </x:row>
    <x:row r="2370">
      <x:c r="A2370" s="26" t="str">
        <x:v>PUBMED-41020369</x:v>
      </x:c>
      <x:c r="B2370" s="26" t="n">
        <x:v>2026</x:v>
      </x:c>
      <x:c r="C2370" s="26" t="str">
        <x:v>41020369</x:v>
      </x:c>
      <x:c r="D2370" s="28" t="str">
        <x:v>Childhood Trauma and Emotional Dysregulation as Risk Factors for Suicidal Ideation in Adults With ADHD: A Case-Control Study.</x:v>
      </x:c>
      <x:c r="E2370" s="28" t="str">
        <x:v>Primary study - case-control</x:v>
      </x:c>
      <x:c r="F2370" s="28" t="str">
        <x:v>Development &amp; presentation; Recognition &amp; diagnosis; Social &amp; structural; Treatment &amp; support</x:v>
      </x:c>
      <x:c r="G2370" s="28" t="str">
        <x:v>Childhood; Adulthood</x:v>
      </x:c>
      <x:c r="H2370" s="28" t="str">
        <x:v>Later specialized</x:v>
      </x:c>
      <x:c r="I2370" s="28" t="str">
        <x:v>Direct or strongly ADHD-related record retained for later screening; typically narrower treatment, biomarker, mechanistic, or single-comorbidity focus.</x:v>
      </x:c>
      <x:c r="J2370" s="38" t="e">
        <x:f>HYPERLINK("https://pubmed.ncbi.nlm.nih.gov/"&amp;C2370&amp;"/","Open PubMed")</x:f>
        <x:v>HYPERLINK is not implemented. linkLocation=https://pubmed.ncbi.nlm.nih.gov/41020369/, friendlyName=Open PubMed</x:v>
      </x:c>
    </x:row>
    <x:row r="2371">
      <x:c r="A2371" s="26" t="str">
        <x:v>PUBMED-40986036</x:v>
      </x:c>
      <x:c r="B2371" s="26" t="n">
        <x:v>2026</x:v>
      </x:c>
      <x:c r="C2371" s="26" t="str">
        <x:v>40986036</x:v>
      </x:c>
      <x:c r="D2371" s="28" t="str">
        <x:v>Mediating roles of attention-deficit/hyperactivity disorder symptom severity and self-control on the relationship between adverse childhood experiences and adult aggression.</x:v>
      </x:c>
      <x:c r="E2371" s="28" t="str">
        <x:v>Primary/contextual journal article</x:v>
      </x:c>
      <x:c r="F2371" s="28" t="str">
        <x:v>Development &amp; presentation; Recognition &amp; diagnosis; Social &amp; structural; Treatment &amp; support; Life outcomes &amp; lived experience</x:v>
      </x:c>
      <x:c r="G2371" s="28" t="str">
        <x:v>Childhood; Adolescence; Adulthood</x:v>
      </x:c>
      <x:c r="H2371" s="28" t="str">
        <x:v>Later specialized</x:v>
      </x:c>
      <x:c r="I2371" s="28" t="str">
        <x:v>Direct or strongly ADHD-related record retained for later screening; typically narrower treatment, biomarker, mechanistic, or single-comorbidity focus.</x:v>
      </x:c>
      <x:c r="J2371" s="38" t="e">
        <x:f>HYPERLINK("https://pubmed.ncbi.nlm.nih.gov/"&amp;C2371&amp;"/","Open PubMed")</x:f>
        <x:v>HYPERLINK is not implemented. linkLocation=https://pubmed.ncbi.nlm.nih.gov/40986036/, friendlyName=Open PubMed</x:v>
      </x:c>
    </x:row>
    <x:row r="2372">
      <x:c r="A2372" s="26" t="str">
        <x:v>PUBMED-40983149</x:v>
      </x:c>
      <x:c r="B2372" s="26" t="n">
        <x:v>2026</x:v>
      </x:c>
      <x:c r="C2372" s="26" t="str">
        <x:v>40983149</x:v>
      </x:c>
      <x:c r="D2372" s="28" t="str">
        <x:v>Sulcal Depth and Genetic Susceptibility Influence Initial Treatment Response in Adults With Attention-Deficit/Hyperactivity Disorder.</x:v>
      </x:c>
      <x:c r="E2372" s="28" t="str">
        <x:v>Primary/contextual journal article</x:v>
      </x:c>
      <x:c r="F2372" s="28" t="str">
        <x:v>Development &amp; presentation; Recognition &amp; diagnosis; Social &amp; structural; Treatment &amp; support; Life outcomes &amp; lived experience</x:v>
      </x:c>
      <x:c r="G2372" s="28" t="str">
        <x:v>Adulthood</x:v>
      </x:c>
      <x:c r="H2372" s="28" t="str">
        <x:v>Later specialized</x:v>
      </x:c>
      <x:c r="I2372" s="28" t="str">
        <x:v>Direct or strongly ADHD-related record retained for later screening; typically narrower treatment, biomarker, mechanistic, or single-comorbidity focus.</x:v>
      </x:c>
      <x:c r="J2372" s="38" t="e">
        <x:f>HYPERLINK("https://pubmed.ncbi.nlm.nih.gov/"&amp;C2372&amp;"/","Open PubMed")</x:f>
        <x:v>HYPERLINK is not implemented. linkLocation=https://pubmed.ncbi.nlm.nih.gov/40983149/, friendlyName=Open PubMed</x:v>
      </x:c>
    </x:row>
    <x:row r="2373">
      <x:c r="A2373" s="26" t="str">
        <x:v>PUBMED-40977579</x:v>
      </x:c>
      <x:c r="B2373" s="26" t="n">
        <x:v>2026</x:v>
      </x:c>
      <x:c r="C2373" s="26" t="str">
        <x:v>40977579</x:v>
      </x:c>
      <x:c r="D2373" s="28" t="str">
        <x:v>Adolescent eating behaviours: associations with autistic and ADHD traits in childhood and the mediating role of anxiety.</x:v>
      </x:c>
      <x:c r="E2373" s="28" t="str">
        <x:v>Primary study - cohort</x:v>
      </x:c>
      <x:c r="F2373" s="28" t="str">
        <x:v>Development &amp; presentation; Family &amp; education; Social &amp; structural; Environmental &amp; lifestyle</x:v>
      </x:c>
      <x:c r="G2373" s="28" t="str">
        <x:v>Childhood; Adolescence</x:v>
      </x:c>
      <x:c r="H2373" s="28" t="str">
        <x:v>Later specialized</x:v>
      </x:c>
      <x:c r="I2373" s="28" t="str">
        <x:v>Direct or strongly ADHD-related record retained for later screening; typically narrower treatment, biomarker, mechanistic, or single-comorbidity focus.</x:v>
      </x:c>
      <x:c r="J2373" s="38" t="e">
        <x:f>HYPERLINK("https://pubmed.ncbi.nlm.nih.gov/"&amp;C2373&amp;"/","Open PubMed")</x:f>
        <x:v>HYPERLINK is not implemented. linkLocation=https://pubmed.ncbi.nlm.nih.gov/40977579/, friendlyName=Open PubMed</x:v>
      </x:c>
    </x:row>
    <x:row r="2374">
      <x:c r="A2374" s="26" t="str">
        <x:v>PUBMED-40975435</x:v>
      </x:c>
      <x:c r="B2374" s="26" t="n">
        <x:v>2026</x:v>
      </x:c>
      <x:c r="C2374" s="26" t="str">
        <x:v>40975435</x:v>
      </x:c>
      <x:c r="D2374" s="28" t="str">
        <x:v>Individual Participant Data Meta-Analysis: Moderators of Response to Stimulants for Preschool Attention-Deficit/Hyperactivity Disorder.</x:v>
      </x:c>
      <x:c r="E2374" s="28" t="str">
        <x:v>Evidence synthesis - meta-analysis</x:v>
      </x:c>
      <x:c r="F2374" s="28" t="str">
        <x:v>Development &amp; presentation; Family &amp; education; Social &amp; structural; Treatment &amp; support</x:v>
      </x:c>
      <x:c r="G2374" s="28" t="str">
        <x:v>Childhood</x:v>
      </x:c>
      <x:c r="H2374" s="28" t="str">
        <x:v>Batch 1 core</x:v>
      </x:c>
      <x:c r="I2374" s="28" t="str">
        <x:v>Direct ADHD evidence synthesis/guideline with broad multi-topic relevance.</x:v>
      </x:c>
      <x:c r="J2374" s="38" t="e">
        <x:f>HYPERLINK("https://pubmed.ncbi.nlm.nih.gov/"&amp;C2374&amp;"/","Open PubMed")</x:f>
        <x:v>HYPERLINK is not implemented. linkLocation=https://pubmed.ncbi.nlm.nih.gov/40975435/, friendlyName=Open PubMed</x:v>
      </x:c>
    </x:row>
    <x:row r="2375">
      <x:c r="A2375" s="26" t="str">
        <x:v>PUBMED-40965092</x:v>
      </x:c>
      <x:c r="B2375" s="26" t="n">
        <x:v>2026</x:v>
      </x:c>
      <x:c r="C2375" s="26" t="str">
        <x:v>40965092</x:v>
      </x:c>
      <x:c r="D2375" s="28" t="str">
        <x:v>A Trans-Diagnostic Investigation of Attention and Diverse Phenotypes of "Auditory Hyperreactivity" in Autism, ADHD, and the General Population.</x:v>
      </x:c>
      <x:c r="E2375" s="28" t="str">
        <x:v>Primary/contextual journal article</x:v>
      </x:c>
      <x:c r="F2375" s="28" t="str">
        <x:v>Development &amp; presentation; Recognition &amp; diagnosis; Social &amp; structural; Environmental &amp; lifestyle; Life outcomes &amp; lived experience</x:v>
      </x:c>
      <x:c r="G2375" s="28" t="str">
        <x:v>Adolescence; Adulthood</x:v>
      </x:c>
      <x:c r="H2375" s="28" t="str">
        <x:v>Later specialized</x:v>
      </x:c>
      <x:c r="I2375" s="28" t="str">
        <x:v>Direct or strongly ADHD-related record retained for later screening; typically narrower treatment, biomarker, mechanistic, or single-comorbidity focus.</x:v>
      </x:c>
      <x:c r="J2375" s="38" t="e">
        <x:f>HYPERLINK("https://pubmed.ncbi.nlm.nih.gov/"&amp;C2375&amp;"/","Open PubMed")</x:f>
        <x:v>HYPERLINK is not implemented. linkLocation=https://pubmed.ncbi.nlm.nih.gov/40965092/, friendlyName=Open PubMed</x:v>
      </x:c>
    </x:row>
    <x:row r="2376">
      <x:c r="A2376" s="26" t="str">
        <x:v>PUBMED-40962063</x:v>
      </x:c>
      <x:c r="B2376" s="26" t="n">
        <x:v>2026</x:v>
      </x:c>
      <x:c r="C2376" s="26" t="str">
        <x:v>40962063</x:v>
      </x:c>
      <x:c r="D2376" s="28" t="str">
        <x:v>Alterations in gray matter volume and cortical thickness in medication-naive offspring with ADHD and a parental history of bipolar disorder.</x:v>
      </x:c>
      <x:c r="E2376" s="28" t="str">
        <x:v>Primary study - cohort</x:v>
      </x:c>
      <x:c r="F2376" s="28" t="str">
        <x:v>Development &amp; presentation; Recognition &amp; diagnosis; Family &amp; education; Social &amp; structural; Treatment &amp; support; Historical &amp; contemporary context</x:v>
      </x:c>
      <x:c r="G2376" s="28" t="str">
        <x:v>Childhood; Adolescence</x:v>
      </x:c>
      <x:c r="H2376" s="28" t="str">
        <x:v>Batch 1 core</x:v>
      </x:c>
      <x:c r="I2376" s="28" t="str">
        <x:v>Direct ADHD primary study on diagnosis, family/education, structural conditions, lived experience/outcomes, or environment/lifestyle.</x:v>
      </x:c>
      <x:c r="J2376" s="38" t="e">
        <x:f>HYPERLINK("https://pubmed.ncbi.nlm.nih.gov/"&amp;C2376&amp;"/","Open PubMed")</x:f>
        <x:v>HYPERLINK is not implemented. linkLocation=https://pubmed.ncbi.nlm.nih.gov/40962063/, friendlyName=Open PubMed</x:v>
      </x:c>
    </x:row>
    <x:row r="2377">
      <x:c r="A2377" s="26" t="str">
        <x:v>PUBMED-40960296</x:v>
      </x:c>
      <x:c r="B2377" s="26" t="n">
        <x:v>2026</x:v>
      </x:c>
      <x:c r="C2377" s="26" t="str">
        <x:v>40960296</x:v>
      </x:c>
      <x:c r="D2377" s="28" t="str">
        <x:v>Sleep Variability and Negative Alcohol-Related Consequences in College Students: Dynamic Associations With ADHD.</x:v>
      </x:c>
      <x:c r="E2377" s="28" t="str">
        <x:v>Primary/contextual journal article</x:v>
      </x:c>
      <x:c r="F2377" s="28" t="str">
        <x:v>Development &amp; presentation; Environmental &amp; lifestyle</x:v>
      </x:c>
      <x:c r="G2377" s="28" t="str">
        <x:v>Adolescence; Adulthood</x:v>
      </x:c>
      <x:c r="H2377" s="28" t="str">
        <x:v>Later specialized</x:v>
      </x:c>
      <x:c r="I2377" s="28" t="str">
        <x:v>Direct or strongly ADHD-related record retained for later screening; typically narrower treatment, biomarker, mechanistic, or single-comorbidity focus.</x:v>
      </x:c>
      <x:c r="J2377" s="38" t="e">
        <x:f>HYPERLINK("https://pubmed.ncbi.nlm.nih.gov/"&amp;C2377&amp;"/","Open PubMed")</x:f>
        <x:v>HYPERLINK is not implemented. linkLocation=https://pubmed.ncbi.nlm.nih.gov/40960296/, friendlyName=Open PubMed</x:v>
      </x:c>
    </x:row>
    <x:row r="2378">
      <x:c r="A2378" s="26" t="str">
        <x:v>PUBMED-40958437</x:v>
      </x:c>
      <x:c r="B2378" s="26" t="n">
        <x:v>2026</x:v>
      </x:c>
      <x:c r="C2378" s="26" t="str">
        <x:v>40958437</x:v>
      </x:c>
      <x:c r="D2378" s="28" t="str">
        <x:v>Indicators of Impulsivity in Routine Clinical Assessment of Adult ADHD.</x:v>
      </x:c>
      <x:c r="E2378" s="28" t="str">
        <x:v>Primary/contextual journal article</x:v>
      </x:c>
      <x:c r="F2378" s="28" t="str">
        <x:v>Development &amp; presentation; Recognition &amp; diagnosis; Social &amp; structural</x:v>
      </x:c>
      <x:c r="G2378" s="28" t="str">
        <x:v>Adulthood</x:v>
      </x:c>
      <x:c r="H2378" s="28" t="str">
        <x:v>Later specialized</x:v>
      </x:c>
      <x:c r="I2378" s="28" t="str">
        <x:v>Direct or strongly ADHD-related record retained for later screening; typically narrower treatment, biomarker, mechanistic, or single-comorbidity focus.</x:v>
      </x:c>
      <x:c r="J2378" s="38" t="e">
        <x:f>HYPERLINK("https://pubmed.ncbi.nlm.nih.gov/"&amp;C2378&amp;"/","Open PubMed")</x:f>
        <x:v>HYPERLINK is not implemented. linkLocation=https://pubmed.ncbi.nlm.nih.gov/40958437/, friendlyName=Open PubMed</x:v>
      </x:c>
    </x:row>
    <x:row r="2379">
      <x:c r="A2379" s="26" t="str">
        <x:v>PUBMED-40932445</x:v>
      </x:c>
      <x:c r="B2379" s="26" t="n">
        <x:v>2026</x:v>
      </x:c>
      <x:c r="C2379" s="26" t="str">
        <x:v>40932445</x:v>
      </x:c>
      <x:c r="D2379" s="28" t="str">
        <x:v>An Investigation of Attentional Networks, the Locus Coeruleus - Norepinephrine System, and Autism and ADHD Traits.</x:v>
      </x:c>
      <x:c r="E2379" s="28" t="str">
        <x:v>Primary/contextual journal article</x:v>
      </x:c>
      <x:c r="F2379" s="28" t="str">
        <x:v>Development &amp; presentation; Treatment &amp; support; Life outcomes &amp; lived experience</x:v>
      </x:c>
      <x:c r="G2379" s="28" t="str">
        <x:v>Adolescence; Adulthood</x:v>
      </x:c>
      <x:c r="H2379" s="28" t="str">
        <x:v>Later specialized</x:v>
      </x:c>
      <x:c r="I2379" s="28" t="str">
        <x:v>Direct or strongly ADHD-related record retained for later screening; typically narrower treatment, biomarker, mechanistic, or single-comorbidity focus.</x:v>
      </x:c>
      <x:c r="J2379" s="38" t="e">
        <x:f>HYPERLINK("https://pubmed.ncbi.nlm.nih.gov/"&amp;C2379&amp;"/","Open PubMed")</x:f>
        <x:v>HYPERLINK is not implemented. linkLocation=https://pubmed.ncbi.nlm.nih.gov/40932445/, friendlyName=Open PubMed</x:v>
      </x:c>
    </x:row>
    <x:row r="2380">
      <x:c r="A2380" s="26" t="str">
        <x:v>PUBMED-40902822</x:v>
      </x:c>
      <x:c r="B2380" s="26" t="n">
        <x:v>2026</x:v>
      </x:c>
      <x:c r="C2380" s="26" t="str">
        <x:v>40902822</x:v>
      </x:c>
      <x:c r="D2380" s="28" t="str">
        <x:v>Teachers' Reports of Attention-Deficit/Hyperactivity Disorder Medication Changes During Stimulant Shortages: National Survey Results.</x:v>
      </x:c>
      <x:c r="E2380" s="28" t="str">
        <x:v>Other/unclear</x:v>
      </x:c>
      <x:c r="F2380" s="28" t="str">
        <x:v>Development &amp; presentation; Family &amp; education; Social &amp; structural; Treatment &amp; support; Life outcomes &amp; lived experience</x:v>
      </x:c>
      <x:c r="G2380" s="28" t="str">
        <x:v>Childhood</x:v>
      </x:c>
      <x:c r="H2380" s="28" t="str">
        <x:v>Later specialized</x:v>
      </x:c>
      <x:c r="I2380" s="28" t="str">
        <x:v>Direct or strongly ADHD-related record retained for later screening; typically narrower treatment, biomarker, mechanistic, or single-comorbidity focus.</x:v>
      </x:c>
      <x:c r="J2380" s="38" t="e">
        <x:f>HYPERLINK("https://pubmed.ncbi.nlm.nih.gov/"&amp;C2380&amp;"/","Open PubMed")</x:f>
        <x:v>HYPERLINK is not implemented. linkLocation=https://pubmed.ncbi.nlm.nih.gov/40902822/, friendlyName=Open PubMed</x:v>
      </x:c>
    </x:row>
    <x:row r="2381">
      <x:c r="A2381" s="26" t="str">
        <x:v>PUBMED-40892097</x:v>
      </x:c>
      <x:c r="B2381" s="26" t="n">
        <x:v>2026</x:v>
      </x:c>
      <x:c r="C2381" s="26" t="str">
        <x:v>40892097</x:v>
      </x:c>
      <x:c r="D2381" s="28" t="str">
        <x:v>Indirect associations between adolescent ADHD and/or oppositional defiant disorder symptoms and adult incomes: the mediating roles of education and co-occurring psychiatric disorders.</x:v>
      </x:c>
      <x:c r="E2381" s="28" t="str">
        <x:v>Primary study - cohort</x:v>
      </x:c>
      <x:c r="F2381" s="28" t="str">
        <x:v>Development &amp; presentation; Family &amp; education; Social &amp; structural; Environmental &amp; lifestyle; Life outcomes &amp; lived experience</x:v>
      </x:c>
      <x:c r="G2381" s="28" t="str">
        <x:v>Adolescence; Adulthood</x:v>
      </x:c>
      <x:c r="H2381" s="28" t="str">
        <x:v>Batch 1 core</x:v>
      </x:c>
      <x:c r="I2381" s="28" t="str">
        <x:v>Direct ADHD primary study on diagnosis, family/education, structural conditions, lived experience/outcomes, or environment/lifestyle.</x:v>
      </x:c>
      <x:c r="J2381" s="38" t="e">
        <x:f>HYPERLINK("https://pubmed.ncbi.nlm.nih.gov/"&amp;C2381&amp;"/","Open PubMed")</x:f>
        <x:v>HYPERLINK is not implemented. linkLocation=https://pubmed.ncbi.nlm.nih.gov/40892097/, friendlyName=Open PubMed</x:v>
      </x:c>
    </x:row>
    <x:row r="2382">
      <x:c r="A2382" s="26" t="str">
        <x:v>PUBMED-40889145</x:v>
      </x:c>
      <x:c r="B2382" s="26" t="n">
        <x:v>2026</x:v>
      </x:c>
      <x:c r="C2382" s="26" t="str">
        <x:v>40889145</x:v>
      </x:c>
      <x:c r="D2382" s="28" t="str">
        <x:v>Initial diagnosis patterns of coexisting mental health and neurodevelopmental conditions in autistic children and youth: Evidence from a nationally representative sample in Canada.</x:v>
      </x:c>
      <x:c r="E2382" s="28" t="str">
        <x:v>Primary study - cohort</x:v>
      </x:c>
      <x:c r="F2382" s="28" t="str">
        <x:v>Development &amp; presentation; Recognition &amp; diagnosis; Family &amp; education; Social &amp; structural; Environmental &amp; lifestyle</x:v>
      </x:c>
      <x:c r="G2382" s="28" t="str">
        <x:v>Childhood; Adolescence</x:v>
      </x:c>
      <x:c r="H2382" s="28" t="str">
        <x:v>Later specialized</x:v>
      </x:c>
      <x:c r="I2382" s="28" t="str">
        <x:v>Direct or strongly ADHD-related record retained for later screening; typically narrower treatment, biomarker, mechanistic, or single-comorbidity focus.</x:v>
      </x:c>
      <x:c r="J2382" s="38" t="e">
        <x:f>HYPERLINK("https://pubmed.ncbi.nlm.nih.gov/"&amp;C2382&amp;"/","Open PubMed")</x:f>
        <x:v>HYPERLINK is not implemented. linkLocation=https://pubmed.ncbi.nlm.nih.gov/40889145/, friendlyName=Open PubMed</x:v>
      </x:c>
    </x:row>
    <x:row r="2383">
      <x:c r="A2383" s="26" t="str">
        <x:v>PUBMED-40879766</x:v>
      </x:c>
      <x:c r="B2383" s="26" t="n">
        <x:v>2026</x:v>
      </x:c>
      <x:c r="C2383" s="26" t="str">
        <x:v>40879766</x:v>
      </x:c>
      <x:c r="D2383" s="28" t="str">
        <x:v>Change in vital parameters at first methylphenidate administration as a predictor of treatment response at six-month follow-up.</x:v>
      </x:c>
      <x:c r="E2383" s="28" t="str">
        <x:v>Primary/contextual journal article</x:v>
      </x:c>
      <x:c r="F2383" s="28" t="str">
        <x:v>Development &amp; presentation; Recognition &amp; diagnosis; Family &amp; education; Social &amp; structural; Treatment &amp; support; Life outcomes &amp; lived experience</x:v>
      </x:c>
      <x:c r="G2383" s="28" t="str">
        <x:v>Childhood; Adolescence</x:v>
      </x:c>
      <x:c r="H2383" s="28" t="str">
        <x:v>Later specialized</x:v>
      </x:c>
      <x:c r="I2383" s="28" t="str">
        <x:v>Direct or strongly ADHD-related record retained for later screening; typically narrower treatment, biomarker, mechanistic, or single-comorbidity focus.</x:v>
      </x:c>
      <x:c r="J2383" s="38" t="e">
        <x:f>HYPERLINK("https://pubmed.ncbi.nlm.nih.gov/"&amp;C2383&amp;"/","Open PubMed")</x:f>
        <x:v>HYPERLINK is not implemented. linkLocation=https://pubmed.ncbi.nlm.nih.gov/40879766/, friendlyName=Open PubMed</x:v>
      </x:c>
    </x:row>
    <x:row r="2384">
      <x:c r="A2384" s="26" t="str">
        <x:v>PUBMED-40828192</x:v>
      </x:c>
      <x:c r="B2384" s="26" t="n">
        <x:v>2026</x:v>
      </x:c>
      <x:c r="C2384" s="26" t="str">
        <x:v>40828192</x:v>
      </x:c>
      <x:c r="D2384" s="28" t="str">
        <x:v>Microbiome dynamics in attention-deficit hyperactivity disorder: A systematic review and meta-analysis decoding the role of gut dysbiosis and potential dietary interventions.</x:v>
      </x:c>
      <x:c r="E2384" s="28" t="str">
        <x:v>Evidence synthesis - meta-analysis</x:v>
      </x:c>
      <x:c r="F2384" s="28" t="str">
        <x:v>Development &amp; presentation; Social &amp; structural; Environmental &amp; lifestyle; Treatment &amp; support</x:v>
      </x:c>
      <x:c r="G2384" s="28" t="str">
        <x:v>Childhood</x:v>
      </x:c>
      <x:c r="H2384" s="28" t="str">
        <x:v>Batch 1 core</x:v>
      </x:c>
      <x:c r="I2384" s="28" t="str">
        <x:v>Direct ADHD evidence synthesis/guideline with broad multi-topic relevance.</x:v>
      </x:c>
      <x:c r="J2384" s="38" t="e">
        <x:f>HYPERLINK("https://pubmed.ncbi.nlm.nih.gov/"&amp;C2384&amp;"/","Open PubMed")</x:f>
        <x:v>HYPERLINK is not implemented. linkLocation=https://pubmed.ncbi.nlm.nih.gov/40828192/, friendlyName=Open PubMed</x:v>
      </x:c>
    </x:row>
    <x:row r="2385">
      <x:c r="A2385" s="26" t="str">
        <x:v>PUBMED-40775061</x:v>
      </x:c>
      <x:c r="B2385" s="26" t="n">
        <x:v>2026</x:v>
      </x:c>
      <x:c r="C2385" s="26" t="str">
        <x:v>40775061</x:v>
      </x:c>
      <x:c r="D2385" s="28" t="str">
        <x:v>Beyond binary comparisons: a Bayesian dose-response meta-analysis of exercise on executive function in children and adolescents with ADHD.</x:v>
      </x:c>
      <x:c r="E2385" s="28" t="str">
        <x:v>Evidence synthesis - meta-analysis</x:v>
      </x:c>
      <x:c r="F2385" s="28" t="str">
        <x:v>Development &amp; presentation; Social &amp; structural; Environmental &amp; lifestyle; Treatment &amp; support</x:v>
      </x:c>
      <x:c r="G2385" s="28" t="str">
        <x:v>Childhood; Adolescence</x:v>
      </x:c>
      <x:c r="H2385" s="28" t="str">
        <x:v>Batch 1 core</x:v>
      </x:c>
      <x:c r="I2385" s="28" t="str">
        <x:v>Direct ADHD evidence synthesis/guideline with broad multi-topic relevance.</x:v>
      </x:c>
      <x:c r="J2385" s="38" t="e">
        <x:f>HYPERLINK("https://pubmed.ncbi.nlm.nih.gov/"&amp;C2385&amp;"/","Open PubMed")</x:f>
        <x:v>HYPERLINK is not implemented. linkLocation=https://pubmed.ncbi.nlm.nih.gov/40775061/, friendlyName=Open PubMed</x:v>
      </x:c>
    </x:row>
    <x:row r="2386">
      <x:c r="A2386" s="26" t="str">
        <x:v>PUBMED-40768121</x:v>
      </x:c>
      <x:c r="B2386" s="26" t="n">
        <x:v>2026</x:v>
      </x:c>
      <x:c r="C2386" s="26" t="str">
        <x:v>40768121</x:v>
      </x:c>
      <x:c r="D2386" s="28" t="str">
        <x:v>Childhood white matter morphology and longitudinal change in symptoms of attention-deficit/hyperactivity disorder.</x:v>
      </x:c>
      <x:c r="E2386" s="28" t="str">
        <x:v>Primary/contextual journal article</x:v>
      </x:c>
      <x:c r="F2386" s="28" t="str">
        <x:v>Development &amp; presentation; Recognition &amp; diagnosis; Family &amp; education; Social &amp; structural</x:v>
      </x:c>
      <x:c r="G2386" s="28" t="str">
        <x:v>Childhood; Adolescence</x:v>
      </x:c>
      <x:c r="H2386" s="28" t="str">
        <x:v>Later specialized</x:v>
      </x:c>
      <x:c r="I2386" s="28" t="str">
        <x:v>Direct or strongly ADHD-related record retained for later screening; typically narrower treatment, biomarker, mechanistic, or single-comorbidity focus.</x:v>
      </x:c>
      <x:c r="J2386" s="38" t="e">
        <x:f>HYPERLINK("https://pubmed.ncbi.nlm.nih.gov/"&amp;C2386&amp;"/","Open PubMed")</x:f>
        <x:v>HYPERLINK is not implemented. linkLocation=https://pubmed.ncbi.nlm.nih.gov/40768121/, friendlyName=Open PubMed</x:v>
      </x:c>
    </x:row>
    <x:row r="2387">
      <x:c r="A2387" s="26" t="str">
        <x:v>PUBMED-40759587</x:v>
      </x:c>
      <x:c r="B2387" s="26" t="n">
        <x:v>2026</x:v>
      </x:c>
      <x:c r="C2387" s="26" t="str">
        <x:v>40759587</x:v>
      </x:c>
      <x:c r="D2387" s="28" t="str">
        <x:v>Impaired sensory-motor integration in children with attention-deficit/hyperactivity disorder during visual search.</x:v>
      </x:c>
      <x:c r="E2387" s="28" t="str">
        <x:v>Primary/contextual journal article</x:v>
      </x:c>
      <x:c r="F2387" s="28" t="str">
        <x:v>Development &amp; presentation; Recognition &amp; diagnosis; Family &amp; education; Social &amp; structural; Treatment &amp; support</x:v>
      </x:c>
      <x:c r="G2387" s="28" t="str">
        <x:v>Childhood</x:v>
      </x:c>
      <x:c r="H2387" s="28" t="str">
        <x:v>Later specialized</x:v>
      </x:c>
      <x:c r="I2387" s="28" t="str">
        <x:v>Direct or strongly ADHD-related record retained for later screening; typically narrower treatment, biomarker, mechanistic, or single-comorbidity focus.</x:v>
      </x:c>
      <x:c r="J2387" s="38" t="e">
        <x:f>HYPERLINK("https://pubmed.ncbi.nlm.nih.gov/"&amp;C2387&amp;"/","Open PubMed")</x:f>
        <x:v>HYPERLINK is not implemented. linkLocation=https://pubmed.ncbi.nlm.nih.gov/40759587/, friendlyName=Open PubMed</x:v>
      </x:c>
    </x:row>
    <x:row r="2388">
      <x:c r="A2388" s="26" t="str">
        <x:v>PUBMED-40736536</x:v>
      </x:c>
      <x:c r="B2388" s="26" t="n">
        <x:v>2026</x:v>
      </x:c>
      <x:c r="C2388" s="26" t="str">
        <x:v>40736536</x:v>
      </x:c>
      <x:c r="D2388" s="28" t="str">
        <x:v>Bidirectional relationships of irritability with ADHD, depression, GAD, and PTSD in three independent samples of Chinese children and adolescents.</x:v>
      </x:c>
      <x:c r="E2388" s="28" t="str">
        <x:v>Primary/contextual journal article</x:v>
      </x:c>
      <x:c r="F2388" s="28" t="str">
        <x:v>Development &amp; presentation; Recognition &amp; diagnosis; Environmental &amp; lifestyle; Treatment &amp; support; Life outcomes &amp; lived experience</x:v>
      </x:c>
      <x:c r="G2388" s="28" t="str">
        <x:v>Childhood; Adolescence</x:v>
      </x:c>
      <x:c r="H2388" s="28" t="str">
        <x:v>Later specialized</x:v>
      </x:c>
      <x:c r="I2388" s="28" t="str">
        <x:v>Direct or strongly ADHD-related record retained for later screening; typically narrower treatment, biomarker, mechanistic, or single-comorbidity focus.</x:v>
      </x:c>
      <x:c r="J2388" s="38" t="e">
        <x:f>HYPERLINK("https://pubmed.ncbi.nlm.nih.gov/"&amp;C2388&amp;"/","Open PubMed")</x:f>
        <x:v>HYPERLINK is not implemented. linkLocation=https://pubmed.ncbi.nlm.nih.gov/40736536/, friendlyName=Open PubMed</x:v>
      </x:c>
    </x:row>
    <x:row r="2389">
      <x:c r="A2389" s="26" t="str">
        <x:v>PUBMED-40708347</x:v>
      </x:c>
      <x:c r="B2389" s="26" t="n">
        <x:v>2026</x:v>
      </x:c>
      <x:c r="C2389" s="26" t="str">
        <x:v>40708347</x:v>
      </x:c>
      <x:c r="D2389" s="28" t="str">
        <x:v>Sensory Dysregulation Is Associated With Worse Symptom Severities in Youth With Tic Disorder.</x:v>
      </x:c>
      <x:c r="E2389" s="28" t="str">
        <x:v>Primary/contextual journal article</x:v>
      </x:c>
      <x:c r="F2389" s="28" t="str">
        <x:v>Development &amp; presentation; Recognition &amp; diagnosis; Family &amp; education; Social &amp; structural; Life outcomes &amp; lived experience</x:v>
      </x:c>
      <x:c r="G2389" s="28" t="str">
        <x:v>Childhood; Adolescence; Adulthood</x:v>
      </x:c>
      <x:c r="H2389" s="28" t="str">
        <x:v>Later specialized</x:v>
      </x:c>
      <x:c r="I2389" s="28" t="str">
        <x:v>Direct or strongly ADHD-related record retained for later screening; typically narrower treatment, biomarker, mechanistic, or single-comorbidity focus.</x:v>
      </x:c>
      <x:c r="J2389" s="38" t="e">
        <x:f>HYPERLINK("https://pubmed.ncbi.nlm.nih.gov/"&amp;C2389&amp;"/","Open PubMed")</x:f>
        <x:v>HYPERLINK is not implemented. linkLocation=https://pubmed.ncbi.nlm.nih.gov/40708347/, friendlyName=Open PubMed</x:v>
      </x:c>
    </x:row>
    <x:row r="2390">
      <x:c r="A2390" s="26" t="str">
        <x:v>PUBMED-40701403</x:v>
      </x:c>
      <x:c r="B2390" s="26" t="n">
        <x:v>2026</x:v>
      </x:c>
      <x:c r="C2390" s="26" t="str">
        <x:v>40701403</x:v>
      </x:c>
      <x:c r="D2390" s="28" t="str">
        <x:v>Noninvasive Brain Stimulation in Attention-Deficit/Hyperactivity Disorder: A Systematic Review and Meta-Analysis of Treatment Efficacy and Targeting Strategies.</x:v>
      </x:c>
      <x:c r="E2390" s="28" t="str">
        <x:v>Evidence synthesis - meta-analysis</x:v>
      </x:c>
      <x:c r="F2390" s="28" t="str">
        <x:v>Development &amp; presentation; Social &amp; structural; Treatment &amp; support; Life outcomes &amp; lived experience; Historical &amp; contemporary context</x:v>
      </x:c>
      <x:c r="G2390" s="28" t="str">
        <x:v>Childhood</x:v>
      </x:c>
      <x:c r="H2390" s="28" t="str">
        <x:v>Batch 1 core</x:v>
      </x:c>
      <x:c r="I2390" s="28" t="str">
        <x:v>Direct ADHD evidence synthesis/guideline with broad multi-topic relevance.</x:v>
      </x:c>
      <x:c r="J2390" s="38" t="e">
        <x:f>HYPERLINK("https://pubmed.ncbi.nlm.nih.gov/"&amp;C2390&amp;"/","Open PubMed")</x:f>
        <x:v>HYPERLINK is not implemented. linkLocation=https://pubmed.ncbi.nlm.nih.gov/40701403/, friendlyName=Open PubMed</x:v>
      </x:c>
    </x:row>
    <x:row r="2391">
      <x:c r="A2391" s="26" t="str">
        <x:v>PUBMED-40700722</x:v>
      </x:c>
      <x:c r="B2391" s="26" t="n">
        <x:v>2026</x:v>
      </x:c>
      <x:c r="C2391" s="26" t="str">
        <x:v>40700722</x:v>
      </x:c>
      <x:c r="D2391" s="28" t="str">
        <x:v>Brief Report: Stability of ADHD Symptoms in Early Childhood.</x:v>
      </x:c>
      <x:c r="E2391" s="28" t="str">
        <x:v>Primary/contextual journal article</x:v>
      </x:c>
      <x:c r="F2391" s="28" t="str">
        <x:v>Development &amp; presentation; Recognition &amp; diagnosis; Family &amp; education; Social &amp; structural; Treatment &amp; support; Life outcomes &amp; lived experience; Historical &amp; contemporary context</x:v>
      </x:c>
      <x:c r="G2391" s="28" t="str">
        <x:v>Childhood</x:v>
      </x:c>
      <x:c r="H2391" s="28" t="str">
        <x:v>Later specialized</x:v>
      </x:c>
      <x:c r="I2391" s="28" t="str">
        <x:v>Direct or strongly ADHD-related record retained for later screening; typically narrower treatment, biomarker, mechanistic, or single-comorbidity focus.</x:v>
      </x:c>
      <x:c r="J2391" s="38" t="e">
        <x:f>HYPERLINK("https://pubmed.ncbi.nlm.nih.gov/"&amp;C2391&amp;"/","Open PubMed")</x:f>
        <x:v>HYPERLINK is not implemented. linkLocation=https://pubmed.ncbi.nlm.nih.gov/40700722/, friendlyName=Open PubMed</x:v>
      </x:c>
    </x:row>
    <x:row r="2392">
      <x:c r="A2392" s="26" t="str">
        <x:v>PUBMED-40681730</x:v>
      </x:c>
      <x:c r="B2392" s="26" t="n">
        <x:v>2026</x:v>
      </x:c>
      <x:c r="C2392" s="26" t="str">
        <x:v>40681730</x:v>
      </x:c>
      <x:c r="D2392" s="28" t="str">
        <x:v>Mental health problems in children and young people in Dutch general practice: trends in incidence and consultation rates from 2016 to 2022.</x:v>
      </x:c>
      <x:c r="E2392" s="28" t="str">
        <x:v>Primary/contextual journal article</x:v>
      </x:c>
      <x:c r="F2392" s="28" t="str">
        <x:v>Development &amp; presentation; Recognition &amp; diagnosis; Family &amp; education; Social &amp; structural</x:v>
      </x:c>
      <x:c r="G2392" s="28" t="str">
        <x:v>Childhood; Adolescence; Adulthood</x:v>
      </x:c>
      <x:c r="H2392" s="28" t="str">
        <x:v>Exclude/incidental</x:v>
      </x:c>
      <x:c r="I2392" s="28" t="str">
        <x:v>ADHD appears peripheral or insufficiently aligned with the requested corpus scope based on accessible metadata/abstract.</x:v>
      </x:c>
      <x:c r="J2392" s="38" t="e">
        <x:f>HYPERLINK("https://pubmed.ncbi.nlm.nih.gov/"&amp;C2392&amp;"/","Open PubMed")</x:f>
        <x:v>HYPERLINK is not implemented. linkLocation=https://pubmed.ncbi.nlm.nih.gov/40681730/, friendlyName=Open PubMed</x:v>
      </x:c>
    </x:row>
    <x:row r="2393">
      <x:c r="A2393" s="26" t="str">
        <x:v>PUBMED-40671178</x:v>
      </x:c>
      <x:c r="B2393" s="26" t="n">
        <x:v>2026</x:v>
      </x:c>
      <x:c r="C2393" s="26" t="str">
        <x:v>40671178</x:v>
      </x:c>
      <x:c r="D2393" s="28" t="str">
        <x:v>Incidence of developmental disorders and special educational needs and disabilities in children in the UK.</x:v>
      </x:c>
      <x:c r="E2393" s="28" t="str">
        <x:v>Primary study - cohort</x:v>
      </x:c>
      <x:c r="F2393" s="28" t="str">
        <x:v>Development &amp; presentation; Family &amp; education; Social &amp; structural; Environmental &amp; lifestyle</x:v>
      </x:c>
      <x:c r="G2393" s="28" t="str">
        <x:v>Childhood</x:v>
      </x:c>
      <x:c r="H2393" s="28" t="str">
        <x:v>Exclude/incidental</x:v>
      </x:c>
      <x:c r="I2393" s="28" t="str">
        <x:v>ADHD appears peripheral or insufficiently aligned with the requested corpus scope based on accessible metadata/abstract.</x:v>
      </x:c>
      <x:c r="J2393" s="38" t="e">
        <x:f>HYPERLINK("https://pubmed.ncbi.nlm.nih.gov/"&amp;C2393&amp;"/","Open PubMed")</x:f>
        <x:v>HYPERLINK is not implemented. linkLocation=https://pubmed.ncbi.nlm.nih.gov/40671178/, friendlyName=Open PubMed</x:v>
      </x:c>
    </x:row>
    <x:row r="2394">
      <x:c r="A2394" s="26" t="str">
        <x:v>PUBMED-40631962</x:v>
      </x:c>
      <x:c r="B2394" s="26" t="n">
        <x:v>2026</x:v>
      </x:c>
      <x:c r="C2394" s="26" t="str">
        <x:v>40631962</x:v>
      </x:c>
      <x:c r="D2394" s="28" t="str">
        <x:v>Assessment of Attention-Deficit/Hyperactivity Disorder in Young Autistic Children.</x:v>
      </x:c>
      <x:c r="E2394" s="28" t="str">
        <x:v>Primary/contextual journal article</x:v>
      </x:c>
      <x:c r="F2394" s="28" t="str">
        <x:v>Development &amp; presentation; Recognition &amp; diagnosis; Family &amp; education; Social &amp; structural; Treatment &amp; support</x:v>
      </x:c>
      <x:c r="G2394" s="28" t="str">
        <x:v>Childhood</x:v>
      </x:c>
      <x:c r="H2394" s="28" t="str">
        <x:v>Later specialized</x:v>
      </x:c>
      <x:c r="I2394" s="28" t="str">
        <x:v>Direct or strongly ADHD-related record retained for later screening; typically narrower treatment, biomarker, mechanistic, or single-comorbidity focus.</x:v>
      </x:c>
      <x:c r="J2394" s="38" t="e">
        <x:f>HYPERLINK("https://pubmed.ncbi.nlm.nih.gov/"&amp;C2394&amp;"/","Open PubMed")</x:f>
        <x:v>HYPERLINK is not implemented. linkLocation=https://pubmed.ncbi.nlm.nih.gov/40631962/, friendlyName=Open PubMed</x:v>
      </x:c>
    </x:row>
    <x:row r="2395">
      <x:c r="A2395" s="26" t="str">
        <x:v>PUBMED-40566944</x:v>
      </x:c>
      <x:c r="B2395" s="26" t="n">
        <x:v>2026</x:v>
      </x:c>
      <x:c r="C2395" s="26" t="str">
        <x:v>40566944</x:v>
      </x:c>
      <x:c r="D2395" s="28" t="str">
        <x:v>Phenotypic Heterogeneity of 16p11.2 Microdeletion Syndrome: 5 Case Reports.</x:v>
      </x:c>
      <x:c r="E2395" s="28" t="str">
        <x:v>Primary/contextual journal article</x:v>
      </x:c>
      <x:c r="F2395" s="28" t="str">
        <x:v>Development &amp; presentation; Recognition &amp; diagnosis; Family &amp; education; Social &amp; structural; Historical &amp; contemporary context</x:v>
      </x:c>
      <x:c r="G2395" s="28" t="str">
        <x:v>Childhood; Adolescence</x:v>
      </x:c>
      <x:c r="H2395" s="28" t="str">
        <x:v>Later specialized</x:v>
      </x:c>
      <x:c r="I2395" s="28" t="str">
        <x:v>Direct or strongly ADHD-related record retained for later screening; typically narrower treatment, biomarker, mechanistic, or single-comorbidity focus.</x:v>
      </x:c>
      <x:c r="J2395" s="38" t="e">
        <x:f>HYPERLINK("https://pubmed.ncbi.nlm.nih.gov/"&amp;C2395&amp;"/","Open PubMed")</x:f>
        <x:v>HYPERLINK is not implemented. linkLocation=https://pubmed.ncbi.nlm.nih.gov/40566944/, friendlyName=Open PubMed</x:v>
      </x:c>
    </x:row>
    <x:row r="2396">
      <x:c r="A2396" s="26" t="str">
        <x:v>PUBMED-40542666</x:v>
      </x:c>
      <x:c r="B2396" s="26" t="n">
        <x:v>2026</x:v>
      </x:c>
      <x:c r="C2396" s="26" t="str">
        <x:v>40542666</x:v>
      </x:c>
      <x:c r="D2396" s="28" t="str">
        <x:v>Emilio Mira y López's Perspectives on Understanding ADHD.</x:v>
      </x:c>
      <x:c r="E2396" s="28" t="str">
        <x:v>Primary/contextual journal article</x:v>
      </x:c>
      <x:c r="F2396" s="28" t="str">
        <x:v>Development &amp; presentation; Family &amp; education; Social &amp; structural; Treatment &amp; support; Historical &amp; contemporary context</x:v>
      </x:c>
      <x:c r="G2396" s="28" t="str">
        <x:v>Childhood</x:v>
      </x:c>
      <x:c r="H2396" s="28" t="str">
        <x:v>Later specialized</x:v>
      </x:c>
      <x:c r="I2396" s="28" t="str">
        <x:v>Direct or strongly ADHD-related record retained for later screening; typically narrower treatment, biomarker, mechanistic, or single-comorbidity focus.</x:v>
      </x:c>
      <x:c r="J2396" s="38" t="e">
        <x:f>HYPERLINK("https://pubmed.ncbi.nlm.nih.gov/"&amp;C2396&amp;"/","Open PubMed")</x:f>
        <x:v>HYPERLINK is not implemented. linkLocation=https://pubmed.ncbi.nlm.nih.gov/40542666/, friendlyName=Open PubMed</x:v>
      </x:c>
    </x:row>
    <x:row r="2397">
      <x:c r="A2397" s="26" t="str">
        <x:v>PUBMED-40473945</x:v>
      </x:c>
      <x:c r="B2397" s="26" t="n">
        <x:v>2026</x:v>
      </x:c>
      <x:c r="C2397" s="26" t="str">
        <x:v>40473945</x:v>
      </x:c>
      <x:c r="D2397" s="28" t="str">
        <x:v>Longitudinal relationships between ADHD symptoms and internet addiction among Chinese adolescents: a cross-lagged panel network analysis.</x:v>
      </x:c>
      <x:c r="E2397" s="28" t="str">
        <x:v>Primary/contextual journal article</x:v>
      </x:c>
      <x:c r="F2397" s="28" t="str">
        <x:v>Development &amp; presentation; Recognition &amp; diagnosis; Social &amp; structural; Life outcomes &amp; lived experience</x:v>
      </x:c>
      <x:c r="G2397" s="28" t="str">
        <x:v>Adolescence</x:v>
      </x:c>
      <x:c r="H2397" s="28" t="str">
        <x:v>Later specialized</x:v>
      </x:c>
      <x:c r="I2397" s="28" t="str">
        <x:v>Direct or strongly ADHD-related record retained for later screening; typically narrower treatment, biomarker, mechanistic, or single-comorbidity focus.</x:v>
      </x:c>
      <x:c r="J2397" s="38" t="e">
        <x:f>HYPERLINK("https://pubmed.ncbi.nlm.nih.gov/"&amp;C2397&amp;"/","Open PubMed")</x:f>
        <x:v>HYPERLINK is not implemented. linkLocation=https://pubmed.ncbi.nlm.nih.gov/40473945/, friendlyName=Open PubMed</x:v>
      </x:c>
    </x:row>
    <x:row r="2398">
      <x:c r="A2398" s="26" t="str">
        <x:v>PUBMED-40442917</x:v>
      </x:c>
      <x:c r="B2398" s="26" t="n">
        <x:v>2026</x:v>
      </x:c>
      <x:c r="C2398" s="26" t="str">
        <x:v>40442917</x:v>
      </x:c>
      <x:c r="D2398" s="28" t="str">
        <x:v>Early-Life Microbiome and Neurodevelopmental Disorders: A Systematic Review and Meta-Analysis.</x:v>
      </x:c>
      <x:c r="E2398" s="28" t="str">
        <x:v>Evidence synthesis - meta-analysis</x:v>
      </x:c>
      <x:c r="F2398" s="28" t="str">
        <x:v>Development &amp; presentation; Recognition &amp; diagnosis; Social &amp; structural; Life outcomes &amp; lived experience</x:v>
      </x:c>
      <x:c r="G2398" s="28" t="str">
        <x:v>Childhood</x:v>
      </x:c>
      <x:c r="H2398" s="28" t="str">
        <x:v>Later specialized</x:v>
      </x:c>
      <x:c r="I2398" s="28" t="str">
        <x:v>Direct or strongly ADHD-related record retained for later screening; typically narrower treatment, biomarker, mechanistic, or single-comorbidity focus.</x:v>
      </x:c>
      <x:c r="J2398" s="38" t="e">
        <x:f>HYPERLINK("https://pubmed.ncbi.nlm.nih.gov/"&amp;C2398&amp;"/","Open PubMed")</x:f>
        <x:v>HYPERLINK is not implemented. linkLocation=https://pubmed.ncbi.nlm.nih.gov/40442917/, friendlyName=Open PubMed</x:v>
      </x:c>
    </x:row>
    <x:row r="2399">
      <x:c r="A2399" s="26" t="str">
        <x:v>PUBMED-40417761</x:v>
      </x:c>
      <x:c r="B2399" s="26" t="n">
        <x:v>2026</x:v>
      </x:c>
      <x:c r="C2399" s="26" t="str">
        <x:v>40417761</x:v>
      </x:c>
      <x:c r="D2399" s="28" t="str">
        <x:v>Drug Delivery Strategies for the Management of Attention-deficit/ Hyperactivity Disorder (ADHD): A Case of Differentiated Product Development of Methylphenidate.</x:v>
      </x:c>
      <x:c r="E2399" s="28" t="str">
        <x:v>Evidence synthesis - review</x:v>
      </x:c>
      <x:c r="F2399" s="28" t="str">
        <x:v>Development &amp; presentation; Social &amp; structural; Treatment &amp; support; Life outcomes &amp; lived experience</x:v>
      </x:c>
      <x:c r="G2399" s="28" t="str">
        <x:v>Childhood</x:v>
      </x:c>
      <x:c r="H2399" s="28" t="str">
        <x:v>Later specialized</x:v>
      </x:c>
      <x:c r="I2399" s="28" t="str">
        <x:v>Direct or strongly ADHD-related record retained for later screening; typically narrower treatment, biomarker, mechanistic, or single-comorbidity focus.</x:v>
      </x:c>
      <x:c r="J2399" s="38" t="e">
        <x:f>HYPERLINK("https://pubmed.ncbi.nlm.nih.gov/"&amp;C2399&amp;"/","Open PubMed")</x:f>
        <x:v>HYPERLINK is not implemented. linkLocation=https://pubmed.ncbi.nlm.nih.gov/40417761/, friendlyName=Open PubMed</x:v>
      </x:c>
    </x:row>
    <x:row r="2400">
      <x:c r="A2400" s="26" t="str">
        <x:v>PUBMED-40398676</x:v>
      </x:c>
      <x:c r="B2400" s="26" t="n">
        <x:v>2026</x:v>
      </x:c>
      <x:c r="C2400" s="26" t="str">
        <x:v>40398676</x:v>
      </x:c>
      <x:c r="D2400" s="28" t="str">
        <x:v>Investigating the Shared and Divergent Neuroanatomical Features of Attentional Deficits in Adolescents.</x:v>
      </x:c>
      <x:c r="E2400" s="28" t="str">
        <x:v>Primary/contextual journal article</x:v>
      </x:c>
      <x:c r="F2400" s="28" t="str">
        <x:v>Development &amp; presentation; Recognition &amp; diagnosis; Family &amp; education; Social &amp; structural; Environmental &amp; lifestyle; Life outcomes &amp; lived experience</x:v>
      </x:c>
      <x:c r="G2400" s="28" t="str">
        <x:v>Adolescence</x:v>
      </x:c>
      <x:c r="H2400" s="28" t="str">
        <x:v>Later specialized</x:v>
      </x:c>
      <x:c r="I2400" s="28" t="str">
        <x:v>Direct or strongly ADHD-related record retained for later screening; typically narrower treatment, biomarker, mechanistic, or single-comorbidity focus.</x:v>
      </x:c>
      <x:c r="J2400" s="38" t="e">
        <x:f>HYPERLINK("https://pubmed.ncbi.nlm.nih.gov/"&amp;C2400&amp;"/","Open PubMed")</x:f>
        <x:v>HYPERLINK is not implemented. linkLocation=https://pubmed.ncbi.nlm.nih.gov/40398676/, friendlyName=Open PubMed</x:v>
      </x:c>
    </x:row>
    <x:row r="2401">
      <x:c r="A2401" s="26" t="str">
        <x:v>PUBMED-40300930</x:v>
      </x:c>
      <x:c r="B2401" s="26" t="n">
        <x:v>2026</x:v>
      </x:c>
      <x:c r="C2401" s="26" t="str">
        <x:v>40300930</x:v>
      </x:c>
      <x:c r="D2401" s="28" t="str">
        <x:v>Predictors of online interactions with strangers in adolescents with and without attention-deficit/hyperactivity disorder: A prospective study.</x:v>
      </x:c>
      <x:c r="E2401" s="28" t="str">
        <x:v>Primary study - cross-sectional</x:v>
      </x:c>
      <x:c r="F2401" s="28" t="str">
        <x:v>Development &amp; presentation; Recognition &amp; diagnosis; Family &amp; education; Social &amp; structural; Environmental &amp; lifestyle; Life outcomes &amp; lived experience; Historical &amp; contemporary context</x:v>
      </x:c>
      <x:c r="G2401" s="28" t="str">
        <x:v>Childhood; Adolescence</x:v>
      </x:c>
      <x:c r="H2401" s="28" t="str">
        <x:v>Later specialized</x:v>
      </x:c>
      <x:c r="I2401" s="28" t="str">
        <x:v>Direct or strongly ADHD-related record retained for later screening; typically narrower treatment, biomarker, mechanistic, or single-comorbidity focus.</x:v>
      </x:c>
      <x:c r="J2401" s="38" t="e">
        <x:f>HYPERLINK("https://pubmed.ncbi.nlm.nih.gov/"&amp;C2401&amp;"/","Open PubMed")</x:f>
        <x:v>HYPERLINK is not implemented. linkLocation=https://pubmed.ncbi.nlm.nih.gov/40300930/, friendlyName=Open PubMed</x:v>
      </x:c>
    </x:row>
    <x:row r="2402">
      <x:c r="A2402" s="26" t="str">
        <x:v>PUBMED-40287009</x:v>
      </x:c>
      <x:c r="B2402" s="26" t="n">
        <x:v>2026</x:v>
      </x:c>
      <x:c r="C2402" s="26" t="str">
        <x:v>40287009</x:v>
      </x:c>
      <x:c r="D2402" s="28" t="str">
        <x:v>Systematic Review and Meta-Analysis: Predictors of Adult Psychiatric Outcomes of Childhood Attention-Deficit/Hyperactivity Disorder.</x:v>
      </x:c>
      <x:c r="E2402" s="28" t="str">
        <x:v>Evidence synthesis - meta-analysis</x:v>
      </x:c>
      <x:c r="F2402" s="28" t="str">
        <x:v>Development &amp; presentation; Recognition &amp; diagnosis; Social &amp; structural; Treatment &amp; support; Life outcomes &amp; lived experience; Historical &amp; contemporary context</x:v>
      </x:c>
      <x:c r="G2402" s="28" t="str">
        <x:v>Childhood; Adulthood</x:v>
      </x:c>
      <x:c r="H2402" s="28" t="str">
        <x:v>Batch 1 core</x:v>
      </x:c>
      <x:c r="I2402" s="28" t="str">
        <x:v>Direct ADHD evidence synthesis/guideline with broad multi-topic relevance.</x:v>
      </x:c>
      <x:c r="J2402" s="38" t="e">
        <x:f>HYPERLINK("https://pubmed.ncbi.nlm.nih.gov/"&amp;C2402&amp;"/","Open PubMed")</x:f>
        <x:v>HYPERLINK is not implemented. linkLocation=https://pubmed.ncbi.nlm.nih.gov/40287009/, friendlyName=Open PubMed</x:v>
      </x:c>
    </x:row>
    <x:row r="2403">
      <x:c r="A2403" s="26" t="str">
        <x:v>PUBMED-40278882</x:v>
      </x:c>
      <x:c r="B2403" s="26" t="n">
        <x:v>2026</x:v>
      </x:c>
      <x:c r="C2403" s="26" t="str">
        <x:v>40278882</x:v>
      </x:c>
      <x:c r="D2403" s="28" t="str">
        <x:v>Association between telomere length and psychiatric disorders: a bidirectional Mendelian randomization study.</x:v>
      </x:c>
      <x:c r="E2403" s="28" t="str">
        <x:v>Primary/contextual journal article</x:v>
      </x:c>
      <x:c r="F2403" s="28" t="str">
        <x:v>Development &amp; presentation; Social &amp; structural; Environmental &amp; lifestyle</x:v>
      </x:c>
      <x:c r="G2403" s="28" t="str">
        <x:v>Not specified</x:v>
      </x:c>
      <x:c r="H2403" s="28" t="str">
        <x:v>Later specialized</x:v>
      </x:c>
      <x:c r="I2403" s="28" t="str">
        <x:v>Direct or strongly ADHD-related record retained for later screening; typically narrower treatment, biomarker, mechanistic, or single-comorbidity focus.</x:v>
      </x:c>
      <x:c r="J2403" s="38" t="e">
        <x:f>HYPERLINK("https://pubmed.ncbi.nlm.nih.gov/"&amp;C2403&amp;"/","Open PubMed")</x:f>
        <x:v>HYPERLINK is not implemented. linkLocation=https://pubmed.ncbi.nlm.nih.gov/40278882/, friendlyName=Open PubMed</x:v>
      </x:c>
    </x:row>
    <x:row r="2404">
      <x:c r="A2404" s="26" t="str">
        <x:v>PUBMED-40260642</x:v>
      </x:c>
      <x:c r="B2404" s="26" t="n">
        <x:v>2026</x:v>
      </x:c>
      <x:c r="C2404" s="26" t="str">
        <x:v>40260642</x:v>
      </x:c>
      <x:c r="D2404" s="28" t="str">
        <x:v>A boy with autism spectrum disorder with antibodies to the NMDA-type glutamate receptor: nine-year follow-up, changes in cognitive function .</x:v>
      </x:c>
      <x:c r="E2404" s="28" t="str">
        <x:v>Primary/contextual journal article</x:v>
      </x:c>
      <x:c r="F2404" s="28" t="str">
        <x:v>Development &amp; presentation; Social &amp; structural; Treatment &amp; support</x:v>
      </x:c>
      <x:c r="G2404" s="28" t="str">
        <x:v>Childhood</x:v>
      </x:c>
      <x:c r="H2404" s="28" t="str">
        <x:v>Later specialized</x:v>
      </x:c>
      <x:c r="I2404" s="28" t="str">
        <x:v>Direct or strongly ADHD-related record retained for later screening; typically narrower treatment, biomarker, mechanistic, or single-comorbidity focus.</x:v>
      </x:c>
      <x:c r="J2404" s="38" t="e">
        <x:f>HYPERLINK("https://pubmed.ncbi.nlm.nih.gov/"&amp;C2404&amp;"/","Open PubMed")</x:f>
        <x:v>HYPERLINK is not implemented. linkLocation=https://pubmed.ncbi.nlm.nih.gov/40260642/, friendlyName=Open PubMed</x:v>
      </x:c>
    </x:row>
    <x:row r="2405">
      <x:c r="A2405" s="26" t="str">
        <x:v>PUBMED-40258189</x:v>
      </x:c>
      <x:c r="B2405" s="26" t="n">
        <x:v>2026</x:v>
      </x:c>
      <x:c r="C2405" s="26" t="str">
        <x:v>40258189</x:v>
      </x:c>
      <x:c r="D2405" s="28" t="str">
        <x:v>Navigating residual diagnostic categories: The lived experiences of women diagnosed with autism and ADHD in adulthood.</x:v>
      </x:c>
      <x:c r="E2405" s="28" t="str">
        <x:v>Primary/contextual journal article</x:v>
      </x:c>
      <x:c r="F2405" s="28" t="str">
        <x:v>Development &amp; presentation; Recognition &amp; diagnosis; Social &amp; structural; Life outcomes &amp; lived experience; Historical &amp; contemporary context</x:v>
      </x:c>
      <x:c r="G2405" s="28" t="str">
        <x:v>Adulthood</x:v>
      </x:c>
      <x:c r="H2405" s="28" t="str">
        <x:v>Later specialized</x:v>
      </x:c>
      <x:c r="I2405" s="28" t="str">
        <x:v>Direct or strongly ADHD-related record retained for later screening; typically narrower treatment, biomarker, mechanistic, or single-comorbidity focus.</x:v>
      </x:c>
      <x:c r="J2405" s="38" t="e">
        <x:f>HYPERLINK("https://pubmed.ncbi.nlm.nih.gov/"&amp;C2405&amp;"/","Open PubMed")</x:f>
        <x:v>HYPERLINK is not implemented. linkLocation=https://pubmed.ncbi.nlm.nih.gov/40258189/, friendlyName=Open PubMed</x:v>
      </x:c>
    </x:row>
    <x:row r="2406">
      <x:c r="A2406" s="26" t="str">
        <x:v>PUBMED-40235056</x:v>
      </x:c>
      <x:c r="B2406" s="26" t="n">
        <x:v>2026</x:v>
      </x:c>
      <x:c r="C2406" s="26" t="str">
        <x:v>40235056</x:v>
      </x:c>
      <x:c r="D2406" s="28" t="str">
        <x:v>Exploring sex differences in pediatric mild traumatic brain injury: clinical characteristics and recovery patterns of pediatric mTBI patients with non-credible effort.</x:v>
      </x:c>
      <x:c r="E2406" s="28" t="str">
        <x:v>Primary/contextual journal article</x:v>
      </x:c>
      <x:c r="F2406" s="28" t="str">
        <x:v>Development &amp; presentation; Family &amp; education; Social &amp; structural; Environmental &amp; lifestyle</x:v>
      </x:c>
      <x:c r="G2406" s="28" t="str">
        <x:v>Childhood; Adolescence</x:v>
      </x:c>
      <x:c r="H2406" s="28" t="str">
        <x:v>Exclude/incidental</x:v>
      </x:c>
      <x:c r="I2406" s="28" t="str">
        <x:v>ADHD appears peripheral or insufficiently aligned with the requested corpus scope based on accessible metadata/abstract.</x:v>
      </x:c>
      <x:c r="J2406" s="38" t="e">
        <x:f>HYPERLINK("https://pubmed.ncbi.nlm.nih.gov/"&amp;C2406&amp;"/","Open PubMed")</x:f>
        <x:v>HYPERLINK is not implemented. linkLocation=https://pubmed.ncbi.nlm.nih.gov/40235056/, friendlyName=Open PubMed</x:v>
      </x:c>
    </x:row>
    <x:row r="2407">
      <x:c r="A2407" s="26" t="str">
        <x:v>PUBMED-40192281</x:v>
      </x:c>
      <x:c r="B2407" s="26" t="n">
        <x:v>2026</x:v>
      </x:c>
      <x:c r="C2407" s="26" t="str">
        <x:v>40192281</x:v>
      </x:c>
      <x:c r="D2407" s="28" t="str">
        <x:v>Cross-validation of the MMPI dissimulation ADHD scale in a sample of adults presenting for ADHD evaluation.</x:v>
      </x:c>
      <x:c r="E2407" s="28" t="str">
        <x:v>Primary/contextual journal article</x:v>
      </x:c>
      <x:c r="F2407" s="28" t="str">
        <x:v>Development &amp; presentation; Recognition &amp; diagnosis</x:v>
      </x:c>
      <x:c r="G2407" s="28" t="str">
        <x:v>Adulthood</x:v>
      </x:c>
      <x:c r="H2407" s="28" t="str">
        <x:v>Later specialized</x:v>
      </x:c>
      <x:c r="I2407" s="28" t="str">
        <x:v>Direct or strongly ADHD-related record retained for later screening; typically narrower treatment, biomarker, mechanistic, or single-comorbidity focus.</x:v>
      </x:c>
      <x:c r="J2407" s="38" t="e">
        <x:f>HYPERLINK("https://pubmed.ncbi.nlm.nih.gov/"&amp;C2407&amp;"/","Open PubMed")</x:f>
        <x:v>HYPERLINK is not implemented. linkLocation=https://pubmed.ncbi.nlm.nih.gov/40192281/, friendlyName=Open PubMed</x:v>
      </x:c>
    </x:row>
    <x:row r="2408">
      <x:c r="A2408" s="26" t="str">
        <x:v>PUBMED-39921725</x:v>
      </x:c>
      <x:c r="B2408" s="26" t="n">
        <x:v>2026</x:v>
      </x:c>
      <x:c r="C2408" s="26" t="str">
        <x:v>39921725</x:v>
      </x:c>
      <x:c r="D2408" s="28" t="str">
        <x:v>Associations between cerebellum and major psychiatric disorders: a bidirectional Mendelian randomization study.</x:v>
      </x:c>
      <x:c r="E2408" s="28" t="str">
        <x:v>Primary/contextual journal article</x:v>
      </x:c>
      <x:c r="F2408" s="28" t="str">
        <x:v>Development &amp; presentation; Recognition &amp; diagnosis; Social &amp; structural; Life outcomes &amp; lived experience</x:v>
      </x:c>
      <x:c r="G2408" s="28" t="str">
        <x:v>Adulthood</x:v>
      </x:c>
      <x:c r="H2408" s="28" t="str">
        <x:v>Later specialized</x:v>
      </x:c>
      <x:c r="I2408" s="28" t="str">
        <x:v>Direct or strongly ADHD-related record retained for later screening; typically narrower treatment, biomarker, mechanistic, or single-comorbidity focus.</x:v>
      </x:c>
      <x:c r="J2408" s="38" t="e">
        <x:f>HYPERLINK("https://pubmed.ncbi.nlm.nih.gov/"&amp;C2408&amp;"/","Open PubMed")</x:f>
        <x:v>HYPERLINK is not implemented. linkLocation=https://pubmed.ncbi.nlm.nih.gov/39921725/, friendlyName=Open PubMed</x:v>
      </x:c>
    </x:row>
    <x:row r="2409">
      <x:c r="A2409" s="26" t="str">
        <x:v>PUBMED-39752609</x:v>
      </x:c>
      <x:c r="B2409" s="26" t="n">
        <x:v>2026</x:v>
      </x:c>
      <x:c r="C2409" s="26" t="str">
        <x:v>39752609</x:v>
      </x:c>
      <x:c r="D2409" s="28" t="str">
        <x:v>Are parents with bipolar disorder at higher risk of having offspring with ADHD? A systematic review.</x:v>
      </x:c>
      <x:c r="E2409" s="28" t="str">
        <x:v>Evidence synthesis - systematic review</x:v>
      </x:c>
      <x:c r="F2409" s="28" t="str">
        <x:v>Development &amp; presentation; Recognition &amp; diagnosis; Family &amp; education; Social &amp; structural; Life outcomes &amp; lived experience</x:v>
      </x:c>
      <x:c r="G2409" s="28" t="str">
        <x:v>Childhood</x:v>
      </x:c>
      <x:c r="H2409" s="28" t="str">
        <x:v>Batch 1 core</x:v>
      </x:c>
      <x:c r="I2409" s="28" t="str">
        <x:v>Direct ADHD evidence synthesis/guideline with broad multi-topic relevance.</x:v>
      </x:c>
      <x:c r="J2409" s="38" t="e">
        <x:f>HYPERLINK("https://pubmed.ncbi.nlm.nih.gov/"&amp;C2409&amp;"/","Open PubMed")</x:f>
        <x:v>HYPERLINK is not implemented. linkLocation=https://pubmed.ncbi.nlm.nih.gov/39752609/, friendlyName=Open PubMed</x:v>
      </x:c>
    </x:row>
    <x:row r="2410">
      <x:c r="A2410" s="26" t="str">
        <x:v>PUBMED-39485594</x:v>
      </x:c>
      <x:c r="B2410" s="26" t="n">
        <x:v>2026</x:v>
      </x:c>
      <x:c r="C2410" s="26" t="str">
        <x:v>39485594</x:v>
      </x:c>
      <x:c r="D2410" s="28" t="str">
        <x:v>Sleep Problems in Children with ADHD: Associations with Internalizing Symptoms and Physical Activity.</x:v>
      </x:c>
      <x:c r="E2410" s="28" t="str">
        <x:v>Primary study - cross-sectional</x:v>
      </x:c>
      <x:c r="F2410" s="28" t="str">
        <x:v>Development &amp; presentation; Social &amp; structural; Environmental &amp; lifestyle</x:v>
      </x:c>
      <x:c r="G2410" s="28" t="str">
        <x:v>Childhood</x:v>
      </x:c>
      <x:c r="H2410" s="28" t="str">
        <x:v>Batch 1 core</x:v>
      </x:c>
      <x:c r="I2410" s="28" t="str">
        <x:v>Direct ADHD primary study on diagnosis, family/education, structural conditions, lived experience/outcomes, or environment/lifestyle.</x:v>
      </x:c>
      <x:c r="J2410" s="38" t="e">
        <x:f>HYPERLINK("https://pubmed.ncbi.nlm.nih.gov/"&amp;C2410&amp;"/","Open PubMed")</x:f>
        <x:v>HYPERLINK is not implemented. linkLocation=https://pubmed.ncbi.nlm.nih.gov/39485594/, friendlyName=Open PubMed</x:v>
      </x:c>
    </x:row>
    <x:row r="2411">
      <x:c r="A2411" s="26" t="str">
        <x:v>PUBMED-39183677</x:v>
      </x:c>
      <x:c r="B2411" s="26" t="n">
        <x:v>2026</x:v>
      </x:c>
      <x:c r="C2411" s="26" t="str">
        <x:v>39183677</x:v>
      </x:c>
      <x:c r="D2411" s="28" t="str">
        <x:v>Children's color trails test: Greek normative data and clinical validity in children with traumatic brain injury and attention deficit - Hyperactivity disorder.</x:v>
      </x:c>
      <x:c r="E2411" s="28" t="str">
        <x:v>Primary/contextual journal article</x:v>
      </x:c>
      <x:c r="F2411" s="28" t="str">
        <x:v>Development &amp; presentation; Recognition &amp; diagnosis; Family &amp; education; Social &amp; structural</x:v>
      </x:c>
      <x:c r="G2411" s="28" t="str">
        <x:v>Childhood; Adolescence</x:v>
      </x:c>
      <x:c r="H2411" s="28" t="str">
        <x:v>Later specialized</x:v>
      </x:c>
      <x:c r="I2411" s="28" t="str">
        <x:v>Direct or strongly ADHD-related record retained for later screening; typically narrower treatment, biomarker, mechanistic, or single-comorbidity focus.</x:v>
      </x:c>
      <x:c r="J2411" s="38" t="e">
        <x:f>HYPERLINK("https://pubmed.ncbi.nlm.nih.gov/"&amp;C2411&amp;"/","Open PubMed")</x:f>
        <x:v>HYPERLINK is not implemented. linkLocation=https://pubmed.ncbi.nlm.nih.gov/39183677/, friendlyName=Open PubMed</x:v>
      </x:c>
    </x:row>
    <x:row r="2412">
      <x:c r="A2412" s="26" t="str">
        <x:v>PUBMED-39101832</x:v>
      </x:c>
      <x:c r="B2412" s="26" t="n">
        <x:v>2026</x:v>
      </x:c>
      <x:c r="C2412" s="26" t="str">
        <x:v>39101832</x:v>
      </x:c>
      <x:c r="D2412" s="28" t="str">
        <x:v>Exploring role of prefrontal cortex region of brain in children having ADHD with machine learning: Implications and insights.</x:v>
      </x:c>
      <x:c r="E2412" s="28" t="str">
        <x:v>Primary/contextual journal article</x:v>
      </x:c>
      <x:c r="F2412" s="28" t="str">
        <x:v>Development &amp; presentation; Recognition &amp; diagnosis; Social &amp; structural; Environmental &amp; lifestyle; Treatment &amp; support; Life outcomes &amp; lived experience</x:v>
      </x:c>
      <x:c r="G2412" s="28" t="str">
        <x:v>Childhood; Adolescence; Adulthood</x:v>
      </x:c>
      <x:c r="H2412" s="28" t="str">
        <x:v>Later specialized</x:v>
      </x:c>
      <x:c r="I2412" s="28" t="str">
        <x:v>Direct or strongly ADHD-related record retained for later screening; typically narrower treatment, biomarker, mechanistic, or single-comorbidity focus.</x:v>
      </x:c>
      <x:c r="J2412" s="38" t="e">
        <x:f>HYPERLINK("https://pubmed.ncbi.nlm.nih.gov/"&amp;C2412&amp;"/","Open PubMed")</x:f>
        <x:v>HYPERLINK is not implemented. linkLocation=https://pubmed.ncbi.nlm.nih.gov/39101832/, friendlyName=Open PubMed</x:v>
      </x:c>
    </x:row>
    <x:row r="2413">
      <x:c r="A2413" s="26" t="str">
        <x:v>PUBMED-38992329</x:v>
      </x:c>
      <x:c r="B2413" s="26" t="n">
        <x:v>2026</x:v>
      </x:c>
      <x:c r="C2413" s="26" t="str">
        <x:v>38992329</x:v>
      </x:c>
      <x:c r="D2413" s="28" t="str">
        <x:v>The Association Between the Impact of COVID-19 and Internalizing Problems Among Children and Adolescents with ADHD: The Moderating Role of Parental Anxiety.</x:v>
      </x:c>
      <x:c r="E2413" s="28" t="str">
        <x:v>Primary study - cross-sectional</x:v>
      </x:c>
      <x:c r="F2413" s="28" t="str">
        <x:v>Development &amp; presentation; Family &amp; education; Life outcomes &amp; lived experience; Historical &amp; contemporary context</x:v>
      </x:c>
      <x:c r="G2413" s="28" t="str">
        <x:v>Childhood; Adolescence</x:v>
      </x:c>
      <x:c r="H2413" s="28" t="str">
        <x:v>Batch 1 core</x:v>
      </x:c>
      <x:c r="I2413" s="28" t="str">
        <x:v>Direct ADHD primary study on diagnosis, family/education, structural conditions, lived experience/outcomes, or environment/lifestyle.</x:v>
      </x:c>
      <x:c r="J2413" s="38" t="e">
        <x:f>HYPERLINK("https://pubmed.ncbi.nlm.nih.gov/"&amp;C2413&amp;"/","Open PubMed")</x:f>
        <x:v>HYPERLINK is not implemented. linkLocation=https://pubmed.ncbi.nlm.nih.gov/38992329/, friendlyName=Open PubMed</x:v>
      </x:c>
    </x:row>
    <x:row r="2414">
      <x:c r="A2414" s="26" t="str">
        <x:v>PUBMED-38976722</x:v>
      </x:c>
      <x:c r="B2414" s="26" t="n">
        <x:v>2026</x:v>
      </x:c>
      <x:c r="C2414" s="26" t="str">
        <x:v>38976722</x:v>
      </x:c>
      <x:c r="D2414" s="28" t="str">
        <x:v>Contributions of brain regions to machine learning-based classifications of attention deficit hyperactivity disorder (ADHD) utilizing EEG signals.</x:v>
      </x:c>
      <x:c r="E2414" s="28" t="str">
        <x:v>Primary/contextual journal article</x:v>
      </x:c>
      <x:c r="F2414" s="28" t="str">
        <x:v>Development &amp; presentation; Recognition &amp; diagnosis; Social &amp; structural; Environmental &amp; lifestyle; Treatment &amp; support; Life outcomes &amp; lived experience</x:v>
      </x:c>
      <x:c r="G2414" s="28" t="str">
        <x:v>Childhood; Adolescence</x:v>
      </x:c>
      <x:c r="H2414" s="28" t="str">
        <x:v>Later specialized</x:v>
      </x:c>
      <x:c r="I2414" s="28" t="str">
        <x:v>Direct or strongly ADHD-related record retained for later screening; typically narrower treatment, biomarker, mechanistic, or single-comorbidity focus.</x:v>
      </x:c>
      <x:c r="J2414" s="38" t="e">
        <x:f>HYPERLINK("https://pubmed.ncbi.nlm.nih.gov/"&amp;C2414&amp;"/","Open PubMed")</x:f>
        <x:v>HYPERLINK is not implemented. linkLocation=https://pubmed.ncbi.nlm.nih.gov/38976722/, friendlyName=Open PubMed</x:v>
      </x:c>
    </x:row>
    <x:row r="2415">
      <x:c r="A2415" s="26" t="str">
        <x:v>PUBMED-38900723</x:v>
      </x:c>
      <x:c r="B2415" s="26" t="n">
        <x:v>2026</x:v>
      </x:c>
      <x:c r="C2415" s="26" t="str">
        <x:v>38900723</x:v>
      </x:c>
      <x:c r="D2415" s="28" t="str">
        <x:v>Cognitive Disengagement Syndrome in Young Autistic Children, Children with ADHD, and Autistic Children with ADHD.</x:v>
      </x:c>
      <x:c r="E2415" s="28" t="str">
        <x:v>Primary/contextual journal article</x:v>
      </x:c>
      <x:c r="F2415" s="28" t="str">
        <x:v>Development &amp; presentation; Recognition &amp; diagnosis; Family &amp; education; Social &amp; structural; Life outcomes &amp; lived experience; Historical &amp; contemporary context</x:v>
      </x:c>
      <x:c r="G2415" s="28" t="str">
        <x:v>Childhood</x:v>
      </x:c>
      <x:c r="H2415" s="28" t="str">
        <x:v>Later specialized</x:v>
      </x:c>
      <x:c r="I2415" s="28" t="str">
        <x:v>Direct or strongly ADHD-related record retained for later screening; typically narrower treatment, biomarker, mechanistic, or single-comorbidity focus.</x:v>
      </x:c>
      <x:c r="J2415" s="38" t="e">
        <x:f>HYPERLINK("https://pubmed.ncbi.nlm.nih.gov/"&amp;C2415&amp;"/","Open PubMed")</x:f>
        <x:v>HYPERLINK is not implemented. linkLocation=https://pubmed.ncbi.nlm.nih.gov/38900723/, friendlyName=Open PubMed</x:v>
      </x:c>
    </x:row>
    <x:row r="2416">
      <x:c r="A2416" s="26" t="str">
        <x:v>PUBMED-38886310</x:v>
      </x:c>
      <x:c r="B2416" s="26" t="n">
        <x:v>2026</x:v>
      </x:c>
      <x:c r="C2416" s="26" t="str">
        <x:v>38886310</x:v>
      </x:c>
      <x:c r="D2416" s="28" t="str">
        <x:v>Intraindividual Variability in Attention-Deficit/Hyperactivity Disorder: An Ex-Gaussian Approach.</x:v>
      </x:c>
      <x:c r="E2416" s="28" t="str">
        <x:v>Primary/contextual journal article</x:v>
      </x:c>
      <x:c r="F2416" s="28" t="str">
        <x:v>Development &amp; presentation; Recognition &amp; diagnosis; Family &amp; education; Social &amp; structural</x:v>
      </x:c>
      <x:c r="G2416" s="28" t="str">
        <x:v>Childhood; Adolescence</x:v>
      </x:c>
      <x:c r="H2416" s="28" t="str">
        <x:v>Later specialized</x:v>
      </x:c>
      <x:c r="I2416" s="28" t="str">
        <x:v>Direct or strongly ADHD-related record retained for later screening; typically narrower treatment, biomarker, mechanistic, or single-comorbidity focus.</x:v>
      </x:c>
      <x:c r="J2416" s="38" t="e">
        <x:f>HYPERLINK("https://pubmed.ncbi.nlm.nih.gov/"&amp;C2416&amp;"/","Open PubMed")</x:f>
        <x:v>HYPERLINK is not implemented. linkLocation=https://pubmed.ncbi.nlm.nih.gov/38886310/, friendlyName=Open PubMed</x:v>
      </x:c>
    </x:row>
    <x:row r="2417">
      <x:c r="A2417" s="26" t="str">
        <x:v>PUBMED-38748322</x:v>
      </x:c>
      <x:c r="B2417" s="26" t="n">
        <x:v>2026</x:v>
      </x:c>
      <x:c r="C2417" s="26" t="str">
        <x:v>38748322</x:v>
      </x:c>
      <x:c r="D2417" s="28" t="str">
        <x:v>Predictors and Mechanisms of Resilience for High School Students with ADHD: A Prospective Longitudinal Study.</x:v>
      </x:c>
      <x:c r="E2417" s="28" t="str">
        <x:v>Primary/contextual journal article</x:v>
      </x:c>
      <x:c r="F2417" s="28" t="str">
        <x:v>Development &amp; presentation; Recognition &amp; diagnosis; Family &amp; education; Environmental &amp; lifestyle</x:v>
      </x:c>
      <x:c r="G2417" s="28" t="str">
        <x:v>Adolescence</x:v>
      </x:c>
      <x:c r="H2417" s="28" t="str">
        <x:v>Later specialized</x:v>
      </x:c>
      <x:c r="I2417" s="28" t="str">
        <x:v>Direct or strongly ADHD-related record retained for later screening; typically narrower treatment, biomarker, mechanistic, or single-comorbidity focus.</x:v>
      </x:c>
      <x:c r="J2417" s="38" t="e">
        <x:f>HYPERLINK("https://pubmed.ncbi.nlm.nih.gov/"&amp;C2417&amp;"/","Open PubMed")</x:f>
        <x:v>HYPERLINK is not implemented. linkLocation=https://pubmed.ncbi.nlm.nih.gov/38748322/, friendlyName=Open PubMed</x:v>
      </x:c>
    </x:row>
    <x:row r="2418">
      <x:c r="A2418" s="26" t="str">
        <x:v>PUBMED-42758340</x:v>
      </x:c>
      <x:c r="B2418" s="26" t="n">
        <x:v>2026</x:v>
      </x:c>
      <x:c r="C2418" s="26" t="str">
        <x:v>42758340</x:v>
      </x:c>
      <x:c r="D2418" s="28" t="str">
        <x:v>Major mental disorders in offspring of mothers with polycystic ovary syndrome.</x:v>
      </x:c>
      <x:c r="E2418" s="28" t="str">
        <x:v>Primary study - cohort</x:v>
      </x:c>
      <x:c r="F2418" s="28" t="str">
        <x:v>Development &amp; presentation; Recognition &amp; diagnosis; Family &amp; education; Social &amp; structural; Environmental &amp; lifestyle; Historical &amp; contemporary context</x:v>
      </x:c>
      <x:c r="G2418" s="28" t="str">
        <x:v>Childhood; Adulthood</x:v>
      </x:c>
      <x:c r="H2418" s="28" t="str">
        <x:v>Later specialized</x:v>
      </x:c>
      <x:c r="I2418" s="28" t="str">
        <x:v>Direct or strongly ADHD-related record retained for later screening; typically narrower treatment, biomarker, mechanistic, or single-comorbidity focus.</x:v>
      </x:c>
      <x:c r="J2418" s="38" t="e">
        <x:f>HYPERLINK("https://pubmed.ncbi.nlm.nih.gov/"&amp;C2418&amp;"/","Open PubMed")</x:f>
        <x:v>HYPERLINK is not implemented. linkLocation=https://pubmed.ncbi.nlm.nih.gov/42758340/, friendlyName=Open PubMed</x:v>
      </x:c>
    </x:row>
    <x:row r="2419">
      <x:c r="A2419" s="26" t="str">
        <x:v>PUBMED-42642465</x:v>
      </x:c>
      <x:c r="B2419" s="26" t="n">
        <x:v>2026</x:v>
      </x:c>
      <x:c r="C2419" s="26" t="str">
        <x:v>42642465</x:v>
      </x:c>
      <x:c r="D2419" s="28" t="str">
        <x:v>Prevalence of attention-deficit/hyperactivity disorder symptoms and associated factors among university students in Egypt: a cross-sectional study.</x:v>
      </x:c>
      <x:c r="E2419" s="28" t="str">
        <x:v>Primary study - cross-sectional</x:v>
      </x:c>
      <x:c r="F2419" s="28" t="str">
        <x:v>Development &amp; presentation; Recognition &amp; diagnosis; Family &amp; education; Social &amp; structural; Environmental &amp; lifestyle; Life outcomes &amp; lived experience; Historical &amp; contemporary context</x:v>
      </x:c>
      <x:c r="G2419" s="28" t="str">
        <x:v>Childhood; Adolescence; Adulthood</x:v>
      </x:c>
      <x:c r="H2419" s="28" t="str">
        <x:v>Later specialized</x:v>
      </x:c>
      <x:c r="I2419" s="28" t="str">
        <x:v>Direct or strongly ADHD-related record retained for later screening; typically narrower treatment, biomarker, mechanistic, or single-comorbidity focus.</x:v>
      </x:c>
      <x:c r="J2419" s="38" t="e">
        <x:f>HYPERLINK("https://pubmed.ncbi.nlm.nih.gov/"&amp;C2419&amp;"/","Open PubMed")</x:f>
        <x:v>HYPERLINK is not implemented. linkLocation=https://pubmed.ncbi.nlm.nih.gov/42642465/, friendlyName=Open PubMed</x:v>
      </x:c>
    </x:row>
    <x:row r="2420">
      <x:c r="A2420" s="26" t="str">
        <x:v>PUBMED-42277109</x:v>
      </x:c>
      <x:c r="B2420" s="26" t="n">
        <x:v>2026</x:v>
      </x:c>
      <x:c r="C2420" s="26" t="str">
        <x:v>42277109</x:v>
      </x:c>
      <x:c r="D2420" s="28" t="str">
        <x:v>Fine-grained classroom behavior monitoring for students with special education needs: an audiovisual fusion approach to posture analysis.</x:v>
      </x:c>
      <x:c r="E2420" s="28" t="str">
        <x:v>Primary/contextual journal article</x:v>
      </x:c>
      <x:c r="F2420" s="28" t="str">
        <x:v>Development &amp; presentation; Family &amp; education; Social &amp; structural; Environmental &amp; lifestyle; Treatment &amp; support</x:v>
      </x:c>
      <x:c r="G2420" s="28" t="str">
        <x:v>Childhood</x:v>
      </x:c>
      <x:c r="H2420" s="28" t="str">
        <x:v>Later specialized</x:v>
      </x:c>
      <x:c r="I2420" s="28" t="str">
        <x:v>Direct or strongly ADHD-related record retained for later screening; typically narrower treatment, biomarker, mechanistic, or single-comorbidity focus.</x:v>
      </x:c>
      <x:c r="J2420" s="38" t="e">
        <x:f>HYPERLINK("https://pubmed.ncbi.nlm.nih.gov/"&amp;C2420&amp;"/","Open PubMed")</x:f>
        <x:v>HYPERLINK is not implemented. linkLocation=https://pubmed.ncbi.nlm.nih.gov/42277109/, friendlyName=Open PubMed</x:v>
      </x:c>
    </x:row>
    <x:row r="2421">
      <x:c r="A2421" s="26" t="str">
        <x:v>PUBMED-41621322</x:v>
      </x:c>
      <x:c r="B2421" s="26" t="n">
        <x:v>2026</x:v>
      </x:c>
      <x:c r="C2421" s="26" t="str">
        <x:v>41621322</x:v>
      </x:c>
      <x:c r="D2421" s="28" t="str">
        <x:v>Polygenic risk scores for pediatric obsessive-compulsive symptoms: Mediating effects in samples clinically diagnosed with mental disorders.</x:v>
      </x:c>
      <x:c r="E2421" s="28" t="str">
        <x:v>Primary/contextual journal article</x:v>
      </x:c>
      <x:c r="F2421" s="28" t="str">
        <x:v>Development &amp; presentation; Recognition &amp; diagnosis; Social &amp; structural</x:v>
      </x:c>
      <x:c r="G2421" s="28" t="str">
        <x:v>Childhood; Adolescence</x:v>
      </x:c>
      <x:c r="H2421" s="28" t="str">
        <x:v>Later specialized</x:v>
      </x:c>
      <x:c r="I2421" s="28" t="str">
        <x:v>Direct or strongly ADHD-related record retained for later screening; typically narrower treatment, biomarker, mechanistic, or single-comorbidity focus.</x:v>
      </x:c>
      <x:c r="J2421" s="38" t="e">
        <x:f>HYPERLINK("https://pubmed.ncbi.nlm.nih.gov/"&amp;C2421&amp;"/","Open PubMed")</x:f>
        <x:v>HYPERLINK is not implemented. linkLocation=https://pubmed.ncbi.nlm.nih.gov/41621322/, friendlyName=Open PubMed</x:v>
      </x:c>
    </x:row>
    <x:row r="2422">
      <x:c r="A2422" s="26" t="str">
        <x:v>PUBMED-41400041</x:v>
      </x:c>
      <x:c r="B2422" s="26" t="n">
        <x:v>2026</x:v>
      </x:c>
      <x:c r="C2422" s="26" t="str">
        <x:v>41400041</x:v>
      </x:c>
      <x:c r="D2422" s="28" t="str">
        <x:v>Inattention and Hyperactivity Symptom Dimensions of ADHD Differentially Moderate the Relationship Between Concurrent Attention States and Affective Valence.</x:v>
      </x:c>
      <x:c r="E2422" s="28" t="str">
        <x:v>Primary/contextual journal article</x:v>
      </x:c>
      <x:c r="F2422" s="28" t="str">
        <x:v>Development &amp; presentation; Recognition &amp; diagnosis; Social &amp; structural; Life outcomes &amp; lived experience</x:v>
      </x:c>
      <x:c r="G2422" s="28" t="str">
        <x:v>Adolescence; Adulthood</x:v>
      </x:c>
      <x:c r="H2422" s="28" t="str">
        <x:v>Later specialized</x:v>
      </x:c>
      <x:c r="I2422" s="28" t="str">
        <x:v>Direct or strongly ADHD-related record retained for later screening; typically narrower treatment, biomarker, mechanistic, or single-comorbidity focus.</x:v>
      </x:c>
      <x:c r="J2422" s="38" t="e">
        <x:f>HYPERLINK("https://pubmed.ncbi.nlm.nih.gov/"&amp;C2422&amp;"/","Open PubMed")</x:f>
        <x:v>HYPERLINK is not implemented. linkLocation=https://pubmed.ncbi.nlm.nih.gov/41400041/, friendlyName=Open PubMed</x:v>
      </x:c>
    </x:row>
    <x:row r="2423">
      <x:c r="A2423" s="26" t="str">
        <x:v>PUBMED-42731881</x:v>
      </x:c>
      <x:c r="B2423" s="26" t="n">
        <x:v>2026</x:v>
      </x:c>
      <x:c r="C2423" s="26" t="str">
        <x:v>42731881</x:v>
      </x:c>
      <x:c r="D2423" s="28" t="str">
        <x:v>ADHD medication use and risk of self-harm: a multinational self-controlled case series study.</x:v>
      </x:c>
      <x:c r="E2423" s="28" t="str">
        <x:v>Primary study - case-control</x:v>
      </x:c>
      <x:c r="F2423" s="28" t="str">
        <x:v>Development &amp; presentation; Social &amp; structural; Environmental &amp; lifestyle; Treatment &amp; support</x:v>
      </x:c>
      <x:c r="G2423" s="28" t="str">
        <x:v>Childhood; Adolescence</x:v>
      </x:c>
      <x:c r="H2423" s="28" t="str">
        <x:v>Later specialized</x:v>
      </x:c>
      <x:c r="I2423" s="28" t="str">
        <x:v>Direct or strongly ADHD-related record retained for later screening; typically narrower treatment, biomarker, mechanistic, or single-comorbidity focus.</x:v>
      </x:c>
      <x:c r="J2423" s="38" t="e">
        <x:f>HYPERLINK("https://pubmed.ncbi.nlm.nih.gov/"&amp;C2423&amp;"/","Open PubMed")</x:f>
        <x:v>HYPERLINK is not implemented. linkLocation=https://pubmed.ncbi.nlm.nih.gov/42731881/, friendlyName=Open PubMed</x:v>
      </x:c>
    </x:row>
    <x:row r="2424">
      <x:c r="A2424" s="26" t="str">
        <x:v>PUBMED-42679881</x:v>
      </x:c>
      <x:c r="B2424" s="26" t="n">
        <x:v>2026</x:v>
      </x:c>
      <x:c r="C2424" s="26" t="str">
        <x:v>42679881</x:v>
      </x:c>
      <x:c r="D2424" s="28" t="str">
        <x:v>α6GABA(A) receptors as novel targets for ADHD therapy: A proof-of-concept study in MK-801-treated juvenile mice.</x:v>
      </x:c>
      <x:c r="E2424" s="28" t="str">
        <x:v>Primary/contextual journal article</x:v>
      </x:c>
      <x:c r="F2424" s="28" t="str">
        <x:v>Development &amp; presentation; Recognition &amp; diagnosis; Social &amp; structural; Treatment &amp; support</x:v>
      </x:c>
      <x:c r="G2424" s="28" t="str">
        <x:v>Not specified</x:v>
      </x:c>
      <x:c r="H2424" s="28" t="str">
        <x:v>Exclude/incidental</x:v>
      </x:c>
      <x:c r="I2424" s="28" t="str">
        <x:v>Animal-only record; retained outside the human-focused core corpus.</x:v>
      </x:c>
      <x:c r="J2424" s="38" t="e">
        <x:f>HYPERLINK("https://pubmed.ncbi.nlm.nih.gov/"&amp;C2424&amp;"/","Open PubMed")</x:f>
        <x:v>HYPERLINK is not implemented. linkLocation=https://pubmed.ncbi.nlm.nih.gov/42679881/, friendlyName=Open PubMed</x:v>
      </x:c>
    </x:row>
    <x:row r="2425">
      <x:c r="A2425" s="26" t="str">
        <x:v>PUBMED-41830983</x:v>
      </x:c>
      <x:c r="B2425" s="26" t="n">
        <x:v>2026</x:v>
      </x:c>
      <x:c r="C2425" s="26" t="str">
        <x:v>41830983</x:v>
      </x:c>
      <x:c r="D2425" s="28" t="str">
        <x:v>Conceptualizing Autism as a Behavioral Network: Transdiagnostic Associations with Co-occurring Psychiatric Conditions.</x:v>
      </x:c>
      <x:c r="E2425" s="28" t="str">
        <x:v>Primary/contextual journal article</x:v>
      </x:c>
      <x:c r="F2425" s="28" t="str">
        <x:v>Development &amp; presentation; Recognition &amp; diagnosis; Social &amp; structural; Treatment &amp; support; Life outcomes &amp; lived experience</x:v>
      </x:c>
      <x:c r="G2425" s="28" t="str">
        <x:v>Childhood</x:v>
      </x:c>
      <x:c r="H2425" s="28" t="str">
        <x:v>Exclude/incidental</x:v>
      </x:c>
      <x:c r="I2425" s="28" t="str">
        <x:v>ADHD appears peripheral or insufficiently aligned with the requested corpus scope based on accessible metadata/abstract.</x:v>
      </x:c>
      <x:c r="J2425" s="38" t="e">
        <x:f>HYPERLINK("https://pubmed.ncbi.nlm.nih.gov/"&amp;C2425&amp;"/","Open PubMed")</x:f>
        <x:v>HYPERLINK is not implemented. linkLocation=https://pubmed.ncbi.nlm.nih.gov/41830983/, friendlyName=Open PubMed</x:v>
      </x:c>
    </x:row>
    <x:row r="2426">
      <x:c r="A2426" s="26" t="str">
        <x:v>PUBMED-41770381</x:v>
      </x:c>
      <x:c r="B2426" s="26" t="n">
        <x:v>2026</x:v>
      </x:c>
      <x:c r="C2426" s="26" t="str">
        <x:v>41770381</x:v>
      </x:c>
      <x:c r="D2426" s="28" t="str">
        <x:v>Linking ADHD to Depression in Adolescents: the Mediating Role of Social Skills.</x:v>
      </x:c>
      <x:c r="E2426" s="28" t="str">
        <x:v>Primary/contextual journal article</x:v>
      </x:c>
      <x:c r="F2426" s="28" t="str">
        <x:v>Development &amp; presentation; Family &amp; education; Social &amp; structural; Environmental &amp; lifestyle</x:v>
      </x:c>
      <x:c r="G2426" s="28" t="str">
        <x:v>Childhood; Adolescence</x:v>
      </x:c>
      <x:c r="H2426" s="28" t="str">
        <x:v>Later specialized</x:v>
      </x:c>
      <x:c r="I2426" s="28" t="str">
        <x:v>Direct or strongly ADHD-related record retained for later screening; typically narrower treatment, biomarker, mechanistic, or single-comorbidity focus.</x:v>
      </x:c>
      <x:c r="J2426" s="38" t="e">
        <x:f>HYPERLINK("https://pubmed.ncbi.nlm.nih.gov/"&amp;C2426&amp;"/","Open PubMed")</x:f>
        <x:v>HYPERLINK is not implemented. linkLocation=https://pubmed.ncbi.nlm.nih.gov/41770381/, friendlyName=Open PubMed</x:v>
      </x:c>
    </x:row>
    <x:row r="2427">
      <x:c r="A2427" s="26" t="str">
        <x:v>PUBMED-41739459</x:v>
      </x:c>
      <x:c r="B2427" s="26" t="n">
        <x:v>2026</x:v>
      </x:c>
      <x:c r="C2427" s="26" t="str">
        <x:v>41739459</x:v>
      </x:c>
      <x:c r="D2427" s="28" t="str">
        <x:v>Mapping ADHD Heterogeneity and Biotypes by Topological Deviations in Morphometric Similarity Networks.</x:v>
      </x:c>
      <x:c r="E2427" s="28" t="str">
        <x:v>Primary study - cohort</x:v>
      </x:c>
      <x:c r="F2427" s="28" t="str">
        <x:v>Development &amp; presentation; Recognition &amp; diagnosis; Social &amp; structural; Environmental &amp; lifestyle; Life outcomes &amp; lived experience</x:v>
      </x:c>
      <x:c r="G2427" s="28" t="str">
        <x:v>Childhood; Adolescence</x:v>
      </x:c>
      <x:c r="H2427" s="28" t="str">
        <x:v>Batch 1 core</x:v>
      </x:c>
      <x:c r="I2427" s="28" t="str">
        <x:v>Direct ADHD primary study on diagnosis, family/education, structural conditions, lived experience/outcomes, or environment/lifestyle.</x:v>
      </x:c>
      <x:c r="J2427" s="38" t="e">
        <x:f>HYPERLINK("https://pubmed.ncbi.nlm.nih.gov/"&amp;C2427&amp;"/","Open PubMed")</x:f>
        <x:v>HYPERLINK is not implemented. linkLocation=https://pubmed.ncbi.nlm.nih.gov/41739459/, friendlyName=Open PubMed</x:v>
      </x:c>
    </x:row>
    <x:row r="2428">
      <x:c r="A2428" s="26" t="str">
        <x:v>PUBMED-41713203</x:v>
      </x:c>
      <x:c r="B2428" s="26" t="n">
        <x:v>2026</x:v>
      </x:c>
      <x:c r="C2428" s="26" t="str">
        <x:v>41713203</x:v>
      </x:c>
      <x:c r="D2428" s="28" t="str">
        <x:v>Sleep physiology associated with cognitive disengagement syndrome in adolescents with and without ADHD.</x:v>
      </x:c>
      <x:c r="E2428" s="28" t="str">
        <x:v>Primary/contextual journal article</x:v>
      </x:c>
      <x:c r="F2428" s="28" t="str">
        <x:v>Development &amp; presentation; Recognition &amp; diagnosis; Family &amp; education; Social &amp; structural; Environmental &amp; lifestyle; Treatment &amp; support; Life outcomes &amp; lived experience</x:v>
      </x:c>
      <x:c r="G2428" s="28" t="str">
        <x:v>Adolescence</x:v>
      </x:c>
      <x:c r="H2428" s="28" t="str">
        <x:v>Later specialized</x:v>
      </x:c>
      <x:c r="I2428" s="28" t="str">
        <x:v>Direct or strongly ADHD-related record retained for later screening; typically narrower treatment, biomarker, mechanistic, or single-comorbidity focus.</x:v>
      </x:c>
      <x:c r="J2428" s="38" t="e">
        <x:f>HYPERLINK("https://pubmed.ncbi.nlm.nih.gov/"&amp;C2428&amp;"/","Open PubMed")</x:f>
        <x:v>HYPERLINK is not implemented. linkLocation=https://pubmed.ncbi.nlm.nih.gov/41713203/, friendlyName=Open PubMed</x:v>
      </x:c>
    </x:row>
    <x:row r="2429">
      <x:c r="A2429" s="26" t="str">
        <x:v>PUBMED-41636125</x:v>
      </x:c>
      <x:c r="B2429" s="26" t="n">
        <x:v>2026</x:v>
      </x:c>
      <x:c r="C2429" s="26" t="str">
        <x:v>41636125</x:v>
      </x:c>
      <x:c r="D2429" s="28" t="str">
        <x:v>A diffusion model analysis of task set inertia and task set reconfiguration in ADHD.</x:v>
      </x:c>
      <x:c r="E2429" s="28" t="str">
        <x:v>Primary/contextual journal article</x:v>
      </x:c>
      <x:c r="F2429" s="28" t="str">
        <x:v>Development &amp; presentation</x:v>
      </x:c>
      <x:c r="G2429" s="28" t="str">
        <x:v>Childhood; Adulthood</x:v>
      </x:c>
      <x:c r="H2429" s="28" t="str">
        <x:v>Later specialized</x:v>
      </x:c>
      <x:c r="I2429" s="28" t="str">
        <x:v>Direct or strongly ADHD-related record retained for later screening; typically narrower treatment, biomarker, mechanistic, or single-comorbidity focus.</x:v>
      </x:c>
      <x:c r="J2429" s="38" t="e">
        <x:f>HYPERLINK("https://pubmed.ncbi.nlm.nih.gov/"&amp;C2429&amp;"/","Open PubMed")</x:f>
        <x:v>HYPERLINK is not implemented. linkLocation=https://pubmed.ncbi.nlm.nih.gov/41636125/, friendlyName=Open PubMed</x:v>
      </x:c>
    </x:row>
    <x:row r="2430">
      <x:c r="A2430" s="26" t="str">
        <x:v>PUBMED-41571599</x:v>
      </x:c>
      <x:c r="B2430" s="26" t="n">
        <x:v>2026</x:v>
      </x:c>
      <x:c r="C2430" s="26" t="str">
        <x:v>41571599</x:v>
      </x:c>
      <x:c r="D2430" s="28" t="str">
        <x:v>Multinutrient Supplementation in Children With ADHD Reduced Pro- and Anti-Inflammatory Immune Factors in the MADDY Randomized Controlled Trial.</x:v>
      </x:c>
      <x:c r="E2430" s="28" t="str">
        <x:v>Primary study - randomized controlled trial</x:v>
      </x:c>
      <x:c r="F2430" s="28" t="str">
        <x:v>Development &amp; presentation; Social &amp; structural; Environmental &amp; lifestyle; Treatment &amp; support</x:v>
      </x:c>
      <x:c r="G2430" s="28" t="str">
        <x:v>Childhood</x:v>
      </x:c>
      <x:c r="H2430" s="28" t="str">
        <x:v>Later specialized</x:v>
      </x:c>
      <x:c r="I2430" s="28" t="str">
        <x:v>Direct or strongly ADHD-related record retained for later screening; typically narrower treatment, biomarker, mechanistic, or single-comorbidity focus.</x:v>
      </x:c>
      <x:c r="J2430" s="38" t="e">
        <x:f>HYPERLINK("https://pubmed.ncbi.nlm.nih.gov/"&amp;C2430&amp;"/","Open PubMed")</x:f>
        <x:v>HYPERLINK is not implemented. linkLocation=https://pubmed.ncbi.nlm.nih.gov/41571599/, friendlyName=Open PubMed</x:v>
      </x:c>
    </x:row>
    <x:row r="2431">
      <x:c r="A2431" s="26" t="str">
        <x:v>PUBMED-41324421</x:v>
      </x:c>
      <x:c r="B2431" s="26" t="n">
        <x:v>2026</x:v>
      </x:c>
      <x:c r="C2431" s="26" t="str">
        <x:v>41324421</x:v>
      </x:c>
      <x:c r="D2431" s="28" t="str">
        <x:v>How Variability Is Addressed in Interventions for Neurodiverse Conditions: Implications for Stuttering.</x:v>
      </x:c>
      <x:c r="E2431" s="28" t="str">
        <x:v>Evidence synthesis - systematic review</x:v>
      </x:c>
      <x:c r="F2431" s="28" t="str">
        <x:v>Development &amp; presentation; Recognition &amp; diagnosis; Family &amp; education; Social &amp; structural; Environmental &amp; lifestyle; Treatment &amp; support; Life outcomes &amp; lived experience; Historical &amp; contemporary context</x:v>
      </x:c>
      <x:c r="G2431" s="28" t="str">
        <x:v>Not specified</x:v>
      </x:c>
      <x:c r="H2431" s="28" t="str">
        <x:v>Exclude/incidental</x:v>
      </x:c>
      <x:c r="I2431" s="28" t="str">
        <x:v>ADHD appears peripheral or insufficiently aligned with the requested corpus scope based on accessible metadata/abstract.</x:v>
      </x:c>
      <x:c r="J2431" s="38" t="e">
        <x:f>HYPERLINK("https://pubmed.ncbi.nlm.nih.gov/"&amp;C2431&amp;"/","Open PubMed")</x:f>
        <x:v>HYPERLINK is not implemented. linkLocation=https://pubmed.ncbi.nlm.nih.gov/41324421/, friendlyName=Open PubMed</x:v>
      </x:c>
    </x:row>
    <x:row r="2432">
      <x:c r="A2432" s="26" t="str">
        <x:v>PUBMED-41239129</x:v>
      </x:c>
      <x:c r="B2432" s="26" t="n">
        <x:v>2026</x:v>
      </x:c>
      <x:c r="C2432" s="26" t="str">
        <x:v>41239129</x:v>
      </x:c>
      <x:c r="D2432" s="28" t="str">
        <x:v>Dysfunctional oscillatory bursting patterns linked to working memory in adolescents with attention deficit hyperactivity disorder.</x:v>
      </x:c>
      <x:c r="E2432" s="28" t="str">
        <x:v>Primary/contextual journal article</x:v>
      </x:c>
      <x:c r="F2432" s="28" t="str">
        <x:v>Development &amp; presentation; Recognition &amp; diagnosis; Social &amp; structural; Environmental &amp; lifestyle; Treatment &amp; support</x:v>
      </x:c>
      <x:c r="G2432" s="28" t="str">
        <x:v>Childhood; Adolescence; Adulthood</x:v>
      </x:c>
      <x:c r="H2432" s="28" t="str">
        <x:v>Later specialized</x:v>
      </x:c>
      <x:c r="I2432" s="28" t="str">
        <x:v>Direct or strongly ADHD-related record retained for later screening; typically narrower treatment, biomarker, mechanistic, or single-comorbidity focus.</x:v>
      </x:c>
      <x:c r="J2432" s="38" t="e">
        <x:f>HYPERLINK("https://pubmed.ncbi.nlm.nih.gov/"&amp;C2432&amp;"/","Open PubMed")</x:f>
        <x:v>HYPERLINK is not implemented. linkLocation=https://pubmed.ncbi.nlm.nih.gov/41239129/, friendlyName=Open PubMed</x:v>
      </x:c>
    </x:row>
    <x:row r="2433">
      <x:c r="A2433" s="26" t="str">
        <x:v>PUBMED-41099844</x:v>
      </x:c>
      <x:c r="B2433" s="26" t="n">
        <x:v>2026</x:v>
      </x:c>
      <x:c r="C2433" s="26" t="str">
        <x:v>41099844</x:v>
      </x:c>
      <x:c r="D2433" s="28" t="str">
        <x:v>Sex differences in the response to treatment of attention deficit hyperactivity disorder.</x:v>
      </x:c>
      <x:c r="E2433" s="28" t="str">
        <x:v>Evidence synthesis - review</x:v>
      </x:c>
      <x:c r="F2433" s="28" t="str">
        <x:v>Development &amp; presentation; Recognition &amp; diagnosis; Social &amp; structural; Treatment &amp; support; Life outcomes &amp; lived experience</x:v>
      </x:c>
      <x:c r="G2433" s="28" t="str">
        <x:v>Adulthood</x:v>
      </x:c>
      <x:c r="H2433" s="28" t="str">
        <x:v>Later specialized</x:v>
      </x:c>
      <x:c r="I2433" s="28" t="str">
        <x:v>Direct or strongly ADHD-related record retained for later screening; typically narrower treatment, biomarker, mechanistic, or single-comorbidity focus.</x:v>
      </x:c>
      <x:c r="J2433" s="38" t="e">
        <x:f>HYPERLINK("https://pubmed.ncbi.nlm.nih.gov/"&amp;C2433&amp;"/","Open PubMed")</x:f>
        <x:v>HYPERLINK is not implemented. linkLocation=https://pubmed.ncbi.nlm.nih.gov/41099844/, friendlyName=Open PubMed</x:v>
      </x:c>
    </x:row>
    <x:row r="2434">
      <x:c r="A2434" s="26" t="str">
        <x:v>PUBMED-41892508</x:v>
      </x:c>
      <x:c r="B2434" s="26" t="n">
        <x:v>2026</x:v>
      </x:c>
      <x:c r="C2434" s="26" t="str">
        <x:v>41892508</x:v>
      </x:c>
      <x:c r="D2434" s="28" t="str">
        <x:v>Motor and cognitive profiles in children who are 3 to 6 years old and have autism spectrum disorder and other developmental disabilities.</x:v>
      </x:c>
      <x:c r="E2434" s="28" t="str">
        <x:v>Primary study - cohort</x:v>
      </x:c>
      <x:c r="F2434" s="28" t="str">
        <x:v>Development &amp; presentation; Recognition &amp; diagnosis; Family &amp; education; Social &amp; structural; Treatment &amp; support; Life outcomes &amp; lived experience</x:v>
      </x:c>
      <x:c r="G2434" s="28" t="str">
        <x:v>Childhood</x:v>
      </x:c>
      <x:c r="H2434" s="28" t="str">
        <x:v>Later specialized</x:v>
      </x:c>
      <x:c r="I2434" s="28" t="str">
        <x:v>Direct or strongly ADHD-related record retained for later screening; typically narrower treatment, biomarker, mechanistic, or single-comorbidity focus.</x:v>
      </x:c>
      <x:c r="J2434" s="38" t="e">
        <x:f>HYPERLINK("https://pubmed.ncbi.nlm.nih.gov/"&amp;C2434&amp;"/","Open PubMed")</x:f>
        <x:v>HYPERLINK is not implemented. linkLocation=https://pubmed.ncbi.nlm.nih.gov/41892508/, friendlyName=Open PubMed</x:v>
      </x:c>
    </x:row>
    <x:row r="2435">
      <x:c r="A2435" s="26" t="str">
        <x:v>PUBMED-41880467</x:v>
      </x:c>
      <x:c r="B2435" s="26" t="n">
        <x:v>2026</x:v>
      </x:c>
      <x:c r="C2435" s="26" t="str">
        <x:v>41880467</x:v>
      </x:c>
      <x:c r="D2435" s="28" t="str">
        <x:v>Cognitive and Orofacial Intersections: prevalence of temporomandibular disorders and bruxism in individuals with symptoms of attention deficit hyperactivity disorder.</x:v>
      </x:c>
      <x:c r="E2435" s="28" t="str">
        <x:v>Primary study - case-control</x:v>
      </x:c>
      <x:c r="F2435" s="28" t="str">
        <x:v>Development &amp; presentation; Recognition &amp; diagnosis; Social &amp; structural; Environmental &amp; lifestyle; Treatment &amp; support; Life outcomes &amp; lived experience</x:v>
      </x:c>
      <x:c r="G2435" s="28" t="str">
        <x:v>Adulthood</x:v>
      </x:c>
      <x:c r="H2435" s="28" t="str">
        <x:v>Later specialized</x:v>
      </x:c>
      <x:c r="I2435" s="28" t="str">
        <x:v>Direct or strongly ADHD-related record retained for later screening; typically narrower treatment, biomarker, mechanistic, or single-comorbidity focus.</x:v>
      </x:c>
      <x:c r="J2435" s="38" t="e">
        <x:f>HYPERLINK("https://pubmed.ncbi.nlm.nih.gov/"&amp;C2435&amp;"/","Open PubMed")</x:f>
        <x:v>HYPERLINK is not implemented. linkLocation=https://pubmed.ncbi.nlm.nih.gov/41880467/, friendlyName=Open PubMed</x:v>
      </x:c>
    </x:row>
    <x:row r="2436">
      <x:c r="A2436" s="26" t="str">
        <x:v>PUBMED-41875059</x:v>
      </x:c>
      <x:c r="B2436" s="26" t="n">
        <x:v>2026</x:v>
      </x:c>
      <x:c r="C2436" s="26" t="str">
        <x:v>41875059</x:v>
      </x:c>
      <x:c r="D2436" s="28" t="str">
        <x:v>Preliminary psychometric evaluation of a nonverbal social cue-following test in children with and without Attention-Deficit/Hyperactivity Disorder (ADHD).</x:v>
      </x:c>
      <x:c r="E2436" s="28" t="str">
        <x:v>Primary/contextual journal article</x:v>
      </x:c>
      <x:c r="F2436" s="28" t="str">
        <x:v>Development &amp; presentation; Recognition &amp; diagnosis; Social &amp; structural</x:v>
      </x:c>
      <x:c r="G2436" s="28" t="str">
        <x:v>Childhood; Adolescence</x:v>
      </x:c>
      <x:c r="H2436" s="28" t="str">
        <x:v>Later specialized</x:v>
      </x:c>
      <x:c r="I2436" s="28" t="str">
        <x:v>Direct or strongly ADHD-related record retained for later screening; typically narrower treatment, biomarker, mechanistic, or single-comorbidity focus.</x:v>
      </x:c>
      <x:c r="J2436" s="38" t="e">
        <x:f>HYPERLINK("https://pubmed.ncbi.nlm.nih.gov/"&amp;C2436&amp;"/","Open PubMed")</x:f>
        <x:v>HYPERLINK is not implemented. linkLocation=https://pubmed.ncbi.nlm.nih.gov/41875059/, friendlyName=Open PubMed</x:v>
      </x:c>
    </x:row>
    <x:row r="2437">
      <x:c r="A2437" s="26" t="str">
        <x:v>PUBMED-41862288</x:v>
      </x:c>
      <x:c r="B2437" s="26" t="n">
        <x:v>2026</x:v>
      </x:c>
      <x:c r="C2437" s="26" t="str">
        <x:v>41862288</x:v>
      </x:c>
      <x:c r="D2437" s="28" t="str">
        <x:v>Developing a Novel Coding System for Retrospective Chart Review of Attention-Deficit/Hyperactivity Disorder, Anxiety, and Medication Adherence in Pediatric Psychiatry.</x:v>
      </x:c>
      <x:c r="E2437" s="28" t="str">
        <x:v>Primary/contextual journal article</x:v>
      </x:c>
      <x:c r="F2437" s="28" t="str">
        <x:v>Development &amp; presentation; Social &amp; structural; Treatment &amp; support</x:v>
      </x:c>
      <x:c r="G2437" s="28" t="str">
        <x:v>Childhood; Adolescence</x:v>
      </x:c>
      <x:c r="H2437" s="28" t="str">
        <x:v>Later specialized</x:v>
      </x:c>
      <x:c r="I2437" s="28" t="str">
        <x:v>Direct or strongly ADHD-related record retained for later screening; typically narrower treatment, biomarker, mechanistic, or single-comorbidity focus.</x:v>
      </x:c>
      <x:c r="J2437" s="38" t="e">
        <x:f>HYPERLINK("https://pubmed.ncbi.nlm.nih.gov/"&amp;C2437&amp;"/","Open PubMed")</x:f>
        <x:v>HYPERLINK is not implemented. linkLocation=https://pubmed.ncbi.nlm.nih.gov/41862288/, friendlyName=Open PubMed</x:v>
      </x:c>
    </x:row>
    <x:row r="2438">
      <x:c r="A2438" s="26" t="str">
        <x:v>PUBMED-41860539</x:v>
      </x:c>
      <x:c r="B2438" s="26" t="n">
        <x:v>2026</x:v>
      </x:c>
      <x:c r="C2438" s="26" t="str">
        <x:v>41860539</x:v>
      </x:c>
      <x:c r="D2438" s="28" t="str">
        <x:v>Manufacturing Supply Chains and Imports in the ADHD Drug Shortage.</x:v>
      </x:c>
      <x:c r="E2438" s="28" t="str">
        <x:v>Primary/contextual journal article</x:v>
      </x:c>
      <x:c r="F2438" s="28" t="str">
        <x:v>Development &amp; presentation; Social &amp; structural; Treatment &amp; support</x:v>
      </x:c>
      <x:c r="G2438" s="28" t="str">
        <x:v>Not specified</x:v>
      </x:c>
      <x:c r="H2438" s="28" t="str">
        <x:v>Later specialized</x:v>
      </x:c>
      <x:c r="I2438" s="28" t="str">
        <x:v>Direct or strongly ADHD-related record retained for later screening; typically narrower treatment, biomarker, mechanistic, or single-comorbidity focus.</x:v>
      </x:c>
      <x:c r="J2438" s="38" t="e">
        <x:f>HYPERLINK("https://pubmed.ncbi.nlm.nih.gov/"&amp;C2438&amp;"/","Open PubMed")</x:f>
        <x:v>HYPERLINK is not implemented. linkLocation=https://pubmed.ncbi.nlm.nih.gov/41860539/, friendlyName=Open PubMed</x:v>
      </x:c>
    </x:row>
    <x:row r="2439">
      <x:c r="A2439" s="26" t="str">
        <x:v>PUBMED-41851804</x:v>
      </x:c>
      <x:c r="B2439" s="26" t="n">
        <x:v>2026</x:v>
      </x:c>
      <x:c r="C2439" s="26" t="str">
        <x:v>41851804</x:v>
      </x:c>
      <x:c r="D2439" s="28" t="str">
        <x:v>Symptomatic improvement in fibromyalgia after treatment of comorbid attention deficit hyperactivity disorder: a case report.</x:v>
      </x:c>
      <x:c r="E2439" s="28" t="str">
        <x:v>Primary/contextual journal article</x:v>
      </x:c>
      <x:c r="F2439" s="28" t="str">
        <x:v>Development &amp; presentation; Social &amp; structural; Environmental &amp; lifestyle; Treatment &amp; support; Life outcomes &amp; lived experience</x:v>
      </x:c>
      <x:c r="G2439" s="28" t="str">
        <x:v>Adulthood</x:v>
      </x:c>
      <x:c r="H2439" s="28" t="str">
        <x:v>Later specialized</x:v>
      </x:c>
      <x:c r="I2439" s="28" t="str">
        <x:v>Direct or strongly ADHD-related record retained for later screening; typically narrower treatment, biomarker, mechanistic, or single-comorbidity focus.</x:v>
      </x:c>
      <x:c r="J2439" s="38" t="e">
        <x:f>HYPERLINK("https://pubmed.ncbi.nlm.nih.gov/"&amp;C2439&amp;"/","Open PubMed")</x:f>
        <x:v>HYPERLINK is not implemented. linkLocation=https://pubmed.ncbi.nlm.nih.gov/41851804/, friendlyName=Open PubMed</x:v>
      </x:c>
    </x:row>
    <x:row r="2440">
      <x:c r="A2440" s="26" t="str">
        <x:v>PUBMED-41849922</x:v>
      </x:c>
      <x:c r="B2440" s="26" t="n">
        <x:v>2026</x:v>
      </x:c>
      <x:c r="C2440" s="26" t="str">
        <x:v>41849922</x:v>
      </x:c>
      <x:c r="D2440" s="28" t="str">
        <x:v>Prevalence and moderators of personality disorders in adults with ADHD: A meta-analysis.</x:v>
      </x:c>
      <x:c r="E2440" s="28" t="str">
        <x:v>Evidence synthesis - meta-analysis</x:v>
      </x:c>
      <x:c r="F2440" s="28" t="str">
        <x:v>Development &amp; presentation; Recognition &amp; diagnosis; Social &amp; structural</x:v>
      </x:c>
      <x:c r="G2440" s="28" t="str">
        <x:v>Adulthood</x:v>
      </x:c>
      <x:c r="H2440" s="28" t="str">
        <x:v>Batch 1 core</x:v>
      </x:c>
      <x:c r="I2440" s="28" t="str">
        <x:v>Direct ADHD evidence synthesis/guideline with broad multi-topic relevance.</x:v>
      </x:c>
      <x:c r="J2440" s="38" t="e">
        <x:f>HYPERLINK("https://pubmed.ncbi.nlm.nih.gov/"&amp;C2440&amp;"/","Open PubMed")</x:f>
        <x:v>HYPERLINK is not implemented. linkLocation=https://pubmed.ncbi.nlm.nih.gov/41849922/, friendlyName=Open PubMed</x:v>
      </x:c>
    </x:row>
    <x:row r="2441">
      <x:c r="A2441" s="26" t="str">
        <x:v>PUBMED-41847794</x:v>
      </x:c>
      <x:c r="B2441" s="26" t="n">
        <x:v>2026</x:v>
      </x:c>
      <x:c r="C2441" s="26" t="str">
        <x:v>41847794</x:v>
      </x:c>
      <x:c r="D2441" s="28" t="str">
        <x:v>Challenging Case: Health Care Professionals as Cultural Brokers for a Boy From Central America With Attention-Deficit Hyperactivity Disorder and Trauma and Stressor-related Disorder.</x:v>
      </x:c>
      <x:c r="E2441" s="28" t="str">
        <x:v>Primary/contextual journal article</x:v>
      </x:c>
      <x:c r="F2441" s="28" t="str">
        <x:v>Development &amp; presentation; Recognition &amp; diagnosis; Family &amp; education; Social &amp; structural; Environmental &amp; lifestyle; Treatment &amp; support; Historical &amp; contemporary context</x:v>
      </x:c>
      <x:c r="G2441" s="28" t="str">
        <x:v>Childhood</x:v>
      </x:c>
      <x:c r="H2441" s="28" t="str">
        <x:v>Later specialized</x:v>
      </x:c>
      <x:c r="I2441" s="28" t="str">
        <x:v>Direct or strongly ADHD-related record retained for later screening; typically narrower treatment, biomarker, mechanistic, or single-comorbidity focus.</x:v>
      </x:c>
      <x:c r="J2441" s="38" t="e">
        <x:f>HYPERLINK("https://pubmed.ncbi.nlm.nih.gov/"&amp;C2441&amp;"/","Open PubMed")</x:f>
        <x:v>HYPERLINK is not implemented. linkLocation=https://pubmed.ncbi.nlm.nih.gov/41847794/, friendlyName=Open PubMed</x:v>
      </x:c>
    </x:row>
    <x:row r="2442">
      <x:c r="A2442" s="26" t="str">
        <x:v>PUBMED-41831685</x:v>
      </x:c>
      <x:c r="B2442" s="26" t="n">
        <x:v>2026</x:v>
      </x:c>
      <x:c r="C2442" s="26" t="str">
        <x:v>41831685</x:v>
      </x:c>
      <x:c r="D2442" s="28" t="str">
        <x:v>Associations of High Serum Ferritin Concentrations with Learning Disability and Attention Deficit/Hyperactivity Disorder among Children and Adolescents.</x:v>
      </x:c>
      <x:c r="E2442" s="28" t="str">
        <x:v>Primary study - cross-sectional</x:v>
      </x:c>
      <x:c r="F2442" s="28" t="str">
        <x:v>Development &amp; presentation; Recognition &amp; diagnosis; Family &amp; education; Social &amp; structural; Environmental &amp; lifestyle; Life outcomes &amp; lived experience</x:v>
      </x:c>
      <x:c r="G2442" s="28" t="str">
        <x:v>Childhood; Adolescence</x:v>
      </x:c>
      <x:c r="H2442" s="28" t="str">
        <x:v>Later specialized</x:v>
      </x:c>
      <x:c r="I2442" s="28" t="str">
        <x:v>Direct or strongly ADHD-related record retained for later screening; typically narrower treatment, biomarker, mechanistic, or single-comorbidity focus.</x:v>
      </x:c>
      <x:c r="J2442" s="38" t="e">
        <x:f>HYPERLINK("https://pubmed.ncbi.nlm.nih.gov/"&amp;C2442&amp;"/","Open PubMed")</x:f>
        <x:v>HYPERLINK is not implemented. linkLocation=https://pubmed.ncbi.nlm.nih.gov/41831685/, friendlyName=Open PubMed</x:v>
      </x:c>
    </x:row>
    <x:row r="2443">
      <x:c r="A2443" s="26" t="str">
        <x:v>PUBMED-41824307</x:v>
      </x:c>
      <x:c r="B2443" s="26" t="n">
        <x:v>2026</x:v>
      </x:c>
      <x:c r="C2443" s="26" t="str">
        <x:v>41824307</x:v>
      </x:c>
      <x:c r="D2443" s="28" t="str">
        <x:v>Beyond the "overdiagnosis" narrative: understanding adult ADHD through DSM-5.</x:v>
      </x:c>
      <x:c r="E2443" s="28" t="str">
        <x:v>Primary/contextual journal article</x:v>
      </x:c>
      <x:c r="F2443" s="28" t="str">
        <x:v>Development &amp; presentation; Recognition &amp; diagnosis; Social &amp; structural; Treatment &amp; support; Historical &amp; contemporary context</x:v>
      </x:c>
      <x:c r="G2443" s="28" t="str">
        <x:v>Adulthood</x:v>
      </x:c>
      <x:c r="H2443" s="28" t="str">
        <x:v>Later specialized</x:v>
      </x:c>
      <x:c r="I2443" s="28" t="str">
        <x:v>Direct or strongly ADHD-related record retained for later screening; typically narrower treatment, biomarker, mechanistic, or single-comorbidity focus.</x:v>
      </x:c>
      <x:c r="J2443" s="38" t="e">
        <x:f>HYPERLINK("https://pubmed.ncbi.nlm.nih.gov/"&amp;C2443&amp;"/","Open PubMed")</x:f>
        <x:v>HYPERLINK is not implemented. linkLocation=https://pubmed.ncbi.nlm.nih.gov/41824307/, friendlyName=Open PubMed</x:v>
      </x:c>
    </x:row>
    <x:row r="2444">
      <x:c r="A2444" s="26" t="str">
        <x:v>PUBMED-41821984</x:v>
      </x:c>
      <x:c r="B2444" s="26" t="n">
        <x:v>2026</x:v>
      </x:c>
      <x:c r="C2444" s="26" t="str">
        <x:v>41821984</x:v>
      </x:c>
      <x:c r="D2444" s="28" t="str">
        <x:v>The Management of Evolving Neuropsychiatric Symptoms in a Female with Fragile X Syndrome: A Case Report.</x:v>
      </x:c>
      <x:c r="E2444" s="28" t="str">
        <x:v>Primary/contextual journal article</x:v>
      </x:c>
      <x:c r="F2444" s="28" t="str">
        <x:v>Development &amp; presentation; Recognition &amp; diagnosis; Family &amp; education; Social &amp; structural; Environmental &amp; lifestyle; Treatment &amp; support</x:v>
      </x:c>
      <x:c r="G2444" s="28" t="str">
        <x:v>Childhood; Adolescence; Adulthood</x:v>
      </x:c>
      <x:c r="H2444" s="28" t="str">
        <x:v>Later specialized</x:v>
      </x:c>
      <x:c r="I2444" s="28" t="str">
        <x:v>Direct or strongly ADHD-related record retained for later screening; typically narrower treatment, biomarker, mechanistic, or single-comorbidity focus.</x:v>
      </x:c>
      <x:c r="J2444" s="38" t="e">
        <x:f>HYPERLINK("https://pubmed.ncbi.nlm.nih.gov/"&amp;C2444&amp;"/","Open PubMed")</x:f>
        <x:v>HYPERLINK is not implemented. linkLocation=https://pubmed.ncbi.nlm.nih.gov/41821984/, friendlyName=Open PubMed</x:v>
      </x:c>
    </x:row>
    <x:row r="2445">
      <x:c r="A2445" s="26" t="str">
        <x:v>PUBMED-41821297</x:v>
      </x:c>
      <x:c r="B2445" s="26" t="n">
        <x:v>2026</x:v>
      </x:c>
      <x:c r="C2445" s="26" t="str">
        <x:v>41821297</x:v>
      </x:c>
      <x:c r="D2445" s="28" t="str">
        <x:v>Susceptibility of the CAARS-2 Self-Report to Sophisticated Malingering.</x:v>
      </x:c>
      <x:c r="E2445" s="28" t="str">
        <x:v>Primary/contextual journal article</x:v>
      </x:c>
      <x:c r="F2445" s="28" t="str">
        <x:v>Development &amp; presentation; Recognition &amp; diagnosis; Social &amp; structural</x:v>
      </x:c>
      <x:c r="G2445" s="28" t="str">
        <x:v>Adulthood</x:v>
      </x:c>
      <x:c r="H2445" s="28" t="str">
        <x:v>Later specialized</x:v>
      </x:c>
      <x:c r="I2445" s="28" t="str">
        <x:v>Direct or strongly ADHD-related record retained for later screening; typically narrower treatment, biomarker, mechanistic, or single-comorbidity focus.</x:v>
      </x:c>
      <x:c r="J2445" s="38" t="e">
        <x:f>HYPERLINK("https://pubmed.ncbi.nlm.nih.gov/"&amp;C2445&amp;"/","Open PubMed")</x:f>
        <x:v>HYPERLINK is not implemented. linkLocation=https://pubmed.ncbi.nlm.nih.gov/41821297/, friendlyName=Open PubMed</x:v>
      </x:c>
    </x:row>
    <x:row r="2446">
      <x:c r="A2446" s="26" t="str">
        <x:v>PUBMED-41814725</x:v>
      </x:c>
      <x:c r="B2446" s="26" t="n">
        <x:v>2026</x:v>
      </x:c>
      <x:c r="C2446" s="26" t="str">
        <x:v>41814725</x:v>
      </x:c>
      <x:c r="D2446" s="28" t="str">
        <x:v>[Research progress in signaling pathways involved in traditional Chinese medicine treatment of attention deficit hyperactivity disorder].</x:v>
      </x:c>
      <x:c r="E2446" s="28" t="str">
        <x:v>Evidence synthesis - review</x:v>
      </x:c>
      <x:c r="F2446" s="28" t="str">
        <x:v>Development &amp; presentation; Social &amp; structural; Treatment &amp; support; Life outcomes &amp; lived experience</x:v>
      </x:c>
      <x:c r="G2446" s="28" t="str">
        <x:v>Childhood</x:v>
      </x:c>
      <x:c r="H2446" s="28" t="str">
        <x:v>Later specialized</x:v>
      </x:c>
      <x:c r="I2446" s="28" t="str">
        <x:v>Direct or strongly ADHD-related record retained for later screening; typically narrower treatment, biomarker, mechanistic, or single-comorbidity focus.</x:v>
      </x:c>
      <x:c r="J2446" s="38" t="e">
        <x:f>HYPERLINK("https://pubmed.ncbi.nlm.nih.gov/"&amp;C2446&amp;"/","Open PubMed")</x:f>
        <x:v>HYPERLINK is not implemented. linkLocation=https://pubmed.ncbi.nlm.nih.gov/41814725/, friendlyName=Open PubMed</x:v>
      </x:c>
    </x:row>
    <x:row r="2447">
      <x:c r="A2447" s="26" t="str">
        <x:v>PUBMED-41811543</x:v>
      </x:c>
      <x:c r="B2447" s="26" t="n">
        <x:v>2026</x:v>
      </x:c>
      <x:c r="C2447" s="26" t="str">
        <x:v>41811543</x:v>
      </x:c>
      <x:c r="D2447" s="28" t="str">
        <x:v>The Boredom-ADHD Nexus: A Narrative and Meta-Analytic Review of the Evidence.</x:v>
      </x:c>
      <x:c r="E2447" s="28" t="str">
        <x:v>Evidence synthesis - meta-analysis</x:v>
      </x:c>
      <x:c r="F2447" s="28" t="str">
        <x:v>Development &amp; presentation; Recognition &amp; diagnosis; Social &amp; structural</x:v>
      </x:c>
      <x:c r="G2447" s="28" t="str">
        <x:v>Not specified</x:v>
      </x:c>
      <x:c r="H2447" s="28" t="str">
        <x:v>Batch 1 core</x:v>
      </x:c>
      <x:c r="I2447" s="28" t="str">
        <x:v>Direct ADHD evidence synthesis/guideline with broad multi-topic relevance.</x:v>
      </x:c>
      <x:c r="J2447" s="38" t="e">
        <x:f>HYPERLINK("https://pubmed.ncbi.nlm.nih.gov/"&amp;C2447&amp;"/","Open PubMed")</x:f>
        <x:v>HYPERLINK is not implemented. linkLocation=https://pubmed.ncbi.nlm.nih.gov/41811543/, friendlyName=Open PubMed</x:v>
      </x:c>
    </x:row>
    <x:row r="2448">
      <x:c r="A2448" s="26" t="str">
        <x:v>PUBMED-41810578</x:v>
      </x:c>
      <x:c r="B2448" s="26" t="n">
        <x:v>2026</x:v>
      </x:c>
      <x:c r="C2448" s="26" t="str">
        <x:v>41810578</x:v>
      </x:c>
      <x:c r="D2448" s="28" t="str">
        <x:v>Effectiveness of attexis, a digital intervention based on cognitive behavioral therapy for adults with ADHD: a randomized controlled trial.</x:v>
      </x:c>
      <x:c r="E2448" s="28" t="str">
        <x:v>Primary study - randomized controlled trial</x:v>
      </x:c>
      <x:c r="F2448" s="28" t="str">
        <x:v>Development &amp; presentation; Family &amp; education; Social &amp; structural; Treatment &amp; support; Life outcomes &amp; lived experience; Historical &amp; contemporary context</x:v>
      </x:c>
      <x:c r="G2448" s="28" t="str">
        <x:v>Adulthood</x:v>
      </x:c>
      <x:c r="H2448" s="28" t="str">
        <x:v>Later specialized</x:v>
      </x:c>
      <x:c r="I2448" s="28" t="str">
        <x:v>Direct or strongly ADHD-related record retained for later screening; typically narrower treatment, biomarker, mechanistic, or single-comorbidity focus.</x:v>
      </x:c>
      <x:c r="J2448" s="38" t="e">
        <x:f>HYPERLINK("https://pubmed.ncbi.nlm.nih.gov/"&amp;C2448&amp;"/","Open PubMed")</x:f>
        <x:v>HYPERLINK is not implemented. linkLocation=https://pubmed.ncbi.nlm.nih.gov/41810578/, friendlyName=Open PubMed</x:v>
      </x:c>
    </x:row>
    <x:row r="2449">
      <x:c r="A2449" s="26" t="str">
        <x:v>PUBMED-41808090</x:v>
      </x:c>
      <x:c r="B2449" s="26" t="n">
        <x:v>2026</x:v>
      </x:c>
      <x:c r="C2449" s="26" t="str">
        <x:v>41808090</x:v>
      </x:c>
      <x:c r="D2449" s="28" t="str">
        <x:v>Maternal smoking based on pre-birth health examination and risk of neurodevelopmental disorders in offspring: insights from a Korean mother-child cohort.</x:v>
      </x:c>
      <x:c r="E2449" s="28" t="str">
        <x:v>Primary study - cohort</x:v>
      </x:c>
      <x:c r="F2449" s="28" t="str">
        <x:v>Development &amp; presentation; Recognition &amp; diagnosis; Social &amp; structural; Environmental &amp; lifestyle; Treatment &amp; support; Life outcomes &amp; lived experience; Historical &amp; contemporary context</x:v>
      </x:c>
      <x:c r="G2449" s="28" t="str">
        <x:v>Childhood; Adulthood</x:v>
      </x:c>
      <x:c r="H2449" s="28" t="str">
        <x:v>Later specialized</x:v>
      </x:c>
      <x:c r="I2449" s="28" t="str">
        <x:v>Direct or strongly ADHD-related record retained for later screening; typically narrower treatment, biomarker, mechanistic, or single-comorbidity focus.</x:v>
      </x:c>
      <x:c r="J2449" s="38" t="e">
        <x:f>HYPERLINK("https://pubmed.ncbi.nlm.nih.gov/"&amp;C2449&amp;"/","Open PubMed")</x:f>
        <x:v>HYPERLINK is not implemented. linkLocation=https://pubmed.ncbi.nlm.nih.gov/41808090/, friendlyName=Open PubMed</x:v>
      </x:c>
    </x:row>
    <x:row r="2450">
      <x:c r="A2450" s="26" t="str">
        <x:v>PUBMED-41804611</x:v>
      </x:c>
      <x:c r="B2450" s="26" t="n">
        <x:v>2026</x:v>
      </x:c>
      <x:c r="C2450" s="26" t="str">
        <x:v>41804611</x:v>
      </x:c>
      <x:c r="D2450" s="28" t="str">
        <x:v>[Formula: see text] Inter-relationships between executive functions and functional impairments among children with ADHD: findings from a network perspective.</x:v>
      </x:c>
      <x:c r="E2450" s="28" t="str">
        <x:v>Primary/contextual journal article</x:v>
      </x:c>
      <x:c r="F2450" s="28" t="str">
        <x:v>Development &amp; presentation; Recognition &amp; diagnosis; Family &amp; education; Social &amp; structural; Life outcomes &amp; lived experience</x:v>
      </x:c>
      <x:c r="G2450" s="28" t="str">
        <x:v>Childhood; Adolescence</x:v>
      </x:c>
      <x:c r="H2450" s="28" t="str">
        <x:v>Later specialized</x:v>
      </x:c>
      <x:c r="I2450" s="28" t="str">
        <x:v>Direct or strongly ADHD-related record retained for later screening; typically narrower treatment, biomarker, mechanistic, or single-comorbidity focus.</x:v>
      </x:c>
      <x:c r="J2450" s="38" t="e">
        <x:f>HYPERLINK("https://pubmed.ncbi.nlm.nih.gov/"&amp;C2450&amp;"/","Open PubMed")</x:f>
        <x:v>HYPERLINK is not implemented. linkLocation=https://pubmed.ncbi.nlm.nih.gov/41804611/, friendlyName=Open PubMed</x:v>
      </x:c>
    </x:row>
    <x:row r="2451">
      <x:c r="A2451" s="26" t="str">
        <x:v>PUBMED-41803808</x:v>
      </x:c>
      <x:c r="B2451" s="26" t="n">
        <x:v>2026</x:v>
      </x:c>
      <x:c r="C2451" s="26" t="str">
        <x:v>41803808</x:v>
      </x:c>
      <x:c r="D2451" s="28" t="str">
        <x:v>Sleep, rest-activity rhythm, cognitive and emotional symptoms in adult ADHD: unraveling the links with an actimetry-based approach.</x:v>
      </x:c>
      <x:c r="E2451" s="28" t="str">
        <x:v>Primary study - randomized controlled trial</x:v>
      </x:c>
      <x:c r="F2451" s="28" t="str">
        <x:v>Development &amp; presentation; Recognition &amp; diagnosis; Social &amp; structural; Environmental &amp; lifestyle; Treatment &amp; support; Life outcomes &amp; lived experience</x:v>
      </x:c>
      <x:c r="G2451" s="28" t="str">
        <x:v>Adulthood</x:v>
      </x:c>
      <x:c r="H2451" s="28" t="str">
        <x:v>Later specialized</x:v>
      </x:c>
      <x:c r="I2451" s="28" t="str">
        <x:v>Direct or strongly ADHD-related record retained for later screening; typically narrower treatment, biomarker, mechanistic, or single-comorbidity focus.</x:v>
      </x:c>
      <x:c r="J2451" s="38" t="e">
        <x:f>HYPERLINK("https://pubmed.ncbi.nlm.nih.gov/"&amp;C2451&amp;"/","Open PubMed")</x:f>
        <x:v>HYPERLINK is not implemented. linkLocation=https://pubmed.ncbi.nlm.nih.gov/41803808/, friendlyName=Open PubMed</x:v>
      </x:c>
    </x:row>
    <x:row r="2452">
      <x:c r="A2452" s="26" t="str">
        <x:v>PUBMED-41794658</x:v>
      </x:c>
      <x:c r="B2452" s="26" t="n">
        <x:v>2026</x:v>
      </x:c>
      <x:c r="C2452" s="26" t="str">
        <x:v>41794658</x:v>
      </x:c>
      <x:c r="D2452" s="28" t="str">
        <x:v>Psychiatric comorbidity in functional tics: a scoping review.</x:v>
      </x:c>
      <x:c r="E2452" s="28" t="str">
        <x:v>Evidence synthesis - systematic review</x:v>
      </x:c>
      <x:c r="F2452" s="28" t="str">
        <x:v>Development &amp; presentation; Recognition &amp; diagnosis; Social &amp; structural; Treatment &amp; support</x:v>
      </x:c>
      <x:c r="G2452" s="28" t="str">
        <x:v>Not specified</x:v>
      </x:c>
      <x:c r="H2452" s="28" t="str">
        <x:v>Exclude/incidental</x:v>
      </x:c>
      <x:c r="I2452" s="28" t="str">
        <x:v>ADHD appears peripheral or insufficiently aligned with the requested corpus scope based on accessible metadata/abstract.</x:v>
      </x:c>
      <x:c r="J2452" s="38" t="e">
        <x:f>HYPERLINK("https://pubmed.ncbi.nlm.nih.gov/"&amp;C2452&amp;"/","Open PubMed")</x:f>
        <x:v>HYPERLINK is not implemented. linkLocation=https://pubmed.ncbi.nlm.nih.gov/41794658/, friendlyName=Open PubMed</x:v>
      </x:c>
    </x:row>
    <x:row r="2453">
      <x:c r="A2453" s="26" t="str">
        <x:v>PUBMED-41793974</x:v>
      </x:c>
      <x:c r="B2453" s="26" t="n">
        <x:v>2026</x:v>
      </x:c>
      <x:c r="C2453" s="26" t="str">
        <x:v>41793974</x:v>
      </x:c>
      <x:c r="D2453" s="28" t="str">
        <x:v>Neuronal and vascular changes in the central retina in adult attention deficit hyperactivity disorder.</x:v>
      </x:c>
      <x:c r="E2453" s="28" t="str">
        <x:v>Primary study - case-control</x:v>
      </x:c>
      <x:c r="F2453" s="28" t="str">
        <x:v>Development &amp; presentation; Recognition &amp; diagnosis; Social &amp; structural; Treatment &amp; support</x:v>
      </x:c>
      <x:c r="G2453" s="28" t="str">
        <x:v>Adulthood</x:v>
      </x:c>
      <x:c r="H2453" s="28" t="str">
        <x:v>Later specialized</x:v>
      </x:c>
      <x:c r="I2453" s="28" t="str">
        <x:v>Direct or strongly ADHD-related record retained for later screening; typically narrower treatment, biomarker, mechanistic, or single-comorbidity focus.</x:v>
      </x:c>
      <x:c r="J2453" s="38" t="e">
        <x:f>HYPERLINK("https://pubmed.ncbi.nlm.nih.gov/"&amp;C2453&amp;"/","Open PubMed")</x:f>
        <x:v>HYPERLINK is not implemented. linkLocation=https://pubmed.ncbi.nlm.nih.gov/41793974/, friendlyName=Open PubMed</x:v>
      </x:c>
    </x:row>
    <x:row r="2454">
      <x:c r="A2454" s="26" t="str">
        <x:v>PUBMED-41792640</x:v>
      </x:c>
      <x:c r="B2454" s="26" t="n">
        <x:v>2026</x:v>
      </x:c>
      <x:c r="C2454" s="26" t="str">
        <x:v>41792640</x:v>
      </x:c>
      <x:c r="D2454" s="28" t="str">
        <x:v>Ocular structural parameters in children with attention-deficit/hyperactivity disorder: a case-control study of drug-naïve and methylphenidate-treated patients.</x:v>
      </x:c>
      <x:c r="E2454" s="28" t="str">
        <x:v>Primary study - case-control</x:v>
      </x:c>
      <x:c r="F2454" s="28" t="str">
        <x:v>Development &amp; presentation; Social &amp; structural; Treatment &amp; support</x:v>
      </x:c>
      <x:c r="G2454" s="28" t="str">
        <x:v>Childhood; Adolescence</x:v>
      </x:c>
      <x:c r="H2454" s="28" t="str">
        <x:v>Later specialized</x:v>
      </x:c>
      <x:c r="I2454" s="28" t="str">
        <x:v>Direct or strongly ADHD-related record retained for later screening; typically narrower treatment, biomarker, mechanistic, or single-comorbidity focus.</x:v>
      </x:c>
      <x:c r="J2454" s="38" t="e">
        <x:f>HYPERLINK("https://pubmed.ncbi.nlm.nih.gov/"&amp;C2454&amp;"/","Open PubMed")</x:f>
        <x:v>HYPERLINK is not implemented. linkLocation=https://pubmed.ncbi.nlm.nih.gov/41792640/, friendlyName=Open PubMed</x:v>
      </x:c>
    </x:row>
    <x:row r="2455">
      <x:c r="A2455" s="26" t="str">
        <x:v>PUBMED-41789525</x:v>
      </x:c>
      <x:c r="B2455" s="26" t="n">
        <x:v>2026</x:v>
      </x:c>
      <x:c r="C2455" s="26" t="str">
        <x:v>41789525</x:v>
      </x:c>
      <x:c r="D2455" s="28" t="str">
        <x:v>Identifying Candidate Mediators Linking ADHD Symptoms and Internalising Problems in Adolescence: An Exploratory Longitudinal Mediation Analysis.</x:v>
      </x:c>
      <x:c r="E2455" s="28" t="str">
        <x:v>Primary study - cohort</x:v>
      </x:c>
      <x:c r="F2455" s="28" t="str">
        <x:v>Development &amp; presentation; Family &amp; education; Social &amp; structural; Life outcomes &amp; lived experience</x:v>
      </x:c>
      <x:c r="G2455" s="28" t="str">
        <x:v>Childhood; Adolescence</x:v>
      </x:c>
      <x:c r="H2455" s="28" t="str">
        <x:v>Later specialized</x:v>
      </x:c>
      <x:c r="I2455" s="28" t="str">
        <x:v>Direct or strongly ADHD-related record retained for later screening; typically narrower treatment, biomarker, mechanistic, or single-comorbidity focus.</x:v>
      </x:c>
      <x:c r="J2455" s="38" t="e">
        <x:f>HYPERLINK("https://pubmed.ncbi.nlm.nih.gov/"&amp;C2455&amp;"/","Open PubMed")</x:f>
        <x:v>HYPERLINK is not implemented. linkLocation=https://pubmed.ncbi.nlm.nih.gov/41789525/, friendlyName=Open PubMed</x:v>
      </x:c>
    </x:row>
    <x:row r="2456">
      <x:c r="A2456" s="26" t="str">
        <x:v>PUBMED-41787869</x:v>
      </x:c>
      <x:c r="B2456" s="26" t="n">
        <x:v>2026</x:v>
      </x:c>
      <x:c r="C2456" s="26" t="str">
        <x:v>41787869</x:v>
      </x:c>
      <x:c r="D2456" s="28" t="str">
        <x:v>Optimizing exercise interventions for motor skills enhancement in attention deficit hyperactivity disorder: Evidence from meta-analysis.</x:v>
      </x:c>
      <x:c r="E2456" s="28" t="str">
        <x:v>Evidence synthesis - meta-analysis</x:v>
      </x:c>
      <x:c r="F2456" s="28" t="str">
        <x:v>Development &amp; presentation; Family &amp; education; Social &amp; structural; Environmental &amp; lifestyle; Treatment &amp; support; Life outcomes &amp; lived experience</x:v>
      </x:c>
      <x:c r="G2456" s="28" t="str">
        <x:v>Childhood; Adolescence</x:v>
      </x:c>
      <x:c r="H2456" s="28" t="str">
        <x:v>Batch 1 core</x:v>
      </x:c>
      <x:c r="I2456" s="28" t="str">
        <x:v>Direct ADHD evidence synthesis/guideline with broad multi-topic relevance.</x:v>
      </x:c>
      <x:c r="J2456" s="38" t="e">
        <x:f>HYPERLINK("https://pubmed.ncbi.nlm.nih.gov/"&amp;C2456&amp;"/","Open PubMed")</x:f>
        <x:v>HYPERLINK is not implemented. linkLocation=https://pubmed.ncbi.nlm.nih.gov/41787869/, friendlyName=Open PubMed</x:v>
      </x:c>
    </x:row>
    <x:row r="2457">
      <x:c r="A2457" s="26" t="str">
        <x:v>PUBMED-41781796</x:v>
      </x:c>
      <x:c r="B2457" s="26" t="n">
        <x:v>2026</x:v>
      </x:c>
      <x:c r="C2457" s="26" t="str">
        <x:v>41781796</x:v>
      </x:c>
      <x:c r="D2457" s="28" t="str">
        <x:v>The shared and disorder-specific resting-state functional connectivity networks associated with emotion regulation between attention deficit/hyperactivity disorder and bipolar disorder.</x:v>
      </x:c>
      <x:c r="E2457" s="28" t="str">
        <x:v>Primary/contextual journal article</x:v>
      </x:c>
      <x:c r="F2457" s="28" t="str">
        <x:v>Development &amp; presentation; Recognition &amp; diagnosis; Treatment &amp; support</x:v>
      </x:c>
      <x:c r="G2457" s="28" t="str">
        <x:v>Adulthood</x:v>
      </x:c>
      <x:c r="H2457" s="28" t="str">
        <x:v>Later specialized</x:v>
      </x:c>
      <x:c r="I2457" s="28" t="str">
        <x:v>Direct or strongly ADHD-related record retained for later screening; typically narrower treatment, biomarker, mechanistic, or single-comorbidity focus.</x:v>
      </x:c>
      <x:c r="J2457" s="38" t="e">
        <x:f>HYPERLINK("https://pubmed.ncbi.nlm.nih.gov/"&amp;C2457&amp;"/","Open PubMed")</x:f>
        <x:v>HYPERLINK is not implemented. linkLocation=https://pubmed.ncbi.nlm.nih.gov/41781796/, friendlyName=Open PubMed</x:v>
      </x:c>
    </x:row>
    <x:row r="2458">
      <x:c r="A2458" s="26" t="str">
        <x:v>PUBMED-41781648</x:v>
      </x:c>
      <x:c r="B2458" s="26" t="n">
        <x:v>2026</x:v>
      </x:c>
      <x:c r="C2458" s="26" t="str">
        <x:v>41781648</x:v>
      </x:c>
      <x:c r="D2458" s="28" t="str">
        <x:v>ADBrainNet: a deep neural network for Autism Spectrum Disorder (ASD) and Attention Deficit and Hyperactivity Disorder (ADHD) classification using resting-state fMRI images based on explainable artificial intelligence.</x:v>
      </x:c>
      <x:c r="E2458" s="28" t="str">
        <x:v>Primary/contextual journal article</x:v>
      </x:c>
      <x:c r="F2458" s="28" t="str">
        <x:v>Development &amp; presentation; Recognition &amp; diagnosis; Social &amp; structural</x:v>
      </x:c>
      <x:c r="G2458" s="28" t="str">
        <x:v>Childhood</x:v>
      </x:c>
      <x:c r="H2458" s="28" t="str">
        <x:v>Later specialized</x:v>
      </x:c>
      <x:c r="I2458" s="28" t="str">
        <x:v>Direct or strongly ADHD-related record retained for later screening; typically narrower treatment, biomarker, mechanistic, or single-comorbidity focus.</x:v>
      </x:c>
      <x:c r="J2458" s="38" t="e">
        <x:f>HYPERLINK("https://pubmed.ncbi.nlm.nih.gov/"&amp;C2458&amp;"/","Open PubMed")</x:f>
        <x:v>HYPERLINK is not implemented. linkLocation=https://pubmed.ncbi.nlm.nih.gov/41781648/, friendlyName=Open PubMed</x:v>
      </x:c>
    </x:row>
    <x:row r="2459">
      <x:c r="A2459" s="26" t="str">
        <x:v>PUBMED-41776068</x:v>
      </x:c>
      <x:c r="B2459" s="26" t="n">
        <x:v>2026</x:v>
      </x:c>
      <x:c r="C2459" s="26" t="str">
        <x:v>41776068</x:v>
      </x:c>
      <x:c r="D2459" s="28" t="str">
        <x:v>Association Between Trace Mineral Concentrations and Oxidative Stress in Children with ADHD Supplemented with Multinutrients.</x:v>
      </x:c>
      <x:c r="E2459" s="28" t="str">
        <x:v>Primary study - randomized controlled trial</x:v>
      </x:c>
      <x:c r="F2459" s="28" t="str">
        <x:v>Development &amp; presentation; Social &amp; structural; Environmental &amp; lifestyle; Treatment &amp; support; Life outcomes &amp; lived experience</x:v>
      </x:c>
      <x:c r="G2459" s="28" t="str">
        <x:v>Childhood</x:v>
      </x:c>
      <x:c r="H2459" s="28" t="str">
        <x:v>Later specialized</x:v>
      </x:c>
      <x:c r="I2459" s="28" t="str">
        <x:v>Direct or strongly ADHD-related record retained for later screening; typically narrower treatment, biomarker, mechanistic, or single-comorbidity focus.</x:v>
      </x:c>
      <x:c r="J2459" s="38" t="e">
        <x:f>HYPERLINK("https://pubmed.ncbi.nlm.nih.gov/"&amp;C2459&amp;"/","Open PubMed")</x:f>
        <x:v>HYPERLINK is not implemented. linkLocation=https://pubmed.ncbi.nlm.nih.gov/41776068/, friendlyName=Open PubMed</x:v>
      </x:c>
    </x:row>
    <x:row r="2460">
      <x:c r="A2460" s="26" t="str">
        <x:v>PUBMED-41764291</x:v>
      </x:c>
      <x:c r="B2460" s="26" t="n">
        <x:v>2026</x:v>
      </x:c>
      <x:c r="C2460" s="26" t="str">
        <x:v>41764291</x:v>
      </x:c>
      <x:c r="D2460" s="28" t="str">
        <x:v>Maternal immune activation in mice recapitulates features of attention-deficit/hyperactivity disorder (ADHD) in susceptible offspring.</x:v>
      </x:c>
      <x:c r="E2460" s="28" t="str">
        <x:v>Primary/contextual journal article</x:v>
      </x:c>
      <x:c r="F2460" s="28" t="str">
        <x:v>Development &amp; presentation; Recognition &amp; diagnosis; Social &amp; structural; Environmental &amp; lifestyle; Treatment &amp; support; Life outcomes &amp; lived experience</x:v>
      </x:c>
      <x:c r="G2460" s="28" t="str">
        <x:v>Adolescence; Adulthood</x:v>
      </x:c>
      <x:c r="H2460" s="28" t="str">
        <x:v>Exclude/incidental</x:v>
      </x:c>
      <x:c r="I2460" s="28" t="str">
        <x:v>Animal-only record; retained outside the human-focused core corpus.</x:v>
      </x:c>
      <x:c r="J2460" s="38" t="e">
        <x:f>HYPERLINK("https://pubmed.ncbi.nlm.nih.gov/"&amp;C2460&amp;"/","Open PubMed")</x:f>
        <x:v>HYPERLINK is not implemented. linkLocation=https://pubmed.ncbi.nlm.nih.gov/41764291/, friendlyName=Open PubMed</x:v>
      </x:c>
    </x:row>
    <x:row r="2461">
      <x:c r="A2461" s="26" t="str">
        <x:v>PUBMED-41762898</x:v>
      </x:c>
      <x:c r="B2461" s="26" t="n">
        <x:v>2026</x:v>
      </x:c>
      <x:c r="C2461" s="26" t="str">
        <x:v>41762898</x:v>
      </x:c>
      <x:c r="D2461" s="28" t="str">
        <x:v>Polygenic risk scores reveal genetic underpinnings of comorbidity between substance use disorders and ADHD.</x:v>
      </x:c>
      <x:c r="E2461" s="28" t="str">
        <x:v>Primary/contextual journal article</x:v>
      </x:c>
      <x:c r="F2461" s="28" t="str">
        <x:v>Development &amp; presentation; Social &amp; structural; Environmental &amp; lifestyle; Treatment &amp; support; Life outcomes &amp; lived experience</x:v>
      </x:c>
      <x:c r="G2461" s="28" t="str">
        <x:v>Not specified</x:v>
      </x:c>
      <x:c r="H2461" s="28" t="str">
        <x:v>Later specialized</x:v>
      </x:c>
      <x:c r="I2461" s="28" t="str">
        <x:v>Direct or strongly ADHD-related record retained for later screening; typically narrower treatment, biomarker, mechanistic, or single-comorbidity focus.</x:v>
      </x:c>
      <x:c r="J2461" s="38" t="e">
        <x:f>HYPERLINK("https://pubmed.ncbi.nlm.nih.gov/"&amp;C2461&amp;"/","Open PubMed")</x:f>
        <x:v>HYPERLINK is not implemented. linkLocation=https://pubmed.ncbi.nlm.nih.gov/41762898/, friendlyName=Open PubMed</x:v>
      </x:c>
    </x:row>
    <x:row r="2462">
      <x:c r="A2462" s="26" t="str">
        <x:v>PUBMED-41759441</x:v>
      </x:c>
      <x:c r="B2462" s="26" t="n">
        <x:v>2026</x:v>
      </x:c>
      <x:c r="C2462" s="26" t="str">
        <x:v>41759441</x:v>
      </x:c>
      <x:c r="D2462" s="28" t="str">
        <x:v>The effectiveness and feasibility of the new Forest parenting programme for Chinese children with attention-deficit/hyperactivity disorder and their families.</x:v>
      </x:c>
      <x:c r="E2462" s="28" t="str">
        <x:v>Primary study - qualitative</x:v>
      </x:c>
      <x:c r="F2462" s="28" t="str">
        <x:v>Development &amp; presentation; Family &amp; education; Social &amp; structural; Treatment &amp; support; Life outcomes &amp; lived experience</x:v>
      </x:c>
      <x:c r="G2462" s="28" t="str">
        <x:v>Childhood</x:v>
      </x:c>
      <x:c r="H2462" s="28" t="str">
        <x:v>Batch 1 core</x:v>
      </x:c>
      <x:c r="I2462" s="28" t="str">
        <x:v>Direct ADHD primary study on diagnosis, family/education, structural conditions, lived experience/outcomes, or environment/lifestyle.</x:v>
      </x:c>
      <x:c r="J2462" s="38" t="e">
        <x:f>HYPERLINK("https://pubmed.ncbi.nlm.nih.gov/"&amp;C2462&amp;"/","Open PubMed")</x:f>
        <x:v>HYPERLINK is not implemented. linkLocation=https://pubmed.ncbi.nlm.nih.gov/41759441/, friendlyName=Open PubMed</x:v>
      </x:c>
    </x:row>
    <x:row r="2463">
      <x:c r="A2463" s="26" t="str">
        <x:v>PUBMED-41742614</x:v>
      </x:c>
      <x:c r="B2463" s="26" t="n">
        <x:v>2026</x:v>
      </x:c>
      <x:c r="C2463" s="26" t="str">
        <x:v>41742614</x:v>
      </x:c>
      <x:c r="D2463" s="28" t="str">
        <x:v>Long-Term Benefits of Chronic 5-HT2A Antagonist and 5-HT1A Agonist Treatment on ADHD Behavior in Juvenile Spontaneously Hypertensive Rats.</x:v>
      </x:c>
      <x:c r="E2463" s="28" t="str">
        <x:v>Primary/contextual journal article</x:v>
      </x:c>
      <x:c r="F2463" s="28" t="str">
        <x:v>Development &amp; presentation; Social &amp; structural; Treatment &amp; support</x:v>
      </x:c>
      <x:c r="G2463" s="28" t="str">
        <x:v>Not specified</x:v>
      </x:c>
      <x:c r="H2463" s="28" t="str">
        <x:v>Exclude/incidental</x:v>
      </x:c>
      <x:c r="I2463" s="28" t="str">
        <x:v>Animal-only record; retained outside the human-focused core corpus.</x:v>
      </x:c>
      <x:c r="J2463" s="38" t="e">
        <x:f>HYPERLINK("https://pubmed.ncbi.nlm.nih.gov/"&amp;C2463&amp;"/","Open PubMed")</x:f>
        <x:v>HYPERLINK is not implemented. linkLocation=https://pubmed.ncbi.nlm.nih.gov/41742614/, friendlyName=Open PubMed</x:v>
      </x:c>
    </x:row>
    <x:row r="2464">
      <x:c r="A2464" s="26" t="str">
        <x:v>PUBMED-41741629</x:v>
      </x:c>
      <x:c r="B2464" s="26" t="n">
        <x:v>2026</x:v>
      </x:c>
      <x:c r="C2464" s="26" t="str">
        <x:v>41741629</x:v>
      </x:c>
      <x:c r="D2464" s="28" t="str">
        <x:v>Evaluation of the relationship between vitamin levels and symptom severity in adults with attention-deficit/hyperactivity disorder.</x:v>
      </x:c>
      <x:c r="E2464" s="28" t="str">
        <x:v>Primary study - case-control</x:v>
      </x:c>
      <x:c r="F2464" s="28" t="str">
        <x:v>Development &amp; presentation; Recognition &amp; diagnosis; Social &amp; structural; Environmental &amp; lifestyle; Life outcomes &amp; lived experience</x:v>
      </x:c>
      <x:c r="G2464" s="28" t="str">
        <x:v>Adulthood</x:v>
      </x:c>
      <x:c r="H2464" s="28" t="str">
        <x:v>Batch 1 core</x:v>
      </x:c>
      <x:c r="I2464" s="28" t="str">
        <x:v>Direct ADHD primary study on diagnosis, family/education, structural conditions, lived experience/outcomes, or environment/lifestyle.</x:v>
      </x:c>
      <x:c r="J2464" s="38" t="e">
        <x:f>HYPERLINK("https://pubmed.ncbi.nlm.nih.gov/"&amp;C2464&amp;"/","Open PubMed")</x:f>
        <x:v>HYPERLINK is not implemented. linkLocation=https://pubmed.ncbi.nlm.nih.gov/41741629/, friendlyName=Open PubMed</x:v>
      </x:c>
    </x:row>
    <x:row r="2465">
      <x:c r="A2465" s="26" t="str">
        <x:v>PUBMED-41740565</x:v>
      </x:c>
      <x:c r="B2465" s="26" t="n">
        <x:v>2026</x:v>
      </x:c>
      <x:c r="C2465" s="26" t="str">
        <x:v>41740565</x:v>
      </x:c>
      <x:c r="D2465" s="28" t="str">
        <x:v>Validity of screening tools and risk factors for Co-occurring ADHD in children with epilepsy: a systematic review and meta-analysis.</x:v>
      </x:c>
      <x:c r="E2465" s="28" t="str">
        <x:v>Evidence synthesis - meta-analysis</x:v>
      </x:c>
      <x:c r="F2465" s="28" t="str">
        <x:v>Development &amp; presentation; Recognition &amp; diagnosis; Family &amp; education; Social &amp; structural; Treatment &amp; support; Life outcomes &amp; lived experience</x:v>
      </x:c>
      <x:c r="G2465" s="28" t="str">
        <x:v>Childhood</x:v>
      </x:c>
      <x:c r="H2465" s="28" t="str">
        <x:v>Batch 1 core</x:v>
      </x:c>
      <x:c r="I2465" s="28" t="str">
        <x:v>Direct ADHD evidence synthesis/guideline with broad multi-topic relevance.</x:v>
      </x:c>
      <x:c r="J2465" s="38" t="e">
        <x:f>HYPERLINK("https://pubmed.ncbi.nlm.nih.gov/"&amp;C2465&amp;"/","Open PubMed")</x:f>
        <x:v>HYPERLINK is not implemented. linkLocation=https://pubmed.ncbi.nlm.nih.gov/41740565/, friendlyName=Open PubMed</x:v>
      </x:c>
    </x:row>
    <x:row r="2466">
      <x:c r="A2466" s="26" t="str">
        <x:v>PUBMED-41733044</x:v>
      </x:c>
      <x:c r="B2466" s="26" t="n">
        <x:v>2026</x:v>
      </x:c>
      <x:c r="C2466" s="26" t="str">
        <x:v>41733044</x:v>
      </x:c>
      <x:c r="D2466" s="28" t="str">
        <x:v>Retinal Microvasculature and Emotional, Behavioral, and Cognitive Outcomes at School Age.</x:v>
      </x:c>
      <x:c r="E2466" s="28" t="str">
        <x:v>Primary study - cohort</x:v>
      </x:c>
      <x:c r="F2466" s="28" t="str">
        <x:v>Development &amp; presentation; Recognition &amp; diagnosis; Family &amp; education; Social &amp; structural; Treatment &amp; support; Life outcomes &amp; lived experience</x:v>
      </x:c>
      <x:c r="G2466" s="28" t="str">
        <x:v>Childhood; Adolescence; Adulthood</x:v>
      </x:c>
      <x:c r="H2466" s="28" t="str">
        <x:v>Later specialized</x:v>
      </x:c>
      <x:c r="I2466" s="28" t="str">
        <x:v>Direct or strongly ADHD-related record retained for later screening; typically narrower treatment, biomarker, mechanistic, or single-comorbidity focus.</x:v>
      </x:c>
      <x:c r="J2466" s="38" t="e">
        <x:f>HYPERLINK("https://pubmed.ncbi.nlm.nih.gov/"&amp;C2466&amp;"/","Open PubMed")</x:f>
        <x:v>HYPERLINK is not implemented. linkLocation=https://pubmed.ncbi.nlm.nih.gov/41733044/, friendlyName=Open PubMed</x:v>
      </x:c>
    </x:row>
    <x:row r="2467">
      <x:c r="A2467" s="26" t="str">
        <x:v>PUBMED-41731001</x:v>
      </x:c>
      <x:c r="B2467" s="26" t="n">
        <x:v>2026</x:v>
      </x:c>
      <x:c r="C2467" s="26" t="str">
        <x:v>41731001</x:v>
      </x:c>
      <x:c r="D2467" s="28" t="str">
        <x:v>Trends and patterns of medical stimulant use by US adults.</x:v>
      </x:c>
      <x:c r="E2467" s="28" t="str">
        <x:v>Primary/contextual journal article</x:v>
      </x:c>
      <x:c r="F2467" s="28" t="str">
        <x:v>Development &amp; presentation; Family &amp; education; Social &amp; structural; Treatment &amp; support</x:v>
      </x:c>
      <x:c r="G2467" s="28" t="str">
        <x:v>Adulthood</x:v>
      </x:c>
      <x:c r="H2467" s="28" t="str">
        <x:v>Later specialized</x:v>
      </x:c>
      <x:c r="I2467" s="28" t="str">
        <x:v>Direct or strongly ADHD-related record retained for later screening; typically narrower treatment, biomarker, mechanistic, or single-comorbidity focus.</x:v>
      </x:c>
      <x:c r="J2467" s="38" t="e">
        <x:f>HYPERLINK("https://pubmed.ncbi.nlm.nih.gov/"&amp;C2467&amp;"/","Open PubMed")</x:f>
        <x:v>HYPERLINK is not implemented. linkLocation=https://pubmed.ncbi.nlm.nih.gov/41731001/, friendlyName=Open PubMed</x:v>
      </x:c>
    </x:row>
    <x:row r="2468">
      <x:c r="A2468" s="26" t="str">
        <x:v>PUBMED-41729271</x:v>
      </x:c>
      <x:c r="B2468" s="26" t="n">
        <x:v>2026</x:v>
      </x:c>
      <x:c r="C2468" s="26" t="str">
        <x:v>41729271</x:v>
      </x:c>
      <x:c r="D2468" s="28" t="str">
        <x:v>Visual-spatial working memory in ADHD: new evidence for a storage rather than a processing deficit.</x:v>
      </x:c>
      <x:c r="E2468" s="28" t="str">
        <x:v>Primary study - case-control</x:v>
      </x:c>
      <x:c r="F2468" s="28" t="str">
        <x:v>Development &amp; presentation; Social &amp; structural; Life outcomes &amp; lived experience</x:v>
      </x:c>
      <x:c r="G2468" s="28" t="str">
        <x:v>Childhood; Adolescence</x:v>
      </x:c>
      <x:c r="H2468" s="28" t="str">
        <x:v>Batch 1 core</x:v>
      </x:c>
      <x:c r="I2468" s="28" t="str">
        <x:v>Direct ADHD primary study on diagnosis, family/education, structural conditions, lived experience/outcomes, or environment/lifestyle.</x:v>
      </x:c>
      <x:c r="J2468" s="38" t="e">
        <x:f>HYPERLINK("https://pubmed.ncbi.nlm.nih.gov/"&amp;C2468&amp;"/","Open PubMed")</x:f>
        <x:v>HYPERLINK is not implemented. linkLocation=https://pubmed.ncbi.nlm.nih.gov/41729271/, friendlyName=Open PubMed</x:v>
      </x:c>
    </x:row>
    <x:row r="2469">
      <x:c r="A2469" s="26" t="str">
        <x:v>PUBMED-41724214</x:v>
      </x:c>
      <x:c r="B2469" s="26" t="n">
        <x:v>2026</x:v>
      </x:c>
      <x:c r="C2469" s="26" t="str">
        <x:v>41724214</x:v>
      </x:c>
      <x:c r="D2469" s="28" t="str">
        <x:v>Sleep-like slow waves in ADHD: Regional specificity in combined type.</x:v>
      </x:c>
      <x:c r="E2469" s="28" t="str">
        <x:v>Primary/contextual journal article</x:v>
      </x:c>
      <x:c r="F2469" s="28" t="str">
        <x:v>Development &amp; presentation; Recognition &amp; diagnosis; Social &amp; structural; Environmental &amp; lifestyle; Treatment &amp; support; Life outcomes &amp; lived experience</x:v>
      </x:c>
      <x:c r="G2469" s="28" t="str">
        <x:v>Childhood; Adolescence</x:v>
      </x:c>
      <x:c r="H2469" s="28" t="str">
        <x:v>Later specialized</x:v>
      </x:c>
      <x:c r="I2469" s="28" t="str">
        <x:v>Direct or strongly ADHD-related record retained for later screening; typically narrower treatment, biomarker, mechanistic, or single-comorbidity focus.</x:v>
      </x:c>
      <x:c r="J2469" s="38" t="e">
        <x:f>HYPERLINK("https://pubmed.ncbi.nlm.nih.gov/"&amp;C2469&amp;"/","Open PubMed")</x:f>
        <x:v>HYPERLINK is not implemented. linkLocation=https://pubmed.ncbi.nlm.nih.gov/41724214/, friendlyName=Open PubMed</x:v>
      </x:c>
    </x:row>
    <x:row r="2470">
      <x:c r="A2470" s="26" t="str">
        <x:v>PUBMED-41705333</x:v>
      </x:c>
      <x:c r="B2470" s="26" t="n">
        <x:v>2026</x:v>
      </x:c>
      <x:c r="C2470" s="26" t="str">
        <x:v>41705333</x:v>
      </x:c>
      <x:c r="D2470" s="28" t="str">
        <x:v>Mapping latent neuroanatomical substrates of behavioral and emotional dysregulation in ADHD.</x:v>
      </x:c>
      <x:c r="E2470" s="28" t="str">
        <x:v>Primary/contextual journal article</x:v>
      </x:c>
      <x:c r="F2470" s="28" t="str">
        <x:v>Development &amp; presentation; Recognition &amp; diagnosis; Family &amp; education; Treatment &amp; support</x:v>
      </x:c>
      <x:c r="G2470" s="28" t="str">
        <x:v>Childhood</x:v>
      </x:c>
      <x:c r="H2470" s="28" t="str">
        <x:v>Later specialized</x:v>
      </x:c>
      <x:c r="I2470" s="28" t="str">
        <x:v>Direct or strongly ADHD-related record retained for later screening; typically narrower treatment, biomarker, mechanistic, or single-comorbidity focus.</x:v>
      </x:c>
      <x:c r="J2470" s="38" t="e">
        <x:f>HYPERLINK("https://pubmed.ncbi.nlm.nih.gov/"&amp;C2470&amp;"/","Open PubMed")</x:f>
        <x:v>HYPERLINK is not implemented. linkLocation=https://pubmed.ncbi.nlm.nih.gov/41705333/, friendlyName=Open PubMed</x:v>
      </x:c>
    </x:row>
    <x:row r="2471">
      <x:c r="A2471" s="26" t="str">
        <x:v>PUBMED-41699558</x:v>
      </x:c>
      <x:c r="B2471" s="26" t="n">
        <x:v>2026</x:v>
      </x:c>
      <x:c r="C2471" s="26" t="str">
        <x:v>41699558</x:v>
      </x:c>
      <x:c r="D2471" s="28" t="str">
        <x:v>The consortium project INTEGRATE-ADHD - comparison and integration of administrative and epidemiological ADHD diagnostic data by clinical assessment: study description, non-responder analysis, and sample characteristics.</x:v>
      </x:c>
      <x:c r="E2471" s="28" t="str">
        <x:v>Primary/contextual journal article</x:v>
      </x:c>
      <x:c r="F2471" s="28" t="str">
        <x:v>Development &amp; presentation; Recognition &amp; diagnosis; Family &amp; education; Social &amp; structural; Treatment &amp; support; Historical &amp; contemporary context</x:v>
      </x:c>
      <x:c r="G2471" s="28" t="str">
        <x:v>Childhood; Adolescence</x:v>
      </x:c>
      <x:c r="H2471" s="28" t="str">
        <x:v>Later specialized</x:v>
      </x:c>
      <x:c r="I2471" s="28" t="str">
        <x:v>Direct or strongly ADHD-related record retained for later screening; typically narrower treatment, biomarker, mechanistic, or single-comorbidity focus.</x:v>
      </x:c>
      <x:c r="J2471" s="38" t="e">
        <x:f>HYPERLINK("https://pubmed.ncbi.nlm.nih.gov/"&amp;C2471&amp;"/","Open PubMed")</x:f>
        <x:v>HYPERLINK is not implemented. linkLocation=https://pubmed.ncbi.nlm.nih.gov/41699558/, friendlyName=Open PubMed</x:v>
      </x:c>
    </x:row>
    <x:row r="2472">
      <x:c r="A2472" s="26" t="str">
        <x:v>PUBMED-41684190</x:v>
      </x:c>
      <x:c r="B2472" s="26" t="n">
        <x:v>2026</x:v>
      </x:c>
      <x:c r="C2472" s="26" t="str">
        <x:v>41684190</x:v>
      </x:c>
      <x:c r="D2472" s="28" t="str">
        <x:v>Body dysmorphic symptoms in autism and attention-deficit hyperactivity disorder: A comorbidity study.</x:v>
      </x:c>
      <x:c r="E2472" s="28" t="str">
        <x:v>Primary/contextual journal article</x:v>
      </x:c>
      <x:c r="F2472" s="28" t="str">
        <x:v>Development &amp; presentation; Recognition &amp; diagnosis; Social &amp; structural; Historical &amp; contemporary context</x:v>
      </x:c>
      <x:c r="G2472" s="28" t="str">
        <x:v>Childhood; Adolescence; Adulthood</x:v>
      </x:c>
      <x:c r="H2472" s="28" t="str">
        <x:v>Later specialized</x:v>
      </x:c>
      <x:c r="I2472" s="28" t="str">
        <x:v>Direct or strongly ADHD-related record retained for later screening; typically narrower treatment, biomarker, mechanistic, or single-comorbidity focus.</x:v>
      </x:c>
      <x:c r="J2472" s="38" t="e">
        <x:f>HYPERLINK("https://pubmed.ncbi.nlm.nih.gov/"&amp;C2472&amp;"/","Open PubMed")</x:f>
        <x:v>HYPERLINK is not implemented. linkLocation=https://pubmed.ncbi.nlm.nih.gov/41684190/, friendlyName=Open PubMed</x:v>
      </x:c>
    </x:row>
    <x:row r="2473">
      <x:c r="A2473" s="26" t="str">
        <x:v>PUBMED-41680221</x:v>
      </x:c>
      <x:c r="B2473" s="26" t="n">
        <x:v>2026</x:v>
      </x:c>
      <x:c r="C2473" s="26" t="str">
        <x:v>41680221</x:v>
      </x:c>
      <x:c r="D2473" s="28" t="str">
        <x:v>A Multimodal Dataset for Neurophysiological and AI Applications.</x:v>
      </x:c>
      <x:c r="E2473" s="28" t="str">
        <x:v>Primary/contextual journal article</x:v>
      </x:c>
      <x:c r="F2473" s="28" t="str">
        <x:v>Development &amp; presentation; Recognition &amp; diagnosis; Social &amp; structural</x:v>
      </x:c>
      <x:c r="G2473" s="28" t="str">
        <x:v>Childhood; Adolescence</x:v>
      </x:c>
      <x:c r="H2473" s="28" t="str">
        <x:v>Later specialized</x:v>
      </x:c>
      <x:c r="I2473" s="28" t="str">
        <x:v>Direct or strongly ADHD-related record retained for later screening; typically narrower treatment, biomarker, mechanistic, or single-comorbidity focus.</x:v>
      </x:c>
      <x:c r="J2473" s="38" t="e">
        <x:f>HYPERLINK("https://pubmed.ncbi.nlm.nih.gov/"&amp;C2473&amp;"/","Open PubMed")</x:f>
        <x:v>HYPERLINK is not implemented. linkLocation=https://pubmed.ncbi.nlm.nih.gov/41680221/, friendlyName=Open PubMed</x:v>
      </x:c>
    </x:row>
    <x:row r="2474">
      <x:c r="A2474" s="26" t="str">
        <x:v>PUBMED-41678095</x:v>
      </x:c>
      <x:c r="B2474" s="26" t="n">
        <x:v>2026</x:v>
      </x:c>
      <x:c r="C2474" s="26" t="str">
        <x:v>41678095</x:v>
      </x:c>
      <x:c r="D2474" s="28" t="str">
        <x:v>Clinical significance of ADHD traits in central disorders of hypersomnolence.</x:v>
      </x:c>
      <x:c r="E2474" s="28" t="str">
        <x:v>Primary study - case-control</x:v>
      </x:c>
      <x:c r="F2474" s="28" t="str">
        <x:v>Development &amp; presentation; Recognition &amp; diagnosis; Social &amp; structural; Environmental &amp; lifestyle; Life outcomes &amp; lived experience; Historical &amp; contemporary context</x:v>
      </x:c>
      <x:c r="G2474" s="28" t="str">
        <x:v>Adulthood</x:v>
      </x:c>
      <x:c r="H2474" s="28" t="str">
        <x:v>Later specialized</x:v>
      </x:c>
      <x:c r="I2474" s="28" t="str">
        <x:v>Direct or strongly ADHD-related record retained for later screening; typically narrower treatment, biomarker, mechanistic, or single-comorbidity focus.</x:v>
      </x:c>
      <x:c r="J2474" s="38" t="e">
        <x:f>HYPERLINK("https://pubmed.ncbi.nlm.nih.gov/"&amp;C2474&amp;"/","Open PubMed")</x:f>
        <x:v>HYPERLINK is not implemented. linkLocation=https://pubmed.ncbi.nlm.nih.gov/41678095/, friendlyName=Open PubMed</x:v>
      </x:c>
    </x:row>
    <x:row r="2475">
      <x:c r="A2475" s="26" t="str">
        <x:v>PUBMED-41677824</x:v>
      </x:c>
      <x:c r="B2475" s="26" t="n">
        <x:v>2026</x:v>
      </x:c>
      <x:c r="C2475" s="26" t="str">
        <x:v>41677824</x:v>
      </x:c>
      <x:c r="D2475" s="28" t="str">
        <x:v>A comparative temporal network analysis of individuals with ADHD symptoms: an examination of the relationship between psychotic-like experiences and related factors using the Experience Sampling Method (ESM).</x:v>
      </x:c>
      <x:c r="E2475" s="28" t="str">
        <x:v>Primary/contextual journal article</x:v>
      </x:c>
      <x:c r="F2475" s="28" t="str">
        <x:v>Development &amp; presentation; Recognition &amp; diagnosis; Social &amp; structural; Environmental &amp; lifestyle; Life outcomes &amp; lived experience</x:v>
      </x:c>
      <x:c r="G2475" s="28" t="str">
        <x:v>Adulthood</x:v>
      </x:c>
      <x:c r="H2475" s="28" t="str">
        <x:v>Later specialized</x:v>
      </x:c>
      <x:c r="I2475" s="28" t="str">
        <x:v>Direct or strongly ADHD-related record retained for later screening; typically narrower treatment, biomarker, mechanistic, or single-comorbidity focus.</x:v>
      </x:c>
      <x:c r="J2475" s="38" t="e">
        <x:f>HYPERLINK("https://pubmed.ncbi.nlm.nih.gov/"&amp;C2475&amp;"/","Open PubMed")</x:f>
        <x:v>HYPERLINK is not implemented. linkLocation=https://pubmed.ncbi.nlm.nih.gov/41677824/, friendlyName=Open PubMed</x:v>
      </x:c>
    </x:row>
    <x:row r="2476">
      <x:c r="A2476" s="26" t="str">
        <x:v>PUBMED-41677788</x:v>
      </x:c>
      <x:c r="B2476" s="26" t="n">
        <x:v>2026</x:v>
      </x:c>
      <x:c r="C2476" s="26" t="str">
        <x:v>41677788</x:v>
      </x:c>
      <x:c r="D2476" s="28" t="str">
        <x:v>The Locus Coeruleus to Thalamic Reticular Nucleus Pathway in the Comorbidity of Chronic Pain and Attention Deficit-like Behaviors.</x:v>
      </x:c>
      <x:c r="E2476" s="28" t="str">
        <x:v>Primary/contextual journal article</x:v>
      </x:c>
      <x:c r="F2476" s="28" t="str">
        <x:v>Development &amp; presentation; Social &amp; structural; Treatment &amp; support</x:v>
      </x:c>
      <x:c r="G2476" s="28" t="str">
        <x:v>Not specified</x:v>
      </x:c>
      <x:c r="H2476" s="28" t="str">
        <x:v>Exclude/incidental</x:v>
      </x:c>
      <x:c r="I2476" s="28" t="str">
        <x:v>Animal-only record; retained outside the human-focused core corpus.</x:v>
      </x:c>
      <x:c r="J2476" s="38" t="e">
        <x:f>HYPERLINK("https://pubmed.ncbi.nlm.nih.gov/"&amp;C2476&amp;"/","Open PubMed")</x:f>
        <x:v>HYPERLINK is not implemented. linkLocation=https://pubmed.ncbi.nlm.nih.gov/41677788/, friendlyName=Open PubMed</x:v>
      </x:c>
    </x:row>
    <x:row r="2477">
      <x:c r="A2477" s="26" t="str">
        <x:v>PUBMED-41661132</x:v>
      </x:c>
      <x:c r="B2477" s="26" t="n">
        <x:v>2026</x:v>
      </x:c>
      <x:c r="C2477" s="26" t="str">
        <x:v>41661132</x:v>
      </x:c>
      <x:c r="D2477" s="28" t="str">
        <x:v>Children's affect: Automated coding, context effects, relations with maternal affect, and heritability.</x:v>
      </x:c>
      <x:c r="E2477" s="28" t="str">
        <x:v>Primary/contextual journal article</x:v>
      </x:c>
      <x:c r="F2477" s="28" t="str">
        <x:v>Development &amp; presentation; Family &amp; education; Social &amp; structural; Environmental &amp; lifestyle</x:v>
      </x:c>
      <x:c r="G2477" s="28" t="str">
        <x:v>Childhood</x:v>
      </x:c>
      <x:c r="H2477" s="28" t="str">
        <x:v>Later specialized</x:v>
      </x:c>
      <x:c r="I2477" s="28" t="str">
        <x:v>Direct or strongly ADHD-related record retained for later screening; typically narrower treatment, biomarker, mechanistic, or single-comorbidity focus.</x:v>
      </x:c>
      <x:c r="J2477" s="38" t="e">
        <x:f>HYPERLINK("https://pubmed.ncbi.nlm.nih.gov/"&amp;C2477&amp;"/","Open PubMed")</x:f>
        <x:v>HYPERLINK is not implemented. linkLocation=https://pubmed.ncbi.nlm.nih.gov/41661132/, friendlyName=Open PubMed</x:v>
      </x:c>
    </x:row>
    <x:row r="2478">
      <x:c r="A2478" s="26" t="str">
        <x:v>PUBMED-41655465</x:v>
      </x:c>
      <x:c r="B2478" s="26" t="n">
        <x:v>2026</x:v>
      </x:c>
      <x:c r="C2478" s="26" t="str">
        <x:v>41655465</x:v>
      </x:c>
      <x:c r="D2478" s="28" t="str">
        <x:v>EEG markers of mind wandering as predictors of sustained attention in pediatric ADHD.</x:v>
      </x:c>
      <x:c r="E2478" s="28" t="str">
        <x:v>Primary/contextual journal article</x:v>
      </x:c>
      <x:c r="F2478" s="28" t="str">
        <x:v>Development &amp; presentation; Recognition &amp; diagnosis</x:v>
      </x:c>
      <x:c r="G2478" s="28" t="str">
        <x:v>Childhood; Adolescence</x:v>
      </x:c>
      <x:c r="H2478" s="28" t="str">
        <x:v>Later specialized</x:v>
      </x:c>
      <x:c r="I2478" s="28" t="str">
        <x:v>Direct or strongly ADHD-related record retained for later screening; typically narrower treatment, biomarker, mechanistic, or single-comorbidity focus.</x:v>
      </x:c>
      <x:c r="J2478" s="38" t="e">
        <x:f>HYPERLINK("https://pubmed.ncbi.nlm.nih.gov/"&amp;C2478&amp;"/","Open PubMed")</x:f>
        <x:v>HYPERLINK is not implemented. linkLocation=https://pubmed.ncbi.nlm.nih.gov/41655465/, friendlyName=Open PubMed</x:v>
      </x:c>
    </x:row>
    <x:row r="2479">
      <x:c r="A2479" s="26" t="str">
        <x:v>PUBMED-41655051</x:v>
      </x:c>
      <x:c r="B2479" s="26" t="n">
        <x:v>2026</x:v>
      </x:c>
      <x:c r="C2479" s="26" t="str">
        <x:v>41655051</x:v>
      </x:c>
      <x:c r="D2479" s="28" t="str">
        <x:v>The fNIRS Landscape of ADHD: Device Specifications, Neural Markers, and AI Classification.</x:v>
      </x:c>
      <x:c r="E2479" s="28" t="str">
        <x:v>Evidence synthesis - systematic review</x:v>
      </x:c>
      <x:c r="F2479" s="28" t="str">
        <x:v>Development &amp; presentation; Recognition &amp; diagnosis; Social &amp; structural; Treatment &amp; support</x:v>
      </x:c>
      <x:c r="G2479" s="28" t="str">
        <x:v>Not specified</x:v>
      </x:c>
      <x:c r="H2479" s="28" t="str">
        <x:v>Later specialized</x:v>
      </x:c>
      <x:c r="I2479" s="28" t="str">
        <x:v>Direct or strongly ADHD-related record retained for later screening; typically narrower treatment, biomarker, mechanistic, or single-comorbidity focus.</x:v>
      </x:c>
      <x:c r="J2479" s="38" t="e">
        <x:f>HYPERLINK("https://pubmed.ncbi.nlm.nih.gov/"&amp;C2479&amp;"/","Open PubMed")</x:f>
        <x:v>HYPERLINK is not implemented. linkLocation=https://pubmed.ncbi.nlm.nih.gov/41655051/, friendlyName=Open PubMed</x:v>
      </x:c>
    </x:row>
    <x:row r="2480">
      <x:c r="A2480" s="26" t="str">
        <x:v>PUBMED-41653308</x:v>
      </x:c>
      <x:c r="B2480" s="26" t="n">
        <x:v>2026</x:v>
      </x:c>
      <x:c r="C2480" s="26" t="str">
        <x:v>41653308</x:v>
      </x:c>
      <x:c r="D2480" s="28" t="str">
        <x:v>Aberrant fronto-limbic network in adolescents with attention-deficit/hyperactivity disorder: a multimodal MRI study using parallel ICA.</x:v>
      </x:c>
      <x:c r="E2480" s="28" t="str">
        <x:v>Primary/contextual journal article</x:v>
      </x:c>
      <x:c r="F2480" s="28" t="str">
        <x:v>Development &amp; presentation; Recognition &amp; diagnosis; Social &amp; structural</x:v>
      </x:c>
      <x:c r="G2480" s="28" t="str">
        <x:v>Childhood; Adolescence</x:v>
      </x:c>
      <x:c r="H2480" s="28" t="str">
        <x:v>Later specialized</x:v>
      </x:c>
      <x:c r="I2480" s="28" t="str">
        <x:v>Direct or strongly ADHD-related record retained for later screening; typically narrower treatment, biomarker, mechanistic, or single-comorbidity focus.</x:v>
      </x:c>
      <x:c r="J2480" s="38" t="e">
        <x:f>HYPERLINK("https://pubmed.ncbi.nlm.nih.gov/"&amp;C2480&amp;"/","Open PubMed")</x:f>
        <x:v>HYPERLINK is not implemented. linkLocation=https://pubmed.ncbi.nlm.nih.gov/41653308/, friendlyName=Open PubMed</x:v>
      </x:c>
    </x:row>
    <x:row r="2481">
      <x:c r="A2481" s="26" t="str">
        <x:v>PUBMED-41638024</x:v>
      </x:c>
      <x:c r="B2481" s="26" t="n">
        <x:v>2026</x:v>
      </x:c>
      <x:c r="C2481" s="26" t="str">
        <x:v>41638024</x:v>
      </x:c>
      <x:c r="D2481" s="28" t="str">
        <x:v>Fibromyalgia and its psychosocial determinants in mothers of children with attention-deficit/hyperactivity disorder: A controlled cross-sectional study.</x:v>
      </x:c>
      <x:c r="E2481" s="28" t="str">
        <x:v>Primary study - cross-sectional</x:v>
      </x:c>
      <x:c r="F2481" s="28" t="str">
        <x:v>Development &amp; presentation; Recognition &amp; diagnosis; Family &amp; education; Social &amp; structural; Environmental &amp; lifestyle; Historical &amp; contemporary context</x:v>
      </x:c>
      <x:c r="G2481" s="28" t="str">
        <x:v>Childhood; Adolescence; Adulthood</x:v>
      </x:c>
      <x:c r="H2481" s="28" t="str">
        <x:v>Later specialized</x:v>
      </x:c>
      <x:c r="I2481" s="28" t="str">
        <x:v>Direct or strongly ADHD-related record retained for later screening; typically narrower treatment, biomarker, mechanistic, or single-comorbidity focus.</x:v>
      </x:c>
      <x:c r="J2481" s="38" t="e">
        <x:f>HYPERLINK("https://pubmed.ncbi.nlm.nih.gov/"&amp;C2481&amp;"/","Open PubMed")</x:f>
        <x:v>HYPERLINK is not implemented. linkLocation=https://pubmed.ncbi.nlm.nih.gov/41638024/, friendlyName=Open PubMed</x:v>
      </x:c>
    </x:row>
    <x:row r="2482">
      <x:c r="A2482" s="26" t="str">
        <x:v>PUBMED-41633750</x:v>
      </x:c>
      <x:c r="B2482" s="26" t="n">
        <x:v>2026</x:v>
      </x:c>
      <x:c r="C2482" s="26" t="str">
        <x:v>41633750</x:v>
      </x:c>
      <x:c r="D2482" s="28" t="str">
        <x:v>Attention-deficit/hyperactivity disorder in individuals with primary tic disorders and Tourette syndrome.</x:v>
      </x:c>
      <x:c r="E2482" s="28" t="str">
        <x:v>Evidence synthesis - review</x:v>
      </x:c>
      <x:c r="F2482" s="28" t="str">
        <x:v>Development &amp; presentation; Recognition &amp; diagnosis; Family &amp; education; Social &amp; structural; Treatment &amp; support; Life outcomes &amp; lived experience</x:v>
      </x:c>
      <x:c r="G2482" s="28" t="str">
        <x:v>Not specified</x:v>
      </x:c>
      <x:c r="H2482" s="28" t="str">
        <x:v>Later specialized</x:v>
      </x:c>
      <x:c r="I2482" s="28" t="str">
        <x:v>Direct or strongly ADHD-related record retained for later screening; typically narrower treatment, biomarker, mechanistic, or single-comorbidity focus.</x:v>
      </x:c>
      <x:c r="J2482" s="38" t="e">
        <x:f>HYPERLINK("https://pubmed.ncbi.nlm.nih.gov/"&amp;C2482&amp;"/","Open PubMed")</x:f>
        <x:v>HYPERLINK is not implemented. linkLocation=https://pubmed.ncbi.nlm.nih.gov/41633750/, friendlyName=Open PubMed</x:v>
      </x:c>
    </x:row>
    <x:row r="2483">
      <x:c r="A2483" s="26" t="str">
        <x:v>PUBMED-41633743</x:v>
      </x:c>
      <x:c r="B2483" s="26" t="n">
        <x:v>2026</x:v>
      </x:c>
      <x:c r="C2483" s="26" t="str">
        <x:v>41633743</x:v>
      </x:c>
      <x:c r="D2483" s="28" t="str">
        <x:v>Beneath the tip of the iceberg: treatment of neuropsychiatric comorbidities in tic disorders.</x:v>
      </x:c>
      <x:c r="E2483" s="28" t="str">
        <x:v>Evidence synthesis - review</x:v>
      </x:c>
      <x:c r="F2483" s="28" t="str">
        <x:v>Development &amp; presentation; Family &amp; education; Social &amp; structural; Environmental &amp; lifestyle; Treatment &amp; support; Life outcomes &amp; lived experience</x:v>
      </x:c>
      <x:c r="G2483" s="28" t="str">
        <x:v>Not specified</x:v>
      </x:c>
      <x:c r="H2483" s="28" t="str">
        <x:v>Later specialized</x:v>
      </x:c>
      <x:c r="I2483" s="28" t="str">
        <x:v>Direct or strongly ADHD-related record retained for later screening; typically narrower treatment, biomarker, mechanistic, or single-comorbidity focus.</x:v>
      </x:c>
      <x:c r="J2483" s="38" t="e">
        <x:f>HYPERLINK("https://pubmed.ncbi.nlm.nih.gov/"&amp;C2483&amp;"/","Open PubMed")</x:f>
        <x:v>HYPERLINK is not implemented. linkLocation=https://pubmed.ncbi.nlm.nih.gov/41633743/, friendlyName=Open PubMed</x:v>
      </x:c>
    </x:row>
    <x:row r="2484">
      <x:c r="A2484" s="26" t="str">
        <x:v>PUBMED-41630379</x:v>
      </x:c>
      <x:c r="B2484" s="26" t="n">
        <x:v>2026</x:v>
      </x:c>
      <x:c r="C2484" s="26" t="str">
        <x:v>41630379</x:v>
      </x:c>
      <x:c r="D2484" s="28" t="str">
        <x:v>Challenging Case: "Digital Addiction" in a Neurodivergent Adolescent.</x:v>
      </x:c>
      <x:c r="E2484" s="28" t="str">
        <x:v>Primary/contextual journal article</x:v>
      </x:c>
      <x:c r="F2484" s="28" t="str">
        <x:v>Development &amp; presentation; Recognition &amp; diagnosis; Family &amp; education; Social &amp; structural; Environmental &amp; lifestyle; Treatment &amp; support; Life outcomes &amp; lived experience; Historical &amp; contemporary context</x:v>
      </x:c>
      <x:c r="G2484" s="28" t="str">
        <x:v>Childhood; Adolescence</x:v>
      </x:c>
      <x:c r="H2484" s="28" t="str">
        <x:v>Later specialized</x:v>
      </x:c>
      <x:c r="I2484" s="28" t="str">
        <x:v>Direct or strongly ADHD-related record retained for later screening; typically narrower treatment, biomarker, mechanistic, or single-comorbidity focus.</x:v>
      </x:c>
      <x:c r="J2484" s="38" t="e">
        <x:f>HYPERLINK("https://pubmed.ncbi.nlm.nih.gov/"&amp;C2484&amp;"/","Open PubMed")</x:f>
        <x:v>HYPERLINK is not implemented. linkLocation=https://pubmed.ncbi.nlm.nih.gov/41630379/, friendlyName=Open PubMed</x:v>
      </x:c>
    </x:row>
    <x:row r="2485">
      <x:c r="A2485" s="26" t="str">
        <x:v>PUBMED-41621729</x:v>
      </x:c>
      <x:c r="B2485" s="26" t="n">
        <x:v>2026</x:v>
      </x:c>
      <x:c r="C2485" s="26" t="str">
        <x:v>41621729</x:v>
      </x:c>
      <x:c r="D2485" s="28" t="str">
        <x:v>Connecting the dots and finding the way forward: Pharmacological, neuromodulatory, and psychotherapeutic interventions for the complex treatment of adult ADHD.</x:v>
      </x:c>
      <x:c r="E2485" s="28" t="str">
        <x:v>Evidence synthesis - review</x:v>
      </x:c>
      <x:c r="F2485" s="28" t="str">
        <x:v>Development &amp; presentation; Social &amp; structural; Environmental &amp; lifestyle; Treatment &amp; support; Life outcomes &amp; lived experience</x:v>
      </x:c>
      <x:c r="G2485" s="28" t="str">
        <x:v>Adulthood</x:v>
      </x:c>
      <x:c r="H2485" s="28" t="str">
        <x:v>Later specialized</x:v>
      </x:c>
      <x:c r="I2485" s="28" t="str">
        <x:v>Direct or strongly ADHD-related record retained for later screening; typically narrower treatment, biomarker, mechanistic, or single-comorbidity focus.</x:v>
      </x:c>
      <x:c r="J2485" s="38" t="e">
        <x:f>HYPERLINK("https://pubmed.ncbi.nlm.nih.gov/"&amp;C2485&amp;"/","Open PubMed")</x:f>
        <x:v>HYPERLINK is not implemented. linkLocation=https://pubmed.ncbi.nlm.nih.gov/41621729/, friendlyName=Open PubMed</x:v>
      </x:c>
    </x:row>
    <x:row r="2486">
      <x:c r="A2486" s="26" t="str">
        <x:v>PUBMED-41620184</x:v>
      </x:c>
      <x:c r="B2486" s="26" t="n">
        <x:v>2026</x:v>
      </x:c>
      <x:c r="C2486" s="26" t="str">
        <x:v>41620184</x:v>
      </x:c>
      <x:c r="D2486" s="28" t="str">
        <x:v>Development and multi-center validation of a school-home integrated machine learning model for early screening of attention-deficit/hyperactivity disorder in school-aged children.</x:v>
      </x:c>
      <x:c r="E2486" s="28" t="str">
        <x:v>Primary study - cohort</x:v>
      </x:c>
      <x:c r="F2486" s="28" t="str">
        <x:v>Development &amp; presentation; Recognition &amp; diagnosis; Family &amp; education; Social &amp; structural; Environmental &amp; lifestyle; Historical &amp; contemporary context</x:v>
      </x:c>
      <x:c r="G2486" s="28" t="str">
        <x:v>Childhood; Adolescence</x:v>
      </x:c>
      <x:c r="H2486" s="28" t="str">
        <x:v>Batch 1 core</x:v>
      </x:c>
      <x:c r="I2486" s="28" t="str">
        <x:v>Direct ADHD primary study on diagnosis, family/education, structural conditions, lived experience/outcomes, or environment/lifestyle.</x:v>
      </x:c>
      <x:c r="J2486" s="38" t="e">
        <x:f>HYPERLINK("https://pubmed.ncbi.nlm.nih.gov/"&amp;C2486&amp;"/","Open PubMed")</x:f>
        <x:v>HYPERLINK is not implemented. linkLocation=https://pubmed.ncbi.nlm.nih.gov/41620184/, friendlyName=Open PubMed</x:v>
      </x:c>
    </x:row>
    <x:row r="2487">
      <x:c r="A2487" s="26" t="str">
        <x:v>PUBMED-41615688</x:v>
      </x:c>
      <x:c r="B2487" s="26" t="n">
        <x:v>2026</x:v>
      </x:c>
      <x:c r="C2487" s="26" t="str">
        <x:v>41615688</x:v>
      </x:c>
      <x:c r="D2487" s="28" t="str">
        <x:v>Long-Term Neurodevelopmental Outcomes After Forceps, Vacuum, and Second-Stage Cesarean Delivery.</x:v>
      </x:c>
      <x:c r="E2487" s="28" t="str">
        <x:v>Primary study - cohort</x:v>
      </x:c>
      <x:c r="F2487" s="28" t="str">
        <x:v>Development &amp; presentation; Family &amp; education; Social &amp; structural; Environmental &amp; lifestyle; Treatment &amp; support; Life outcomes &amp; lived experience; Historical &amp; contemporary context</x:v>
      </x:c>
      <x:c r="G2487" s="28" t="str">
        <x:v>Childhood; Adulthood</x:v>
      </x:c>
      <x:c r="H2487" s="28" t="str">
        <x:v>Later specialized</x:v>
      </x:c>
      <x:c r="I2487" s="28" t="str">
        <x:v>Direct or strongly ADHD-related record retained for later screening; typically narrower treatment, biomarker, mechanistic, or single-comorbidity focus.</x:v>
      </x:c>
      <x:c r="J2487" s="38" t="e">
        <x:f>HYPERLINK("https://pubmed.ncbi.nlm.nih.gov/"&amp;C2487&amp;"/","Open PubMed")</x:f>
        <x:v>HYPERLINK is not implemented. linkLocation=https://pubmed.ncbi.nlm.nih.gov/41615688/, friendlyName=Open PubMed</x:v>
      </x:c>
    </x:row>
    <x:row r="2488">
      <x:c r="A2488" s="26" t="str">
        <x:v>PUBMED-41612910</x:v>
      </x:c>
      <x:c r="B2488" s="26" t="n">
        <x:v>2026</x:v>
      </x:c>
      <x:c r="C2488" s="26" t="str">
        <x:v>41612910</x:v>
      </x:c>
      <x:c r="D2488" s="28" t="str">
        <x:v>Decoding Causal Associations Between Neuropsychiatric Disorders and Rotator Cuff Tendinopathy: A Two-Sample Mendelian Randomization Study.</x:v>
      </x:c>
      <x:c r="E2488" s="28" t="str">
        <x:v>Primary/contextual journal article</x:v>
      </x:c>
      <x:c r="F2488" s="28" t="str">
        <x:v>Development &amp; presentation; Recognition &amp; diagnosis; Social &amp; structural; Environmental &amp; lifestyle; Treatment &amp; support; Life outcomes &amp; lived experience</x:v>
      </x:c>
      <x:c r="G2488" s="28" t="str">
        <x:v>Not specified</x:v>
      </x:c>
      <x:c r="H2488" s="28" t="str">
        <x:v>Later specialized</x:v>
      </x:c>
      <x:c r="I2488" s="28" t="str">
        <x:v>Direct or strongly ADHD-related record retained for later screening; typically narrower treatment, biomarker, mechanistic, or single-comorbidity focus.</x:v>
      </x:c>
      <x:c r="J2488" s="38" t="e">
        <x:f>HYPERLINK("https://pubmed.ncbi.nlm.nih.gov/"&amp;C2488&amp;"/","Open PubMed")</x:f>
        <x:v>HYPERLINK is not implemented. linkLocation=https://pubmed.ncbi.nlm.nih.gov/41612910/, friendlyName=Open PubMed</x:v>
      </x:c>
    </x:row>
    <x:row r="2489">
      <x:c r="A2489" s="26" t="str">
        <x:v>PUBMED-41604884</x:v>
      </x:c>
      <x:c r="B2489" s="26" t="n">
        <x:v>2026</x:v>
      </x:c>
      <x:c r="C2489" s="26" t="str">
        <x:v>41604884</x:v>
      </x:c>
      <x:c r="D2489" s="28" t="str">
        <x:v>Independent and joint associations of physical activity and sleep with ADHD in a population-based sample of children: A cross-sectional study.</x:v>
      </x:c>
      <x:c r="E2489" s="28" t="str">
        <x:v>Primary study - cross-sectional</x:v>
      </x:c>
      <x:c r="F2489" s="28" t="str">
        <x:v>Development &amp; presentation; Family &amp; education; Social &amp; structural; Environmental &amp; lifestyle</x:v>
      </x:c>
      <x:c r="G2489" s="28" t="str">
        <x:v>Childhood; Adolescence</x:v>
      </x:c>
      <x:c r="H2489" s="28" t="str">
        <x:v>Batch 1 core</x:v>
      </x:c>
      <x:c r="I2489" s="28" t="str">
        <x:v>Direct ADHD primary study on diagnosis, family/education, structural conditions, lived experience/outcomes, or environment/lifestyle.</x:v>
      </x:c>
      <x:c r="J2489" s="38" t="e">
        <x:f>HYPERLINK("https://pubmed.ncbi.nlm.nih.gov/"&amp;C2489&amp;"/","Open PubMed")</x:f>
        <x:v>HYPERLINK is not implemented. linkLocation=https://pubmed.ncbi.nlm.nih.gov/41604884/, friendlyName=Open PubMed</x:v>
      </x:c>
    </x:row>
    <x:row r="2490">
      <x:c r="A2490" s="26" t="str">
        <x:v>PUBMED-41603676</x:v>
      </x:c>
      <x:c r="B2490" s="26" t="n">
        <x:v>2026</x:v>
      </x:c>
      <x:c r="C2490" s="26" t="str">
        <x:v>41603676</x:v>
      </x:c>
      <x:c r="D2490" s="28" t="str">
        <x:v>A Dyadic Perspective on ADHD: Adolescent-Parent Reports of Behavioural Problems and Family Functioning.</x:v>
      </x:c>
      <x:c r="E2490" s="28" t="str">
        <x:v>Primary/contextual journal article</x:v>
      </x:c>
      <x:c r="F2490" s="28" t="str">
        <x:v>Development &amp; presentation; Recognition &amp; diagnosis; Family &amp; education; Social &amp; structural; Life outcomes &amp; lived experience</x:v>
      </x:c>
      <x:c r="G2490" s="28" t="str">
        <x:v>Childhood; Adolescence; Adulthood</x:v>
      </x:c>
      <x:c r="H2490" s="28" t="str">
        <x:v>Later specialized</x:v>
      </x:c>
      <x:c r="I2490" s="28" t="str">
        <x:v>Direct or strongly ADHD-related record retained for later screening; typically narrower treatment, biomarker, mechanistic, or single-comorbidity focus.</x:v>
      </x:c>
      <x:c r="J2490" s="38" t="e">
        <x:f>HYPERLINK("https://pubmed.ncbi.nlm.nih.gov/"&amp;C2490&amp;"/","Open PubMed")</x:f>
        <x:v>HYPERLINK is not implemented. linkLocation=https://pubmed.ncbi.nlm.nih.gov/41603676/, friendlyName=Open PubMed</x:v>
      </x:c>
    </x:row>
    <x:row r="2491">
      <x:c r="A2491" s="26" t="str">
        <x:v>PUBMED-41577637</x:v>
      </x:c>
      <x:c r="B2491" s="26" t="n">
        <x:v>2026</x:v>
      </x:c>
      <x:c r="C2491" s="26" t="str">
        <x:v>41577637</x:v>
      </x:c>
      <x:c r="D2491" s="28" t="str">
        <x:v>Who Is Most at Risk? Exploring the Prevalence of Psychiatric Comorbidities in Children With Intellectual Disability by Age, Sex, Severity, and Socioeconomic Background.</x:v>
      </x:c>
      <x:c r="E2491" s="28" t="str">
        <x:v>Primary study - cross-sectional</x:v>
      </x:c>
      <x:c r="F2491" s="28" t="str">
        <x:v>Development &amp; presentation; Recognition &amp; diagnosis; Family &amp; education; Social &amp; structural</x:v>
      </x:c>
      <x:c r="G2491" s="28" t="str">
        <x:v>Childhood; Adolescence</x:v>
      </x:c>
      <x:c r="H2491" s="28" t="str">
        <x:v>Exclude/incidental</x:v>
      </x:c>
      <x:c r="I2491" s="28" t="str">
        <x:v>ADHD appears peripheral or insufficiently aligned with the requested corpus scope based on accessible metadata/abstract.</x:v>
      </x:c>
      <x:c r="J2491" s="38" t="e">
        <x:f>HYPERLINK("https://pubmed.ncbi.nlm.nih.gov/"&amp;C2491&amp;"/","Open PubMed")</x:f>
        <x:v>HYPERLINK is not implemented. linkLocation=https://pubmed.ncbi.nlm.nih.gov/41577637/, friendlyName=Open PubMed</x:v>
      </x:c>
    </x:row>
    <x:row r="2492">
      <x:c r="A2492" s="26" t="str">
        <x:v>PUBMED-41568706</x:v>
      </x:c>
      <x:c r="B2492" s="26" t="n">
        <x:v>2026</x:v>
      </x:c>
      <x:c r="C2492" s="26" t="str">
        <x:v>41568706</x:v>
      </x:c>
      <x:c r="D2492" s="28" t="str">
        <x:v>Parent Perspectives on Barriers to Behavioral Health Services for Children With ADHD.</x:v>
      </x:c>
      <x:c r="E2492" s="28" t="str">
        <x:v>Primary study - qualitative</x:v>
      </x:c>
      <x:c r="F2492" s="28" t="str">
        <x:v>Development &amp; presentation; Recognition &amp; diagnosis; Family &amp; education; Social &amp; structural; Treatment &amp; support</x:v>
      </x:c>
      <x:c r="G2492" s="28" t="str">
        <x:v>Childhood; Adulthood</x:v>
      </x:c>
      <x:c r="H2492" s="28" t="str">
        <x:v>Batch 1 core</x:v>
      </x:c>
      <x:c r="I2492" s="28" t="str">
        <x:v>Direct ADHD primary study on diagnosis, family/education, structural conditions, lived experience/outcomes, or environment/lifestyle.</x:v>
      </x:c>
      <x:c r="J2492" s="38" t="e">
        <x:f>HYPERLINK("https://pubmed.ncbi.nlm.nih.gov/"&amp;C2492&amp;"/","Open PubMed")</x:f>
        <x:v>HYPERLINK is not implemented. linkLocation=https://pubmed.ncbi.nlm.nih.gov/41568706/, friendlyName=Open PubMed</x:v>
      </x:c>
    </x:row>
    <x:row r="2493">
      <x:c r="A2493" s="26" t="str">
        <x:v>PUBMED-41566109</x:v>
      </x:c>
      <x:c r="B2493" s="26" t="n">
        <x:v>2026</x:v>
      </x:c>
      <x:c r="C2493" s="26" t="str">
        <x:v>41566109</x:v>
      </x:c>
      <x:c r="D2493" s="28" t="str">
        <x:v>Parent Mental Health and Engagement in Parenting Interventions for Child ADHD.</x:v>
      </x:c>
      <x:c r="E2493" s="28" t="str">
        <x:v>Primary study - randomized controlled trial</x:v>
      </x:c>
      <x:c r="F2493" s="28" t="str">
        <x:v>Development &amp; presentation; Family &amp; education; Social &amp; structural; Treatment &amp; support; Life outcomes &amp; lived experience</x:v>
      </x:c>
      <x:c r="G2493" s="28" t="str">
        <x:v>Childhood; Adulthood</x:v>
      </x:c>
      <x:c r="H2493" s="28" t="str">
        <x:v>Later specialized</x:v>
      </x:c>
      <x:c r="I2493" s="28" t="str">
        <x:v>Direct or strongly ADHD-related record retained for later screening; typically narrower treatment, biomarker, mechanistic, or single-comorbidity focus.</x:v>
      </x:c>
      <x:c r="J2493" s="38" t="e">
        <x:f>HYPERLINK("https://pubmed.ncbi.nlm.nih.gov/"&amp;C2493&amp;"/","Open PubMed")</x:f>
        <x:v>HYPERLINK is not implemented. linkLocation=https://pubmed.ncbi.nlm.nih.gov/41566109/, friendlyName=Open PubMed</x:v>
      </x:c>
    </x:row>
    <x:row r="2494">
      <x:c r="A2494" s="26" t="str">
        <x:v>PUBMED-41563757</x:v>
      </x:c>
      <x:c r="B2494" s="26" t="n">
        <x:v>2026</x:v>
      </x:c>
      <x:c r="C2494" s="26" t="str">
        <x:v>41563757</x:v>
      </x:c>
      <x:c r="D2494" s="28" t="str">
        <x:v>Attention-Deficit/Hyperactivity Disorder Traits in Childhood and Physical Health in Midlife.</x:v>
      </x:c>
      <x:c r="E2494" s="28" t="str">
        <x:v>Primary study - cohort</x:v>
      </x:c>
      <x:c r="F2494" s="28" t="str">
        <x:v>Development &amp; presentation; Recognition &amp; diagnosis; Family &amp; education; Social &amp; structural; Environmental &amp; lifestyle; Life outcomes &amp; lived experience</x:v>
      </x:c>
      <x:c r="G2494" s="28" t="str">
        <x:v>Childhood; Adulthood</x:v>
      </x:c>
      <x:c r="H2494" s="28" t="str">
        <x:v>Later specialized</x:v>
      </x:c>
      <x:c r="I2494" s="28" t="str">
        <x:v>Direct or strongly ADHD-related record retained for later screening; typically narrower treatment, biomarker, mechanistic, or single-comorbidity focus.</x:v>
      </x:c>
      <x:c r="J2494" s="38" t="e">
        <x:f>HYPERLINK("https://pubmed.ncbi.nlm.nih.gov/"&amp;C2494&amp;"/","Open PubMed")</x:f>
        <x:v>HYPERLINK is not implemented. linkLocation=https://pubmed.ncbi.nlm.nih.gov/41563757/, friendlyName=Open PubMed</x:v>
      </x:c>
    </x:row>
    <x:row r="2495">
      <x:c r="A2495" s="26" t="str">
        <x:v>PUBMED-41562322</x:v>
      </x:c>
      <x:c r="B2495" s="26" t="n">
        <x:v>2026</x:v>
      </x:c>
      <x:c r="C2495" s="26" t="str">
        <x:v>41562322</x:v>
      </x:c>
      <x:c r="D2495" s="28" t="str">
        <x:v>Medication Adherence in Children and Adults Receiving Treatment for Attention Deficit Hyperactivity Disorder (ADHD) in Sweden: A Nationwide Study.</x:v>
      </x:c>
      <x:c r="E2495" s="28" t="str">
        <x:v>Primary/contextual journal article</x:v>
      </x:c>
      <x:c r="F2495" s="28" t="str">
        <x:v>Development &amp; presentation; Social &amp; structural; Treatment &amp; support</x:v>
      </x:c>
      <x:c r="G2495" s="28" t="str">
        <x:v>Childhood; Adolescence; Adulthood</x:v>
      </x:c>
      <x:c r="H2495" s="28" t="str">
        <x:v>Later specialized</x:v>
      </x:c>
      <x:c r="I2495" s="28" t="str">
        <x:v>Direct or strongly ADHD-related record retained for later screening; typically narrower treatment, biomarker, mechanistic, or single-comorbidity focus.</x:v>
      </x:c>
      <x:c r="J2495" s="38" t="e">
        <x:f>HYPERLINK("https://pubmed.ncbi.nlm.nih.gov/"&amp;C2495&amp;"/","Open PubMed")</x:f>
        <x:v>HYPERLINK is not implemented. linkLocation=https://pubmed.ncbi.nlm.nih.gov/41562322/, friendlyName=Open PubMed</x:v>
      </x:c>
    </x:row>
    <x:row r="2496">
      <x:c r="A2496" s="26" t="str">
        <x:v>PUBMED-41561819</x:v>
      </x:c>
      <x:c r="B2496" s="26" t="n">
        <x:v>2026</x:v>
      </x:c>
      <x:c r="C2496" s="26" t="str">
        <x:v>41561819</x:v>
      </x:c>
      <x:c r="D2496" s="28" t="str">
        <x:v>The relationship between mode of delivery and Attention Deficit Hyperactivity Disorder: a meta-analysis and systematic review.</x:v>
      </x:c>
      <x:c r="E2496" s="28" t="str">
        <x:v>Evidence synthesis - meta-analysis</x:v>
      </x:c>
      <x:c r="F2496" s="28" t="str">
        <x:v>Development &amp; presentation; Recognition &amp; diagnosis; Social &amp; structural; Treatment &amp; support; Life outcomes &amp; lived experience</x:v>
      </x:c>
      <x:c r="G2496" s="28" t="str">
        <x:v>Childhood</x:v>
      </x:c>
      <x:c r="H2496" s="28" t="str">
        <x:v>Batch 1 core</x:v>
      </x:c>
      <x:c r="I2496" s="28" t="str">
        <x:v>Direct ADHD evidence synthesis/guideline with broad multi-topic relevance.</x:v>
      </x:c>
      <x:c r="J2496" s="38" t="e">
        <x:f>HYPERLINK("https://pubmed.ncbi.nlm.nih.gov/"&amp;C2496&amp;"/","Open PubMed")</x:f>
        <x:v>HYPERLINK is not implemented. linkLocation=https://pubmed.ncbi.nlm.nih.gov/41561819/, friendlyName=Open PubMed</x:v>
      </x:c>
    </x:row>
    <x:row r="2497">
      <x:c r="A2497" s="26" t="str">
        <x:v>PUBMED-41558234</x:v>
      </x:c>
      <x:c r="B2497" s="26" t="n">
        <x:v>2026</x:v>
      </x:c>
      <x:c r="C2497" s="26" t="str">
        <x:v>41558234</x:v>
      </x:c>
      <x:c r="D2497" s="28" t="str">
        <x:v>ADHD symptoms and problematic digital media use in emerging adults: Investigating the role of cognitive deficits as mediators.</x:v>
      </x:c>
      <x:c r="E2497" s="28" t="str">
        <x:v>Primary/contextual journal article</x:v>
      </x:c>
      <x:c r="F2497" s="28" t="str">
        <x:v>Development &amp; presentation; Recognition &amp; diagnosis; Environmental &amp; lifestyle; Life outcomes &amp; lived experience; Historical &amp; contemporary context</x:v>
      </x:c>
      <x:c r="G2497" s="28" t="str">
        <x:v>Adulthood</x:v>
      </x:c>
      <x:c r="H2497" s="28" t="str">
        <x:v>Later specialized</x:v>
      </x:c>
      <x:c r="I2497" s="28" t="str">
        <x:v>Direct or strongly ADHD-related record retained for later screening; typically narrower treatment, biomarker, mechanistic, or single-comorbidity focus.</x:v>
      </x:c>
      <x:c r="J2497" s="38" t="e">
        <x:f>HYPERLINK("https://pubmed.ncbi.nlm.nih.gov/"&amp;C2497&amp;"/","Open PubMed")</x:f>
        <x:v>HYPERLINK is not implemented. linkLocation=https://pubmed.ncbi.nlm.nih.gov/41558234/, friendlyName=Open PubMed</x:v>
      </x:c>
    </x:row>
    <x:row r="2498">
      <x:c r="A2498" s="26" t="str">
        <x:v>PUBMED-41557570</x:v>
      </x:c>
      <x:c r="B2498" s="26" t="n">
        <x:v>2026</x:v>
      </x:c>
      <x:c r="C2498" s="26" t="str">
        <x:v>41557570</x:v>
      </x:c>
      <x:c r="D2498" s="28" t="str">
        <x:v>ADHD Classification With GCN via Joint Feature Learning Among Nodes and Edges.</x:v>
      </x:c>
      <x:c r="E2498" s="28" t="str">
        <x:v>Primary/contextual journal article</x:v>
      </x:c>
      <x:c r="F2498" s="28" t="str">
        <x:v>Development &amp; presentation; Recognition &amp; diagnosis; Social &amp; structural; Life outcomes &amp; lived experience</x:v>
      </x:c>
      <x:c r="G2498" s="28" t="str">
        <x:v>Not specified</x:v>
      </x:c>
      <x:c r="H2498" s="28" t="str">
        <x:v>Later specialized</x:v>
      </x:c>
      <x:c r="I2498" s="28" t="str">
        <x:v>Direct or strongly ADHD-related record retained for later screening; typically narrower treatment, biomarker, mechanistic, or single-comorbidity focus.</x:v>
      </x:c>
      <x:c r="J2498" s="38" t="e">
        <x:f>HYPERLINK("https://pubmed.ncbi.nlm.nih.gov/"&amp;C2498&amp;"/","Open PubMed")</x:f>
        <x:v>HYPERLINK is not implemented. linkLocation=https://pubmed.ncbi.nlm.nih.gov/41557570/, friendlyName=Open PubMed</x:v>
      </x:c>
    </x:row>
    <x:row r="2499">
      <x:c r="A2499" s="26" t="str">
        <x:v>PUBMED-41553394</x:v>
      </x:c>
      <x:c r="B2499" s="26" t="n">
        <x:v>2026</x:v>
      </x:c>
      <x:c r="C2499" s="26" t="str">
        <x:v>41553394</x:v>
      </x:c>
      <x:c r="D2499" s="28" t="str">
        <x:v>Physical aggression toward parents from ages 11 to 24: prevalence trajectory and risk and protective factors.</x:v>
      </x:c>
      <x:c r="E2499" s="28" t="str">
        <x:v>Primary/contextual journal article</x:v>
      </x:c>
      <x:c r="F2499" s="28" t="str">
        <x:v>Development &amp; presentation; Recognition &amp; diagnosis; Family &amp; education; Social &amp; structural; Environmental &amp; lifestyle; Treatment &amp; support</x:v>
      </x:c>
      <x:c r="G2499" s="28" t="str">
        <x:v>Childhood; Adolescence; Adulthood</x:v>
      </x:c>
      <x:c r="H2499" s="28" t="str">
        <x:v>Exclude/incidental</x:v>
      </x:c>
      <x:c r="I2499" s="28" t="str">
        <x:v>ADHD appears peripheral or insufficiently aligned with the requested corpus scope based on accessible metadata/abstract.</x:v>
      </x:c>
      <x:c r="J2499" s="38" t="e">
        <x:f>HYPERLINK("https://pubmed.ncbi.nlm.nih.gov/"&amp;C2499&amp;"/","Open PubMed")</x:f>
        <x:v>HYPERLINK is not implemented. linkLocation=https://pubmed.ncbi.nlm.nih.gov/41553394/, friendlyName=Open PubMed</x:v>
      </x:c>
    </x:row>
    <x:row r="2500">
      <x:c r="A2500" s="26" t="str">
        <x:v>PUBMED-41552888</x:v>
      </x:c>
      <x:c r="B2500" s="26" t="n">
        <x:v>2026</x:v>
      </x:c>
      <x:c r="C2500" s="26" t="str">
        <x:v>41552888</x:v>
      </x:c>
      <x:c r="D2500" s="28" t="str">
        <x:v>Risk Factors Associated With Incident Opioid Prescription Among Attention-Deficit/Hyperactivity Disorder Patients Prescribed Stimulants.</x:v>
      </x:c>
      <x:c r="E2500" s="28" t="str">
        <x:v>Primary study - cohort</x:v>
      </x:c>
      <x:c r="F2500" s="28" t="str">
        <x:v>Development &amp; presentation; Social &amp; structural; Environmental &amp; lifestyle; Treatment &amp; support; Life outcomes &amp; lived experience; Historical &amp; contemporary context</x:v>
      </x:c>
      <x:c r="G2500" s="28" t="str">
        <x:v>Childhood; Adolescence; Adulthood</x:v>
      </x:c>
      <x:c r="H2500" s="28" t="str">
        <x:v>Later specialized</x:v>
      </x:c>
      <x:c r="I2500" s="28" t="str">
        <x:v>Direct or strongly ADHD-related record retained for later screening; typically narrower treatment, biomarker, mechanistic, or single-comorbidity focus.</x:v>
      </x:c>
      <x:c r="J2500" s="38" t="e">
        <x:f>HYPERLINK("https://pubmed.ncbi.nlm.nih.gov/"&amp;C2500&amp;"/","Open PubMed")</x:f>
        <x:v>HYPERLINK is not implemented. linkLocation=https://pubmed.ncbi.nlm.nih.gov/41552888/, friendlyName=Open PubMed</x:v>
      </x:c>
    </x:row>
    <x:row r="2501">
      <x:c r="A2501" s="26" t="str">
        <x:v>PUBMED-41548993</x:v>
      </x:c>
      <x:c r="B2501" s="26" t="n">
        <x:v>2026</x:v>
      </x:c>
      <x:c r="C2501" s="26" t="str">
        <x:v>41548993</x:v>
      </x:c>
      <x:c r="D2501" s="28" t="str">
        <x:v>Neurodiversity in surgery: Embracing cognitive difference in a demanding profession.</x:v>
      </x:c>
      <x:c r="E2501" s="28" t="str">
        <x:v>Evidence synthesis - systematic review</x:v>
      </x:c>
      <x:c r="F2501" s="28" t="str">
        <x:v>Development &amp; presentation; Recognition &amp; diagnosis; Family &amp; education; Social &amp; structural; Environmental &amp; lifestyle; Treatment &amp; support; Life outcomes &amp; lived experience; Historical &amp; contemporary context</x:v>
      </x:c>
      <x:c r="G2501" s="28" t="str">
        <x:v>Not specified</x:v>
      </x:c>
      <x:c r="H2501" s="28" t="str">
        <x:v>Later specialized</x:v>
      </x:c>
      <x:c r="I2501" s="28" t="str">
        <x:v>Direct or strongly ADHD-related record retained for later screening; typically narrower treatment, biomarker, mechanistic, or single-comorbidity focus.</x:v>
      </x:c>
      <x:c r="J2501" s="38" t="e">
        <x:f>HYPERLINK("https://pubmed.ncbi.nlm.nih.gov/"&amp;C2501&amp;"/","Open PubMed")</x:f>
        <x:v>HYPERLINK is not implemented. linkLocation=https://pubmed.ncbi.nlm.nih.gov/41548993/, friendlyName=Open PubMed</x:v>
      </x:c>
    </x:row>
    <x:row r="2502">
      <x:c r="A2502" s="26" t="str">
        <x:v>PUBMED-41544630</x:v>
      </x:c>
      <x:c r="B2502" s="26" t="n">
        <x:v>2026</x:v>
      </x:c>
      <x:c r="C2502" s="26" t="str">
        <x:v>41544630</x:v>
      </x:c>
      <x:c r="D2502" s="28" t="str">
        <x:v>Bi-allelic variants in neuronal adhesion molecule astrotactin 1 gene ASTN1 cause diverse neurodevelopmental disorders.</x:v>
      </x:c>
      <x:c r="E2502" s="28" t="str">
        <x:v>Primary/contextual journal article</x:v>
      </x:c>
      <x:c r="F2502" s="28" t="str">
        <x:v>Development &amp; presentation; Family &amp; education; Social &amp; structural</x:v>
      </x:c>
      <x:c r="G2502" s="28" t="str">
        <x:v>Childhood; Adolescence</x:v>
      </x:c>
      <x:c r="H2502" s="28" t="str">
        <x:v>Exclude/incidental</x:v>
      </x:c>
      <x:c r="I2502" s="28" t="str">
        <x:v>ADHD appears peripheral or insufficiently aligned with the requested corpus scope based on accessible metadata/abstract.</x:v>
      </x:c>
      <x:c r="J2502" s="38" t="e">
        <x:f>HYPERLINK("https://pubmed.ncbi.nlm.nih.gov/"&amp;C2502&amp;"/","Open PubMed")</x:f>
        <x:v>HYPERLINK is not implemented. linkLocation=https://pubmed.ncbi.nlm.nih.gov/41544630/, friendlyName=Open PubMed</x:v>
      </x:c>
    </x:row>
    <x:row r="2503">
      <x:c r="A2503" s="26" t="str">
        <x:v>PUBMED-41543975</x:v>
      </x:c>
      <x:c r="B2503" s="26" t="n">
        <x:v>2026</x:v>
      </x:c>
      <x:c r="C2503" s="26" t="str">
        <x:v>41543975</x:v>
      </x:c>
      <x:c r="D2503" s="28" t="str">
        <x:v>Mindfulness Training in Youth With ADHD + Comorbid Learning Disability Maintains Medial Frontal Cortex Function During Response Inhibition.</x:v>
      </x:c>
      <x:c r="E2503" s="28" t="str">
        <x:v>Primary/contextual journal article</x:v>
      </x:c>
      <x:c r="F2503" s="28" t="str">
        <x:v>Development &amp; presentation; Family &amp; education; Treatment &amp; support</x:v>
      </x:c>
      <x:c r="G2503" s="28" t="str">
        <x:v>Childhood; Adolescence</x:v>
      </x:c>
      <x:c r="H2503" s="28" t="str">
        <x:v>Later specialized</x:v>
      </x:c>
      <x:c r="I2503" s="28" t="str">
        <x:v>Direct or strongly ADHD-related record retained for later screening; typically narrower treatment, biomarker, mechanistic, or single-comorbidity focus.</x:v>
      </x:c>
      <x:c r="J2503" s="38" t="e">
        <x:f>HYPERLINK("https://pubmed.ncbi.nlm.nih.gov/"&amp;C2503&amp;"/","Open PubMed")</x:f>
        <x:v>HYPERLINK is not implemented. linkLocation=https://pubmed.ncbi.nlm.nih.gov/41543975/, friendlyName=Open PubMed</x:v>
      </x:c>
    </x:row>
    <x:row r="2504">
      <x:c r="A2504" s="26" t="str">
        <x:v>PUBMED-41539044</x:v>
      </x:c>
      <x:c r="B2504" s="26" t="n">
        <x:v>2026</x:v>
      </x:c>
      <x:c r="C2504" s="26" t="str">
        <x:v>41539044</x:v>
      </x:c>
      <x:c r="D2504" s="28" t="str">
        <x:v>The role of ADHD in aggressive driving behavior among young adult drivers: effects of traffic aggressiveness and roadway environments.</x:v>
      </x:c>
      <x:c r="E2504" s="28" t="str">
        <x:v>Primary/contextual journal article</x:v>
      </x:c>
      <x:c r="F2504" s="28" t="str">
        <x:v>Development &amp; presentation; Recognition &amp; diagnosis; Social &amp; structural; Environmental &amp; lifestyle; Life outcomes &amp; lived experience</x:v>
      </x:c>
      <x:c r="G2504" s="28" t="str">
        <x:v>Adolescence; Adulthood</x:v>
      </x:c>
      <x:c r="H2504" s="28" t="str">
        <x:v>Later specialized</x:v>
      </x:c>
      <x:c r="I2504" s="28" t="str">
        <x:v>Direct or strongly ADHD-related record retained for later screening; typically narrower treatment, biomarker, mechanistic, or single-comorbidity focus.</x:v>
      </x:c>
      <x:c r="J2504" s="38" t="e">
        <x:f>HYPERLINK("https://pubmed.ncbi.nlm.nih.gov/"&amp;C2504&amp;"/","Open PubMed")</x:f>
        <x:v>HYPERLINK is not implemented. linkLocation=https://pubmed.ncbi.nlm.nih.gov/41539044/, friendlyName=Open PubMed</x:v>
      </x:c>
    </x:row>
    <x:row r="2505">
      <x:c r="A2505" s="26" t="str">
        <x:v>PUBMED-41537331</x:v>
      </x:c>
      <x:c r="B2505" s="26" t="n">
        <x:v>2026</x:v>
      </x:c>
      <x:c r="C2505" s="26" t="str">
        <x:v>41537331</x:v>
      </x:c>
      <x:c r="D2505" s="28" t="str">
        <x:v>[Attention deficit hyperactivity disorder in adult].</x:v>
      </x:c>
      <x:c r="E2505" s="28" t="str">
        <x:v>Primary/contextual journal article</x:v>
      </x:c>
      <x:c r="F2505" s="28" t="str">
        <x:v>Development &amp; presentation; Recognition &amp; diagnosis; Social &amp; structural; Treatment &amp; support</x:v>
      </x:c>
      <x:c r="G2505" s="28" t="str">
        <x:v>Childhood; Adulthood</x:v>
      </x:c>
      <x:c r="H2505" s="28" t="str">
        <x:v>Later specialized</x:v>
      </x:c>
      <x:c r="I2505" s="28" t="str">
        <x:v>Direct or strongly ADHD-related record retained for later screening; typically narrower treatment, biomarker, mechanistic, or single-comorbidity focus.</x:v>
      </x:c>
      <x:c r="J2505" s="38" t="e">
        <x:f>HYPERLINK("https://pubmed.ncbi.nlm.nih.gov/"&amp;C2505&amp;"/","Open PubMed")</x:f>
        <x:v>HYPERLINK is not implemented. linkLocation=https://pubmed.ncbi.nlm.nih.gov/41537331/, friendlyName=Open PubMed</x:v>
      </x:c>
    </x:row>
    <x:row r="2506">
      <x:c r="A2506" s="26" t="str">
        <x:v>PUBMED-41530514</x:v>
      </x:c>
      <x:c r="B2506" s="26" t="n">
        <x:v>2026</x:v>
      </x:c>
      <x:c r="C2506" s="26" t="str">
        <x:v>41530514</x:v>
      </x:c>
      <x:c r="D2506" s="28" t="str">
        <x:v>Do ADHD symptoms in adolescence predict psychiatric disorders later in life? A longitudinal study of the Northern Finland birth cohort 1986.</x:v>
      </x:c>
      <x:c r="E2506" s="28" t="str">
        <x:v>Primary study - cohort</x:v>
      </x:c>
      <x:c r="F2506" s="28" t="str">
        <x:v>Development &amp; presentation; Recognition &amp; diagnosis; Family &amp; education; Social &amp; structural; Environmental &amp; lifestyle; Life outcomes &amp; lived experience</x:v>
      </x:c>
      <x:c r="G2506" s="28" t="str">
        <x:v>Adolescence; Adulthood</x:v>
      </x:c>
      <x:c r="H2506" s="28" t="str">
        <x:v>Later specialized</x:v>
      </x:c>
      <x:c r="I2506" s="28" t="str">
        <x:v>Direct or strongly ADHD-related record retained for later screening; typically narrower treatment, biomarker, mechanistic, or single-comorbidity focus.</x:v>
      </x:c>
      <x:c r="J2506" s="38" t="e">
        <x:f>HYPERLINK("https://pubmed.ncbi.nlm.nih.gov/"&amp;C2506&amp;"/","Open PubMed")</x:f>
        <x:v>HYPERLINK is not implemented. linkLocation=https://pubmed.ncbi.nlm.nih.gov/41530514/, friendlyName=Open PubMed</x:v>
      </x:c>
    </x:row>
    <x:row r="2507">
      <x:c r="A2507" s="26" t="str">
        <x:v>PUBMED-41528817</x:v>
      </x:c>
      <x:c r="B2507" s="26" t="n">
        <x:v>2026</x:v>
      </x:c>
      <x:c r="C2507" s="26" t="str">
        <x:v>41528817</x:v>
      </x:c>
      <x:c r="D2507" s="28" t="str">
        <x:v>Complex ADHD in a Transgender Adolescent: Case Study and Clinical Implications.</x:v>
      </x:c>
      <x:c r="E2507" s="28" t="str">
        <x:v>Primary/contextual journal article</x:v>
      </x:c>
      <x:c r="F2507" s="28" t="str">
        <x:v>Development &amp; presentation; Social &amp; structural; Environmental &amp; lifestyle; Treatment &amp; support; Life outcomes &amp; lived experience</x:v>
      </x:c>
      <x:c r="G2507" s="28" t="str">
        <x:v>Childhood; Adolescence</x:v>
      </x:c>
      <x:c r="H2507" s="28" t="str">
        <x:v>Later specialized</x:v>
      </x:c>
      <x:c r="I2507" s="28" t="str">
        <x:v>Direct or strongly ADHD-related record retained for later screening; typically narrower treatment, biomarker, mechanistic, or single-comorbidity focus.</x:v>
      </x:c>
      <x:c r="J2507" s="38" t="e">
        <x:f>HYPERLINK("https://pubmed.ncbi.nlm.nih.gov/"&amp;C2507&amp;"/","Open PubMed")</x:f>
        <x:v>HYPERLINK is not implemented. linkLocation=https://pubmed.ncbi.nlm.nih.gov/41528817/, friendlyName=Open PubMed</x:v>
      </x:c>
    </x:row>
    <x:row r="2508">
      <x:c r="A2508" s="26" t="str">
        <x:v>PUBMED-41528207</x:v>
      </x:c>
      <x:c r="B2508" s="26" t="n">
        <x:v>2026</x:v>
      </x:c>
      <x:c r="C2508" s="26" t="str">
        <x:v>41528207</x:v>
      </x:c>
      <x:c r="D2508" s="28" t="str">
        <x:v>Relationship Between MOXO-D-CPT Results and Volumetric Brain MR in Attention Deficit Hyperactivity Disorder.</x:v>
      </x:c>
      <x:c r="E2508" s="28" t="str">
        <x:v>Primary/contextual journal article</x:v>
      </x:c>
      <x:c r="F2508" s="28" t="str">
        <x:v>Development &amp; presentation; Recognition &amp; diagnosis; Social &amp; structural; Life outcomes &amp; lived experience</x:v>
      </x:c>
      <x:c r="G2508" s="28" t="str">
        <x:v>Adulthood</x:v>
      </x:c>
      <x:c r="H2508" s="28" t="str">
        <x:v>Later specialized</x:v>
      </x:c>
      <x:c r="I2508" s="28" t="str">
        <x:v>Direct or strongly ADHD-related record retained for later screening; typically narrower treatment, biomarker, mechanistic, or single-comorbidity focus.</x:v>
      </x:c>
      <x:c r="J2508" s="38" t="e">
        <x:f>HYPERLINK("https://pubmed.ncbi.nlm.nih.gov/"&amp;C2508&amp;"/","Open PubMed")</x:f>
        <x:v>HYPERLINK is not implemented. linkLocation=https://pubmed.ncbi.nlm.nih.gov/41528207/, friendlyName=Open PubMed</x:v>
      </x:c>
    </x:row>
    <x:row r="2509">
      <x:c r="A2509" s="26" t="str">
        <x:v>PUBMED-41520535</x:v>
      </x:c>
      <x:c r="B2509" s="26" t="n">
        <x:v>2026</x:v>
      </x:c>
      <x:c r="C2509" s="26" t="str">
        <x:v>41520535</x:v>
      </x:c>
      <x:c r="D2509" s="28" t="str">
        <x:v>Associations between prenatal antibiotics exposure and preschoolers' attention-deficit hyperactivity disorder symptom trajectories: Unveiling the potential intervention strategies.</x:v>
      </x:c>
      <x:c r="E2509" s="28" t="str">
        <x:v>Primary/contextual journal article</x:v>
      </x:c>
      <x:c r="F2509" s="28" t="str">
        <x:v>Development &amp; presentation; Family &amp; education; Social &amp; structural; Environmental &amp; lifestyle; Treatment &amp; support; Life outcomes &amp; lived experience</x:v>
      </x:c>
      <x:c r="G2509" s="28" t="str">
        <x:v>Childhood</x:v>
      </x:c>
      <x:c r="H2509" s="28" t="str">
        <x:v>Later specialized</x:v>
      </x:c>
      <x:c r="I2509" s="28" t="str">
        <x:v>Direct or strongly ADHD-related record retained for later screening; typically narrower treatment, biomarker, mechanistic, or single-comorbidity focus.</x:v>
      </x:c>
      <x:c r="J2509" s="38" t="e">
        <x:f>HYPERLINK("https://pubmed.ncbi.nlm.nih.gov/"&amp;C2509&amp;"/","Open PubMed")</x:f>
        <x:v>HYPERLINK is not implemented. linkLocation=https://pubmed.ncbi.nlm.nih.gov/41520535/, friendlyName=Open PubMed</x:v>
      </x:c>
    </x:row>
    <x:row r="2510">
      <x:c r="A2510" s="26" t="str">
        <x:v>PUBMED-41514075</x:v>
      </x:c>
      <x:c r="B2510" s="26" t="n">
        <x:v>2026</x:v>
      </x:c>
      <x:c r="C2510" s="26" t="str">
        <x:v>41514075</x:v>
      </x:c>
      <x:c r="D2510" s="28" t="str">
        <x:v>Association between eye disorders and the development of ADHD/ADD: a nationwide retrospective cohort study.</x:v>
      </x:c>
      <x:c r="E2510" s="28" t="str">
        <x:v>Primary study - cohort</x:v>
      </x:c>
      <x:c r="F2510" s="28" t="str">
        <x:v>Development &amp; presentation; Recognition &amp; diagnosis; Family &amp; education; Social &amp; structural</x:v>
      </x:c>
      <x:c r="G2510" s="28" t="str">
        <x:v>Childhood; Adolescence; Adulthood</x:v>
      </x:c>
      <x:c r="H2510" s="28" t="str">
        <x:v>Later specialized</x:v>
      </x:c>
      <x:c r="I2510" s="28" t="str">
        <x:v>Direct or strongly ADHD-related record retained for later screening; typically narrower treatment, biomarker, mechanistic, or single-comorbidity focus.</x:v>
      </x:c>
      <x:c r="J2510" s="38" t="e">
        <x:f>HYPERLINK("https://pubmed.ncbi.nlm.nih.gov/"&amp;C2510&amp;"/","Open PubMed")</x:f>
        <x:v>HYPERLINK is not implemented. linkLocation=https://pubmed.ncbi.nlm.nih.gov/41514075/, friendlyName=Open PubMed</x:v>
      </x:c>
    </x:row>
    <x:row r="2511">
      <x:c r="A2511" s="26" t="str">
        <x:v>PUBMED-41507887</x:v>
      </x:c>
      <x:c r="B2511" s="26" t="n">
        <x:v>2026</x:v>
      </x:c>
      <x:c r="C2511" s="26" t="str">
        <x:v>41507887</x:v>
      </x:c>
      <x:c r="D2511" s="28" t="str">
        <x:v>The role of executive function for differentiating symptoms of ADHD in preschoolers.</x:v>
      </x:c>
      <x:c r="E2511" s="28" t="str">
        <x:v>Primary study - cohort</x:v>
      </x:c>
      <x:c r="F2511" s="28" t="str">
        <x:v>Development &amp; presentation; Recognition &amp; diagnosis; Family &amp; education; Social &amp; structural</x:v>
      </x:c>
      <x:c r="G2511" s="28" t="str">
        <x:v>Childhood</x:v>
      </x:c>
      <x:c r="H2511" s="28" t="str">
        <x:v>Batch 1 core</x:v>
      </x:c>
      <x:c r="I2511" s="28" t="str">
        <x:v>Direct ADHD primary study on diagnosis, family/education, structural conditions, lived experience/outcomes, or environment/lifestyle.</x:v>
      </x:c>
      <x:c r="J2511" s="38" t="e">
        <x:f>HYPERLINK("https://pubmed.ncbi.nlm.nih.gov/"&amp;C2511&amp;"/","Open PubMed")</x:f>
        <x:v>HYPERLINK is not implemented. linkLocation=https://pubmed.ncbi.nlm.nih.gov/41507887/, friendlyName=Open PubMed</x:v>
      </x:c>
    </x:row>
    <x:row r="2512">
      <x:c r="A2512" s="26" t="str">
        <x:v>PUBMED-41500324</x:v>
      </x:c>
      <x:c r="B2512" s="26" t="n">
        <x:v>2026</x:v>
      </x:c>
      <x:c r="C2512" s="26" t="str">
        <x:v>41500324</x:v>
      </x:c>
      <x:c r="D2512" s="28" t="str">
        <x:v>Altered gut microbiome function in ADHD: More Prevotella, less vitamin B12 biosynthesis, and beneficial modulation by synbiotic treatment.</x:v>
      </x:c>
      <x:c r="E2512" s="28" t="str">
        <x:v>Primary study - randomized controlled trial</x:v>
      </x:c>
      <x:c r="F2512" s="28" t="str">
        <x:v>Development &amp; presentation; Social &amp; structural; Environmental &amp; lifestyle; Treatment &amp; support</x:v>
      </x:c>
      <x:c r="G2512" s="28" t="str">
        <x:v>Childhood; Adolescence; Adulthood</x:v>
      </x:c>
      <x:c r="H2512" s="28" t="str">
        <x:v>Later specialized</x:v>
      </x:c>
      <x:c r="I2512" s="28" t="str">
        <x:v>Direct or strongly ADHD-related record retained for later screening; typically narrower treatment, biomarker, mechanistic, or single-comorbidity focus.</x:v>
      </x:c>
      <x:c r="J2512" s="38" t="e">
        <x:f>HYPERLINK("https://pubmed.ncbi.nlm.nih.gov/"&amp;C2512&amp;"/","Open PubMed")</x:f>
        <x:v>HYPERLINK is not implemented. linkLocation=https://pubmed.ncbi.nlm.nih.gov/41500324/, friendlyName=Open PubMed</x:v>
      </x:c>
    </x:row>
    <x:row r="2513">
      <x:c r="A2513" s="26" t="str">
        <x:v>PUBMED-41496615</x:v>
      </x:c>
      <x:c r="B2513" s="26" t="n">
        <x:v>2026</x:v>
      </x:c>
      <x:c r="C2513" s="26" t="str">
        <x:v>41496615</x:v>
      </x:c>
      <x:c r="D2513" s="28" t="str">
        <x:v>Parental Stress and Child Irritability in ADHD: A Two-Wave Longitudinal Serial Mediation Model via Experiential Avoidance and Negative Parent-Child Relationship.</x:v>
      </x:c>
      <x:c r="E2513" s="28" t="str">
        <x:v>Primary/contextual journal article</x:v>
      </x:c>
      <x:c r="F2513" s="28" t="str">
        <x:v>Development &amp; presentation; Family &amp; education; Social &amp; structural; Environmental &amp; lifestyle; Life outcomes &amp; lived experience</x:v>
      </x:c>
      <x:c r="G2513" s="28" t="str">
        <x:v>Childhood</x:v>
      </x:c>
      <x:c r="H2513" s="28" t="str">
        <x:v>Later specialized</x:v>
      </x:c>
      <x:c r="I2513" s="28" t="str">
        <x:v>Direct or strongly ADHD-related record retained for later screening; typically narrower treatment, biomarker, mechanistic, or single-comorbidity focus.</x:v>
      </x:c>
      <x:c r="J2513" s="38" t="e">
        <x:f>HYPERLINK("https://pubmed.ncbi.nlm.nih.gov/"&amp;C2513&amp;"/","Open PubMed")</x:f>
        <x:v>HYPERLINK is not implemented. linkLocation=https://pubmed.ncbi.nlm.nih.gov/41496615/, friendlyName=Open PubMed</x:v>
      </x:c>
    </x:row>
    <x:row r="2514">
      <x:c r="A2514" s="26" t="str">
        <x:v>PUBMED-41483961</x:v>
      </x:c>
      <x:c r="B2514" s="26" t="n">
        <x:v>2026</x:v>
      </x:c>
      <x:c r="C2514" s="26" t="str">
        <x:v>41483961</x:v>
      </x:c>
      <x:c r="D2514" s="28" t="str">
        <x:v>Study of alterations in P300 evoked potentials in patients with attention-deficit/hyperactivity disorder.</x:v>
      </x:c>
      <x:c r="E2514" s="28" t="str">
        <x:v>Primary study - case-control</x:v>
      </x:c>
      <x:c r="F2514" s="28" t="str">
        <x:v>Development &amp; presentation; Recognition &amp; diagnosis; Family &amp; education; Social &amp; structural; Treatment &amp; support</x:v>
      </x:c>
      <x:c r="G2514" s="28" t="str">
        <x:v>Childhood; Adolescence</x:v>
      </x:c>
      <x:c r="H2514" s="28" t="str">
        <x:v>Later specialized</x:v>
      </x:c>
      <x:c r="I2514" s="28" t="str">
        <x:v>Direct or strongly ADHD-related record retained for later screening; typically narrower treatment, biomarker, mechanistic, or single-comorbidity focus.</x:v>
      </x:c>
      <x:c r="J2514" s="38" t="e">
        <x:f>HYPERLINK("https://pubmed.ncbi.nlm.nih.gov/"&amp;C2514&amp;"/","Open PubMed")</x:f>
        <x:v>HYPERLINK is not implemented. linkLocation=https://pubmed.ncbi.nlm.nih.gov/41483961/, friendlyName=Open PubMed</x:v>
      </x:c>
    </x:row>
    <x:row r="2515">
      <x:c r="A2515" s="26" t="str">
        <x:v>PUBMED-41483880</x:v>
      </x:c>
      <x:c r="B2515" s="26" t="n">
        <x:v>2026</x:v>
      </x:c>
      <x:c r="C2515" s="26" t="str">
        <x:v>41483880</x:v>
      </x:c>
      <x:c r="D2515" s="28" t="str">
        <x:v>A meta-analysis of the intervention effect of cognitive behavioral therapy on adult ADHD.</x:v>
      </x:c>
      <x:c r="E2515" s="28" t="str">
        <x:v>Evidence synthesis - meta-analysis</x:v>
      </x:c>
      <x:c r="F2515" s="28" t="str">
        <x:v>Development &amp; presentation; Recognition &amp; diagnosis; Social &amp; structural; Environmental &amp; lifestyle; Treatment &amp; support; Life outcomes &amp; lived experience</x:v>
      </x:c>
      <x:c r="G2515" s="28" t="str">
        <x:v>Adulthood</x:v>
      </x:c>
      <x:c r="H2515" s="28" t="str">
        <x:v>Batch 1 core</x:v>
      </x:c>
      <x:c r="I2515" s="28" t="str">
        <x:v>Direct ADHD evidence synthesis/guideline with broad multi-topic relevance.</x:v>
      </x:c>
      <x:c r="J2515" s="38" t="e">
        <x:f>HYPERLINK("https://pubmed.ncbi.nlm.nih.gov/"&amp;C2515&amp;"/","Open PubMed")</x:f>
        <x:v>HYPERLINK is not implemented. linkLocation=https://pubmed.ncbi.nlm.nih.gov/41483880/, friendlyName=Open PubMed</x:v>
      </x:c>
    </x:row>
    <x:row r="2516">
      <x:c r="A2516" s="26" t="str">
        <x:v>PUBMED-41483267</x:v>
      </x:c>
      <x:c r="B2516" s="26" t="n">
        <x:v>2026</x:v>
      </x:c>
      <x:c r="C2516" s="26" t="str">
        <x:v>41483267</x:v>
      </x:c>
      <x:c r="D2516" s="28" t="str">
        <x:v>Black-White Disparity in Child Hyperactivity-Inattention Problems in Families Living Without Sufficient Foods.</x:v>
      </x:c>
      <x:c r="E2516" s="28" t="str">
        <x:v>Primary/contextual journal article</x:v>
      </x:c>
      <x:c r="F2516" s="28" t="str">
        <x:v>Development &amp; presentation; Family &amp; education; Social &amp; structural; Environmental &amp; lifestyle; Treatment &amp; support; Life outcomes &amp; lived experience</x:v>
      </x:c>
      <x:c r="G2516" s="28" t="str">
        <x:v>Childhood</x:v>
      </x:c>
      <x:c r="H2516" s="28" t="str">
        <x:v>Later specialized</x:v>
      </x:c>
      <x:c r="I2516" s="28" t="str">
        <x:v>Direct or strongly ADHD-related record retained for later screening; typically narrower treatment, biomarker, mechanistic, or single-comorbidity focus.</x:v>
      </x:c>
      <x:c r="J2516" s="38" t="e">
        <x:f>HYPERLINK("https://pubmed.ncbi.nlm.nih.gov/"&amp;C2516&amp;"/","Open PubMed")</x:f>
        <x:v>HYPERLINK is not implemented. linkLocation=https://pubmed.ncbi.nlm.nih.gov/41483267/, friendlyName=Open PubMed</x:v>
      </x:c>
    </x:row>
    <x:row r="2517">
      <x:c r="A2517" s="26" t="str">
        <x:v>PUBMED-41482947</x:v>
      </x:c>
      <x:c r="B2517" s="26" t="n">
        <x:v>2026</x:v>
      </x:c>
      <x:c r="C2517" s="26" t="str">
        <x:v>41482947</x:v>
      </x:c>
      <x:c r="D2517" s="28" t="str">
        <x:v>Increased Serum Netrin-1 Levels Among Children Diagnosed With ADHD.</x:v>
      </x:c>
      <x:c r="E2517" s="28" t="str">
        <x:v>Primary study - case-control</x:v>
      </x:c>
      <x:c r="F2517" s="28" t="str">
        <x:v>Development &amp; presentation; Recognition &amp; diagnosis; Family &amp; education; Social &amp; structural; Life outcomes &amp; lived experience</x:v>
      </x:c>
      <x:c r="G2517" s="28" t="str">
        <x:v>Childhood</x:v>
      </x:c>
      <x:c r="H2517" s="28" t="str">
        <x:v>Batch 1 core</x:v>
      </x:c>
      <x:c r="I2517" s="28" t="str">
        <x:v>Direct ADHD primary study on diagnosis, family/education, structural conditions, lived experience/outcomes, or environment/lifestyle.</x:v>
      </x:c>
      <x:c r="J2517" s="38" t="e">
        <x:f>HYPERLINK("https://pubmed.ncbi.nlm.nih.gov/"&amp;C2517&amp;"/","Open PubMed")</x:f>
        <x:v>HYPERLINK is not implemented. linkLocation=https://pubmed.ncbi.nlm.nih.gov/41482947/, friendlyName=Open PubMed</x:v>
      </x:c>
    </x:row>
    <x:row r="2518">
      <x:c r="A2518" s="26" t="str">
        <x:v>PUBMED-41466099</x:v>
      </x:c>
      <x:c r="B2518" s="26" t="n">
        <x:v>2026</x:v>
      </x:c>
      <x:c r="C2518" s="26" t="str">
        <x:v>41466099</x:v>
      </x:c>
      <x:c r="D2518" s="28" t="str">
        <x:v>Clinical Insights Into a Rare SETD2 Disorder: Report of a Novel Variant.</x:v>
      </x:c>
      <x:c r="E2518" s="28" t="str">
        <x:v>Primary/contextual journal article</x:v>
      </x:c>
      <x:c r="F2518" s="28" t="str">
        <x:v>Development &amp; presentation; Social &amp; structural</x:v>
      </x:c>
      <x:c r="G2518" s="28" t="str">
        <x:v>Adolescence</x:v>
      </x:c>
      <x:c r="H2518" s="28" t="str">
        <x:v>Exclude/incidental</x:v>
      </x:c>
      <x:c r="I2518" s="28" t="str">
        <x:v>ADHD appears peripheral or insufficiently aligned with the requested corpus scope based on accessible metadata/abstract.</x:v>
      </x:c>
      <x:c r="J2518" s="38" t="e">
        <x:f>HYPERLINK("https://pubmed.ncbi.nlm.nih.gov/"&amp;C2518&amp;"/","Open PubMed")</x:f>
        <x:v>HYPERLINK is not implemented. linkLocation=https://pubmed.ncbi.nlm.nih.gov/41466099/, friendlyName=Open PubMed</x:v>
      </x:c>
    </x:row>
    <x:row r="2519">
      <x:c r="A2519" s="26" t="str">
        <x:v>PUBMED-41457514</x:v>
      </x:c>
      <x:c r="B2519" s="26" t="n">
        <x:v>2026</x:v>
      </x:c>
      <x:c r="C2519" s="26" t="str">
        <x:v>41457514</x:v>
      </x:c>
      <x:c r="D2519" s="28" t="str">
        <x:v>The impact of autism and ADHD symptomology and cognitive functioning on executive functioning in autistic children.</x:v>
      </x:c>
      <x:c r="E2519" s="28" t="str">
        <x:v>Primary/contextual journal article</x:v>
      </x:c>
      <x:c r="F2519" s="28" t="str">
        <x:v>Development &amp; presentation; Recognition &amp; diagnosis; Family &amp; education; Social &amp; structural; Life outcomes &amp; lived experience</x:v>
      </x:c>
      <x:c r="G2519" s="28" t="str">
        <x:v>Childhood; Adolescence</x:v>
      </x:c>
      <x:c r="H2519" s="28" t="str">
        <x:v>Later specialized</x:v>
      </x:c>
      <x:c r="I2519" s="28" t="str">
        <x:v>Direct or strongly ADHD-related record retained for later screening; typically narrower treatment, biomarker, mechanistic, or single-comorbidity focus.</x:v>
      </x:c>
      <x:c r="J2519" s="38" t="e">
        <x:f>HYPERLINK("https://pubmed.ncbi.nlm.nih.gov/"&amp;C2519&amp;"/","Open PubMed")</x:f>
        <x:v>HYPERLINK is not implemented. linkLocation=https://pubmed.ncbi.nlm.nih.gov/41457514/, friendlyName=Open PubMed</x:v>
      </x:c>
    </x:row>
    <x:row r="2520">
      <x:c r="A2520" s="26" t="str">
        <x:v>PUBMED-41455179</x:v>
      </x:c>
      <x:c r="B2520" s="26" t="n">
        <x:v>2026</x:v>
      </x:c>
      <x:c r="C2520" s="26" t="str">
        <x:v>41455179</x:v>
      </x:c>
      <x:c r="D2520" s="28" t="str">
        <x:v>ADHD diagnosis and biomarker detection based on multimodal graph attention convolutional neural network.</x:v>
      </x:c>
      <x:c r="E2520" s="28" t="str">
        <x:v>Primary/contextual journal article</x:v>
      </x:c>
      <x:c r="F2520" s="28" t="str">
        <x:v>Development &amp; presentation; Recognition &amp; diagnosis; Social &amp; structural</x:v>
      </x:c>
      <x:c r="G2520" s="28" t="str">
        <x:v>Not specified</x:v>
      </x:c>
      <x:c r="H2520" s="28" t="str">
        <x:v>Later specialized</x:v>
      </x:c>
      <x:c r="I2520" s="28" t="str">
        <x:v>Direct or strongly ADHD-related record retained for later screening; typically narrower treatment, biomarker, mechanistic, or single-comorbidity focus.</x:v>
      </x:c>
      <x:c r="J2520" s="38" t="e">
        <x:f>HYPERLINK("https://pubmed.ncbi.nlm.nih.gov/"&amp;C2520&amp;"/","Open PubMed")</x:f>
        <x:v>HYPERLINK is not implemented. linkLocation=https://pubmed.ncbi.nlm.nih.gov/41455179/, friendlyName=Open PubMed</x:v>
      </x:c>
    </x:row>
    <x:row r="2521">
      <x:c r="A2521" s="26" t="str">
        <x:v>PUBMED-41439401</x:v>
      </x:c>
      <x:c r="B2521" s="26" t="n">
        <x:v>2026</x:v>
      </x:c>
      <x:c r="C2521" s="26" t="str">
        <x:v>41439401</x:v>
      </x:c>
      <x:c r="D2521" s="28" t="str">
        <x:v>User-centred usability of a virtual reality tool for assessing instrumental activities of daily living in children and adolescents with ADHD.</x:v>
      </x:c>
      <x:c r="E2521" s="28" t="str">
        <x:v>Primary study - cross-sectional</x:v>
      </x:c>
      <x:c r="F2521" s="28" t="str">
        <x:v>Development &amp; presentation; Recognition &amp; diagnosis; Social &amp; structural; Environmental &amp; lifestyle; Treatment &amp; support; Life outcomes &amp; lived experience</x:v>
      </x:c>
      <x:c r="G2521" s="28" t="str">
        <x:v>Childhood; Adolescence</x:v>
      </x:c>
      <x:c r="H2521" s="28" t="str">
        <x:v>Later specialized</x:v>
      </x:c>
      <x:c r="I2521" s="28" t="str">
        <x:v>Direct or strongly ADHD-related record retained for later screening; typically narrower treatment, biomarker, mechanistic, or single-comorbidity focus.</x:v>
      </x:c>
      <x:c r="J2521" s="38" t="e">
        <x:f>HYPERLINK("https://pubmed.ncbi.nlm.nih.gov/"&amp;C2521&amp;"/","Open PubMed")</x:f>
        <x:v>HYPERLINK is not implemented. linkLocation=https://pubmed.ncbi.nlm.nih.gov/41439401/, friendlyName=Open PubMed</x:v>
      </x:c>
    </x:row>
    <x:row r="2522">
      <x:c r="A2522" s="26" t="str">
        <x:v>PUBMED-41435626</x:v>
      </x:c>
      <x:c r="B2522" s="26" t="n">
        <x:v>2026</x:v>
      </x:c>
      <x:c r="C2522" s="26" t="str">
        <x:v>41435626</x:v>
      </x:c>
      <x:c r="D2522" s="28" t="str">
        <x:v>Genetic liability to mental disorders and being delivered via cesarean section.</x:v>
      </x:c>
      <x:c r="E2522" s="28" t="str">
        <x:v>Primary study - cohort</x:v>
      </x:c>
      <x:c r="F2522" s="28" t="str">
        <x:v>Development &amp; presentation; Social &amp; structural; Treatment &amp; support</x:v>
      </x:c>
      <x:c r="G2522" s="28" t="str">
        <x:v>Adulthood</x:v>
      </x:c>
      <x:c r="H2522" s="28" t="str">
        <x:v>Exclude/incidental</x:v>
      </x:c>
      <x:c r="I2522" s="28" t="str">
        <x:v>ADHD appears peripheral or insufficiently aligned with the requested corpus scope based on accessible metadata/abstract.</x:v>
      </x:c>
      <x:c r="J2522" s="38" t="e">
        <x:f>HYPERLINK("https://pubmed.ncbi.nlm.nih.gov/"&amp;C2522&amp;"/","Open PubMed")</x:f>
        <x:v>HYPERLINK is not implemented. linkLocation=https://pubmed.ncbi.nlm.nih.gov/41435626/, friendlyName=Open PubMed</x:v>
      </x:c>
    </x:row>
    <x:row r="2523">
      <x:c r="A2523" s="26" t="str">
        <x:v>PUBMED-41435525</x:v>
      </x:c>
      <x:c r="B2523" s="26" t="n">
        <x:v>2026</x:v>
      </x:c>
      <x:c r="C2523" s="26" t="str">
        <x:v>41435525</x:v>
      </x:c>
      <x:c r="D2523" s="28" t="str">
        <x:v>Development and validation of a rapid LC-MS/MS method for methylphenidate, atomoxetine, and their metabolites with application to pediatric pharmacokinetics.</x:v>
      </x:c>
      <x:c r="E2523" s="28" t="str">
        <x:v>Primary/contextual journal article</x:v>
      </x:c>
      <x:c r="F2523" s="28" t="str">
        <x:v>Development &amp; presentation; Family &amp; education; Social &amp; structural; Treatment &amp; support</x:v>
      </x:c>
      <x:c r="G2523" s="28" t="str">
        <x:v>Childhood; Adolescence</x:v>
      </x:c>
      <x:c r="H2523" s="28" t="str">
        <x:v>Later specialized</x:v>
      </x:c>
      <x:c r="I2523" s="28" t="str">
        <x:v>Direct or strongly ADHD-related record retained for later screening; typically narrower treatment, biomarker, mechanistic, or single-comorbidity focus.</x:v>
      </x:c>
      <x:c r="J2523" s="38" t="e">
        <x:f>HYPERLINK("https://pubmed.ncbi.nlm.nih.gov/"&amp;C2523&amp;"/","Open PubMed")</x:f>
        <x:v>HYPERLINK is not implemented. linkLocation=https://pubmed.ncbi.nlm.nih.gov/41435525/, friendlyName=Open PubMed</x:v>
      </x:c>
    </x:row>
    <x:row r="2524">
      <x:c r="A2524" s="26" t="str">
        <x:v>PUBMED-41429328</x:v>
      </x:c>
      <x:c r="B2524" s="26" t="n">
        <x:v>2026</x:v>
      </x:c>
      <x:c r="C2524" s="26" t="str">
        <x:v>41429328</x:v>
      </x:c>
      <x:c r="D2524" s="28" t="str">
        <x:v>Brain structures mediate the causal effects of socioeconomic status on mental disorders: A multi-stage Mendelian randomization study.</x:v>
      </x:c>
      <x:c r="E2524" s="28" t="str">
        <x:v>Primary/contextual journal article</x:v>
      </x:c>
      <x:c r="F2524" s="28" t="str">
        <x:v>Development &amp; presentation; Family &amp; education; Social &amp; structural</x:v>
      </x:c>
      <x:c r="G2524" s="28" t="str">
        <x:v>Not specified</x:v>
      </x:c>
      <x:c r="H2524" s="28" t="str">
        <x:v>Exclude/incidental</x:v>
      </x:c>
      <x:c r="I2524" s="28" t="str">
        <x:v>ADHD appears peripheral or insufficiently aligned with the requested corpus scope based on accessible metadata/abstract.</x:v>
      </x:c>
      <x:c r="J2524" s="38" t="e">
        <x:f>HYPERLINK("https://pubmed.ncbi.nlm.nih.gov/"&amp;C2524&amp;"/","Open PubMed")</x:f>
        <x:v>HYPERLINK is not implemented. linkLocation=https://pubmed.ncbi.nlm.nih.gov/41429328/, friendlyName=Open PubMed</x:v>
      </x:c>
    </x:row>
    <x:row r="2525">
      <x:c r="A2525" s="26" t="str">
        <x:v>PUBMED-41414780</x:v>
      </x:c>
      <x:c r="B2525" s="26" t="n">
        <x:v>2026</x:v>
      </x:c>
      <x:c r="C2525" s="26" t="str">
        <x:v>41414780</x:v>
      </x:c>
      <x:c r="D2525" s="28" t="str">
        <x:v>Neural Oscillation Features of ADHD Symptoms in Children: EEG Evidence From Resting State and Oddball Task.</x:v>
      </x:c>
      <x:c r="E2525" s="28" t="str">
        <x:v>Primary/contextual journal article</x:v>
      </x:c>
      <x:c r="F2525" s="28" t="str">
        <x:v>Development &amp; presentation; Recognition &amp; diagnosis; Family &amp; education; Social &amp; structural; Treatment &amp; support; Life outcomes &amp; lived experience</x:v>
      </x:c>
      <x:c r="G2525" s="28" t="str">
        <x:v>Childhood</x:v>
      </x:c>
      <x:c r="H2525" s="28" t="str">
        <x:v>Later specialized</x:v>
      </x:c>
      <x:c r="I2525" s="28" t="str">
        <x:v>Direct or strongly ADHD-related record retained for later screening; typically narrower treatment, biomarker, mechanistic, or single-comorbidity focus.</x:v>
      </x:c>
      <x:c r="J2525" s="38" t="e">
        <x:f>HYPERLINK("https://pubmed.ncbi.nlm.nih.gov/"&amp;C2525&amp;"/","Open PubMed")</x:f>
        <x:v>HYPERLINK is not implemented. linkLocation=https://pubmed.ncbi.nlm.nih.gov/41414780/, friendlyName=Open PubMed</x:v>
      </x:c>
    </x:row>
    <x:row r="2526">
      <x:c r="A2526" s="26" t="str">
        <x:v>PUBMED-41413660</x:v>
      </x:c>
      <x:c r="B2526" s="26" t="n">
        <x:v>2026</x:v>
      </x:c>
      <x:c r="C2526" s="26" t="str">
        <x:v>41413660</x:v>
      </x:c>
      <x:c r="D2526" s="28" t="str">
        <x:v>Role of the retinoid X receptor-peroxisome proliferator-activated receptor-γ axis in adolescent attention-deficit hyperactivity disorder.</x:v>
      </x:c>
      <x:c r="E2526" s="28" t="str">
        <x:v>Primary/contextual journal article</x:v>
      </x:c>
      <x:c r="F2526" s="28" t="str">
        <x:v>Development &amp; presentation; Social &amp; structural; Treatment &amp; support</x:v>
      </x:c>
      <x:c r="G2526" s="28" t="str">
        <x:v>Childhood; Adolescence</x:v>
      </x:c>
      <x:c r="H2526" s="28" t="str">
        <x:v>Later specialized</x:v>
      </x:c>
      <x:c r="I2526" s="28" t="str">
        <x:v>Direct or strongly ADHD-related record retained for later screening; typically narrower treatment, biomarker, mechanistic, or single-comorbidity focus.</x:v>
      </x:c>
      <x:c r="J2526" s="38" t="e">
        <x:f>HYPERLINK("https://pubmed.ncbi.nlm.nih.gov/"&amp;C2526&amp;"/","Open PubMed")</x:f>
        <x:v>HYPERLINK is not implemented. linkLocation=https://pubmed.ncbi.nlm.nih.gov/41413660/, friendlyName=Open PubMed</x:v>
      </x:c>
    </x:row>
    <x:row r="2527">
      <x:c r="A2527" s="26" t="str">
        <x:v>PUBMED-41412554</x:v>
      </x:c>
      <x:c r="B2527" s="26" t="n">
        <x:v>2026</x:v>
      </x:c>
      <x:c r="C2527" s="26" t="str">
        <x:v>41412554</x:v>
      </x:c>
      <x:c r="D2527" s="28" t="str">
        <x:v>Writing hand preference and child mental health in the general population: Findings from the Millennium Cohort Study.</x:v>
      </x:c>
      <x:c r="E2527" s="28" t="str">
        <x:v>Primary study - cohort</x:v>
      </x:c>
      <x:c r="F2527" s="28" t="str">
        <x:v>Development &amp; presentation; Family &amp; education; Social &amp; structural</x:v>
      </x:c>
      <x:c r="G2527" s="28" t="str">
        <x:v>Childhood; Adolescence</x:v>
      </x:c>
      <x:c r="H2527" s="28" t="str">
        <x:v>Exclude/incidental</x:v>
      </x:c>
      <x:c r="I2527" s="28" t="str">
        <x:v>ADHD appears peripheral or insufficiently aligned with the requested corpus scope based on accessible metadata/abstract.</x:v>
      </x:c>
      <x:c r="J2527" s="38" t="e">
        <x:f>HYPERLINK("https://pubmed.ncbi.nlm.nih.gov/"&amp;C2527&amp;"/","Open PubMed")</x:f>
        <x:v>HYPERLINK is not implemented. linkLocation=https://pubmed.ncbi.nlm.nih.gov/41412554/, friendlyName=Open PubMed</x:v>
      </x:c>
    </x:row>
    <x:row r="2528">
      <x:c r="A2528" s="26" t="str">
        <x:v>PUBMED-41410601</x:v>
      </x:c>
      <x:c r="B2528" s="26" t="n">
        <x:v>2026</x:v>
      </x:c>
      <x:c r="C2528" s="26" t="str">
        <x:v>41410601</x:v>
      </x:c>
      <x:c r="D2528" s="28" t="str">
        <x:v>[Neurodevelopmental Disorders in Preterm Children born in Iceland between 2012 and 2017].</x:v>
      </x:c>
      <x:c r="E2528" s="28" t="str">
        <x:v>Primary study - cohort</x:v>
      </x:c>
      <x:c r="F2528" s="28" t="str">
        <x:v>Development &amp; presentation; Recognition &amp; diagnosis; Family &amp; education; Social &amp; structural; Environmental &amp; lifestyle</x:v>
      </x:c>
      <x:c r="G2528" s="28" t="str">
        <x:v>Childhood</x:v>
      </x:c>
      <x:c r="H2528" s="28" t="str">
        <x:v>Exclude/incidental</x:v>
      </x:c>
      <x:c r="I2528" s="28" t="str">
        <x:v>ADHD appears peripheral or insufficiently aligned with the requested corpus scope based on accessible metadata/abstract.</x:v>
      </x:c>
      <x:c r="J2528" s="38" t="e">
        <x:f>HYPERLINK("https://pubmed.ncbi.nlm.nih.gov/"&amp;C2528&amp;"/","Open PubMed")</x:f>
        <x:v>HYPERLINK is not implemented. linkLocation=https://pubmed.ncbi.nlm.nih.gov/41410601/, friendlyName=Open PubMed</x:v>
      </x:c>
    </x:row>
    <x:row r="2529">
      <x:c r="A2529" s="26" t="str">
        <x:v>PUBMED-41403110</x:v>
      </x:c>
      <x:c r="B2529" s="26" t="n">
        <x:v>2026</x:v>
      </x:c>
      <x:c r="C2529" s="26" t="str">
        <x:v>41403110</x:v>
      </x:c>
      <x:c r="D2529" s="28" t="str">
        <x:v>Mind-Wandering in Adolescents With ADHD: A Comparative Study.</x:v>
      </x:c>
      <x:c r="E2529" s="28" t="str">
        <x:v>Primary/contextual journal article</x:v>
      </x:c>
      <x:c r="F2529" s="28" t="str">
        <x:v>Development &amp; presentation; Social &amp; structural</x:v>
      </x:c>
      <x:c r="G2529" s="28" t="str">
        <x:v>Childhood; Adolescence; Adulthood</x:v>
      </x:c>
      <x:c r="H2529" s="28" t="str">
        <x:v>Later specialized</x:v>
      </x:c>
      <x:c r="I2529" s="28" t="str">
        <x:v>Direct or strongly ADHD-related record retained for later screening; typically narrower treatment, biomarker, mechanistic, or single-comorbidity focus.</x:v>
      </x:c>
      <x:c r="J2529" s="38" t="e">
        <x:f>HYPERLINK("https://pubmed.ncbi.nlm.nih.gov/"&amp;C2529&amp;"/","Open PubMed")</x:f>
        <x:v>HYPERLINK is not implemented. linkLocation=https://pubmed.ncbi.nlm.nih.gov/41403110/, friendlyName=Open PubMed</x:v>
      </x:c>
    </x:row>
    <x:row r="2530">
      <x:c r="A2530" s="26" t="str">
        <x:v>PUBMED-41401732</x:v>
      </x:c>
      <x:c r="B2530" s="26" t="n">
        <x:v>2026</x:v>
      </x:c>
      <x:c r="C2530" s="26" t="str">
        <x:v>41401732</x:v>
      </x:c>
      <x:c r="D2530" s="28" t="str">
        <x:v>Adapting diabetes education for neurodiverse patients: A COM-B framework analysis of type 1 diabetes and attention deficit hyperactivity disorder.</x:v>
      </x:c>
      <x:c r="E2530" s="28" t="str">
        <x:v>Primary/contextual journal article</x:v>
      </x:c>
      <x:c r="F2530" s="28" t="str">
        <x:v>Development &amp; presentation; Recognition &amp; diagnosis; Family &amp; education; Social &amp; structural; Environmental &amp; lifestyle; Treatment &amp; support; Life outcomes &amp; lived experience; Historical &amp; contemporary context</x:v>
      </x:c>
      <x:c r="G2530" s="28" t="str">
        <x:v>Not specified</x:v>
      </x:c>
      <x:c r="H2530" s="28" t="str">
        <x:v>Later specialized</x:v>
      </x:c>
      <x:c r="I2530" s="28" t="str">
        <x:v>Direct or strongly ADHD-related record retained for later screening; typically narrower treatment, biomarker, mechanistic, or single-comorbidity focus.</x:v>
      </x:c>
      <x:c r="J2530" s="38" t="e">
        <x:f>HYPERLINK("https://pubmed.ncbi.nlm.nih.gov/"&amp;C2530&amp;"/","Open PubMed")</x:f>
        <x:v>HYPERLINK is not implemented. linkLocation=https://pubmed.ncbi.nlm.nih.gov/41401732/, friendlyName=Open PubMed</x:v>
      </x:c>
    </x:row>
    <x:row r="2531">
      <x:c r="A2531" s="26" t="str">
        <x:v>PUBMED-41386624</x:v>
      </x:c>
      <x:c r="B2531" s="26" t="n">
        <x:v>2026</x:v>
      </x:c>
      <x:c r="C2531" s="26" t="str">
        <x:v>41386624</x:v>
      </x:c>
      <x:c r="D2531" s="28" t="str">
        <x:v>Preliminary exploration of the role and mechanism of BAIAP2 in learning and memory impairment in ADHD.</x:v>
      </x:c>
      <x:c r="E2531" s="28" t="str">
        <x:v>Primary/contextual journal article</x:v>
      </x:c>
      <x:c r="F2531" s="28" t="str">
        <x:v>Development &amp; presentation; Social &amp; structural; Treatment &amp; support</x:v>
      </x:c>
      <x:c r="G2531" s="28" t="str">
        <x:v>Childhood</x:v>
      </x:c>
      <x:c r="H2531" s="28" t="str">
        <x:v>Exclude/incidental</x:v>
      </x:c>
      <x:c r="I2531" s="28" t="str">
        <x:v>Animal-only record; retained outside the human-focused core corpus.</x:v>
      </x:c>
      <x:c r="J2531" s="38" t="e">
        <x:f>HYPERLINK("https://pubmed.ncbi.nlm.nih.gov/"&amp;C2531&amp;"/","Open PubMed")</x:f>
        <x:v>HYPERLINK is not implemented. linkLocation=https://pubmed.ncbi.nlm.nih.gov/41386624/, friendlyName=Open PubMed</x:v>
      </x:c>
    </x:row>
    <x:row r="2532">
      <x:c r="A2532" s="26" t="str">
        <x:v>PUBMED-41380135</x:v>
      </x:c>
      <x:c r="B2532" s="26" t="n">
        <x:v>2026</x:v>
      </x:c>
      <x:c r="C2532" s="26" t="str">
        <x:v>41380135</x:v>
      </x:c>
      <x:c r="D2532" s="28" t="str">
        <x:v>Exercise-Based Interventions for ADHD: A Review of Modalities, Mechanisms, and Practical Applications.</x:v>
      </x:c>
      <x:c r="E2532" s="28" t="str">
        <x:v>Evidence synthesis - review</x:v>
      </x:c>
      <x:c r="F2532" s="28" t="str">
        <x:v>Development &amp; presentation; Social &amp; structural; Environmental &amp; lifestyle; Treatment &amp; support; Life outcomes &amp; lived experience</x:v>
      </x:c>
      <x:c r="G2532" s="28" t="str">
        <x:v>Childhood; Adolescence</x:v>
      </x:c>
      <x:c r="H2532" s="28" t="str">
        <x:v>Batch 1 core</x:v>
      </x:c>
      <x:c r="I2532" s="28" t="str">
        <x:v>Direct ADHD evidence synthesis/guideline with broad multi-topic relevance.</x:v>
      </x:c>
      <x:c r="J2532" s="38" t="e">
        <x:f>HYPERLINK("https://pubmed.ncbi.nlm.nih.gov/"&amp;C2532&amp;"/","Open PubMed")</x:f>
        <x:v>HYPERLINK is not implemented. linkLocation=https://pubmed.ncbi.nlm.nih.gov/41380135/, friendlyName=Open PubMed</x:v>
      </x:c>
    </x:row>
    <x:row r="2533">
      <x:c r="A2533" s="26" t="str">
        <x:v>PUBMED-41353968</x:v>
      </x:c>
      <x:c r="B2533" s="26" t="n">
        <x:v>2026</x:v>
      </x:c>
      <x:c r="C2533" s="26" t="str">
        <x:v>41353968</x:v>
      </x:c>
      <x:c r="D2533" s="28" t="str">
        <x:v>Perceptions of adults with ADHD on pharmacological treatment initiation and subsequent adherence: a thematic analysis.</x:v>
      </x:c>
      <x:c r="E2533" s="28" t="str">
        <x:v>Primary study - qualitative</x:v>
      </x:c>
      <x:c r="F2533" s="28" t="str">
        <x:v>Development &amp; presentation; Recognition &amp; diagnosis; Social &amp; structural; Treatment &amp; support; Life outcomes &amp; lived experience</x:v>
      </x:c>
      <x:c r="G2533" s="28" t="str">
        <x:v>Adulthood</x:v>
      </x:c>
      <x:c r="H2533" s="28" t="str">
        <x:v>Later specialized</x:v>
      </x:c>
      <x:c r="I2533" s="28" t="str">
        <x:v>Direct or strongly ADHD-related record retained for later screening; typically narrower treatment, biomarker, mechanistic, or single-comorbidity focus.</x:v>
      </x:c>
      <x:c r="J2533" s="38" t="e">
        <x:f>HYPERLINK("https://pubmed.ncbi.nlm.nih.gov/"&amp;C2533&amp;"/","Open PubMed")</x:f>
        <x:v>HYPERLINK is not implemented. linkLocation=https://pubmed.ncbi.nlm.nih.gov/41353968/, friendlyName=Open PubMed</x:v>
      </x:c>
    </x:row>
    <x:row r="2534">
      <x:c r="A2534" s="26" t="str">
        <x:v>PUBMED-41349717</x:v>
      </x:c>
      <x:c r="B2534" s="26" t="n">
        <x:v>2026</x:v>
      </x:c>
      <x:c r="C2534" s="26" t="str">
        <x:v>41349717</x:v>
      </x:c>
      <x:c r="D2534" s="28" t="str">
        <x:v>Consultation-Liaison Case Conference: Stimulant-Induced Tardive Dyskinesia.</x:v>
      </x:c>
      <x:c r="E2534" s="28" t="str">
        <x:v>Evidence synthesis - review</x:v>
      </x:c>
      <x:c r="F2534" s="28" t="str">
        <x:v>Development &amp; presentation; Recognition &amp; diagnosis; Social &amp; structural; Environmental &amp; lifestyle; Treatment &amp; support; Historical &amp; contemporary context</x:v>
      </x:c>
      <x:c r="G2534" s="28" t="str">
        <x:v>Adulthood</x:v>
      </x:c>
      <x:c r="H2534" s="28" t="str">
        <x:v>Later specialized</x:v>
      </x:c>
      <x:c r="I2534" s="28" t="str">
        <x:v>Direct or strongly ADHD-related record retained for later screening; typically narrower treatment, biomarker, mechanistic, or single-comorbidity focus.</x:v>
      </x:c>
      <x:c r="J2534" s="38" t="e">
        <x:f>HYPERLINK("https://pubmed.ncbi.nlm.nih.gov/"&amp;C2534&amp;"/","Open PubMed")</x:f>
        <x:v>HYPERLINK is not implemented. linkLocation=https://pubmed.ncbi.nlm.nih.gov/41349717/, friendlyName=Open PubMed</x:v>
      </x:c>
    </x:row>
    <x:row r="2535">
      <x:c r="A2535" s="26" t="str">
        <x:v>PUBMED-41344521</x:v>
      </x:c>
      <x:c r="B2535" s="26" t="n">
        <x:v>2026</x:v>
      </x:c>
      <x:c r="C2535" s="26" t="str">
        <x:v>41344521</x:v>
      </x:c>
      <x:c r="D2535" s="28" t="str">
        <x:v>Neuroprotective effects of Yizhi decoction via inhibition of PINK1/Parkin-mediated mitophagy in the prefrontal cortex of rats with attention deficit hyperactivity disorder.</x:v>
      </x:c>
      <x:c r="E2535" s="28" t="str">
        <x:v>Primary/contextual journal article</x:v>
      </x:c>
      <x:c r="F2535" s="28" t="str">
        <x:v>Development &amp; presentation; Social &amp; structural; Environmental &amp; lifestyle; Treatment &amp; support</x:v>
      </x:c>
      <x:c r="G2535" s="28" t="str">
        <x:v>Childhood</x:v>
      </x:c>
      <x:c r="H2535" s="28" t="str">
        <x:v>Exclude/incidental</x:v>
      </x:c>
      <x:c r="I2535" s="28" t="str">
        <x:v>Animal-only record; retained outside the human-focused core corpus.</x:v>
      </x:c>
      <x:c r="J2535" s="38" t="e">
        <x:f>HYPERLINK("https://pubmed.ncbi.nlm.nih.gov/"&amp;C2535&amp;"/","Open PubMed")</x:f>
        <x:v>HYPERLINK is not implemented. linkLocation=https://pubmed.ncbi.nlm.nih.gov/41344521/, friendlyName=Open PubMed</x:v>
      </x:c>
    </x:row>
    <x:row r="2536">
      <x:c r="A2536" s="26" t="str">
        <x:v>PUBMED-41344143</x:v>
      </x:c>
      <x:c r="B2536" s="26" t="n">
        <x:v>2026</x:v>
      </x:c>
      <x:c r="C2536" s="26" t="str">
        <x:v>41344143</x:v>
      </x:c>
      <x:c r="D2536" s="28" t="str">
        <x:v>Beyond bedtime: Improving sleep and behavioral functioning in children with ADHD through targeted interventions.</x:v>
      </x:c>
      <x:c r="E2536" s="28" t="str">
        <x:v>Primary/contextual journal article</x:v>
      </x:c>
      <x:c r="F2536" s="28" t="str">
        <x:v>Development &amp; presentation; Family &amp; education; Social &amp; structural; Environmental &amp; lifestyle; Treatment &amp; support; Life outcomes &amp; lived experience</x:v>
      </x:c>
      <x:c r="G2536" s="28" t="str">
        <x:v>Childhood</x:v>
      </x:c>
      <x:c r="H2536" s="28" t="str">
        <x:v>Later specialized</x:v>
      </x:c>
      <x:c r="I2536" s="28" t="str">
        <x:v>Direct or strongly ADHD-related record retained for later screening; typically narrower treatment, biomarker, mechanistic, or single-comorbidity focus.</x:v>
      </x:c>
      <x:c r="J2536" s="38" t="e">
        <x:f>HYPERLINK("https://pubmed.ncbi.nlm.nih.gov/"&amp;C2536&amp;"/","Open PubMed")</x:f>
        <x:v>HYPERLINK is not implemented. linkLocation=https://pubmed.ncbi.nlm.nih.gov/41344143/, friendlyName=Open PubMed</x:v>
      </x:c>
    </x:row>
    <x:row r="2537">
      <x:c r="A2537" s="26" t="str">
        <x:v>PUBMED-41340547</x:v>
      </x:c>
      <x:c r="B2537" s="26" t="n">
        <x:v>2026</x:v>
      </x:c>
      <x:c r="C2537" s="26" t="str">
        <x:v>41340547</x:v>
      </x:c>
      <x:c r="D2537" s="28" t="str">
        <x:v>Barriers to and Enablers of the Transition From Child to Adult Mental Health Services for Autistic Young People and/or Those With Attention Deficit Hyperactivity Disorder: A Scoping Review.</x:v>
      </x:c>
      <x:c r="E2537" s="28" t="str">
        <x:v>Evidence synthesis - systematic review</x:v>
      </x:c>
      <x:c r="F2537" s="28" t="str">
        <x:v>Development &amp; presentation; Recognition &amp; diagnosis; Social &amp; structural; Treatment &amp; support</x:v>
      </x:c>
      <x:c r="G2537" s="28" t="str">
        <x:v>Childhood; Adolescence; Adulthood</x:v>
      </x:c>
      <x:c r="H2537" s="28" t="str">
        <x:v>Batch 1 core</x:v>
      </x:c>
      <x:c r="I2537" s="28" t="str">
        <x:v>Direct ADHD evidence synthesis/guideline with broad multi-topic relevance.</x:v>
      </x:c>
      <x:c r="J2537" s="38" t="e">
        <x:f>HYPERLINK("https://pubmed.ncbi.nlm.nih.gov/"&amp;C2537&amp;"/","Open PubMed")</x:f>
        <x:v>HYPERLINK is not implemented. linkLocation=https://pubmed.ncbi.nlm.nih.gov/41340547/, friendlyName=Open PubMed</x:v>
      </x:c>
    </x:row>
    <x:row r="2538">
      <x:c r="A2538" s="26" t="str">
        <x:v>PUBMED-41334628</x:v>
      </x:c>
      <x:c r="B2538" s="26" t="n">
        <x:v>2026</x:v>
      </x:c>
      <x:c r="C2538" s="26" t="str">
        <x:v>41334628</x:v>
      </x:c>
      <x:c r="D2538" s="28" t="str">
        <x:v>Self-Reported ADHD Symptoms and Cognitive Performance in a National Sample of US Older Adults.</x:v>
      </x:c>
      <x:c r="E2538" s="28" t="str">
        <x:v>Primary/contextual journal article</x:v>
      </x:c>
      <x:c r="F2538" s="28" t="str">
        <x:v>Development &amp; presentation; Social &amp; structural; Life outcomes &amp; lived experience</x:v>
      </x:c>
      <x:c r="G2538" s="28" t="str">
        <x:v>Adulthood</x:v>
      </x:c>
      <x:c r="H2538" s="28" t="str">
        <x:v>Later specialized</x:v>
      </x:c>
      <x:c r="I2538" s="28" t="str">
        <x:v>Direct or strongly ADHD-related record retained for later screening; typically narrower treatment, biomarker, mechanistic, or single-comorbidity focus.</x:v>
      </x:c>
      <x:c r="J2538" s="38" t="e">
        <x:f>HYPERLINK("https://pubmed.ncbi.nlm.nih.gov/"&amp;C2538&amp;"/","Open PubMed")</x:f>
        <x:v>HYPERLINK is not implemented. linkLocation=https://pubmed.ncbi.nlm.nih.gov/41334628/, friendlyName=Open PubMed</x:v>
      </x:c>
    </x:row>
    <x:row r="2539">
      <x:c r="A2539" s="26" t="str">
        <x:v>PUBMED-41330200</x:v>
      </x:c>
      <x:c r="B2539" s="26" t="n">
        <x:v>2026</x:v>
      </x:c>
      <x:c r="C2539" s="26" t="str">
        <x:v>41330200</x:v>
      </x:c>
      <x:c r="D2539" s="28" t="str">
        <x:v>ADHD in females: Survey findings on symptoms across hormonal life stages.</x:v>
      </x:c>
      <x:c r="E2539" s="28" t="str">
        <x:v>Primary study - cross-sectional</x:v>
      </x:c>
      <x:c r="F2539" s="28" t="str">
        <x:v>Development &amp; presentation; Recognition &amp; diagnosis; Social &amp; structural; Environmental &amp; lifestyle; Treatment &amp; support; Life outcomes &amp; lived experience; Historical &amp; contemporary context</x:v>
      </x:c>
      <x:c r="G2539" s="28" t="str">
        <x:v>Adolescence; Adulthood</x:v>
      </x:c>
      <x:c r="H2539" s="28" t="str">
        <x:v>Later specialized</x:v>
      </x:c>
      <x:c r="I2539" s="28" t="str">
        <x:v>Direct or strongly ADHD-related record retained for later screening; typically narrower treatment, biomarker, mechanistic, or single-comorbidity focus.</x:v>
      </x:c>
      <x:c r="J2539" s="38" t="e">
        <x:f>HYPERLINK("https://pubmed.ncbi.nlm.nih.gov/"&amp;C2539&amp;"/","Open PubMed")</x:f>
        <x:v>HYPERLINK is not implemented. linkLocation=https://pubmed.ncbi.nlm.nih.gov/41330200/, friendlyName=Open PubMed</x:v>
      </x:c>
    </x:row>
    <x:row r="2540">
      <x:c r="A2540" s="26" t="str">
        <x:v>PUBMED-41317177</x:v>
      </x:c>
      <x:c r="B2540" s="26" t="n">
        <x:v>2026</x:v>
      </x:c>
      <x:c r="C2540" s="26" t="str">
        <x:v>41317177</x:v>
      </x:c>
      <x:c r="D2540" s="28" t="str">
        <x:v>Association of educational attainment with mental disorders and the mediation role of lifestyle factors: a Mendelian randomization study.</x:v>
      </x:c>
      <x:c r="E2540" s="28" t="str">
        <x:v>Primary/contextual journal article</x:v>
      </x:c>
      <x:c r="F2540" s="28" t="str">
        <x:v>Development &amp; presentation; Family &amp; education; Social &amp; structural; Environmental &amp; lifestyle; Life outcomes &amp; lived experience</x:v>
      </x:c>
      <x:c r="G2540" s="28" t="str">
        <x:v>Not specified</x:v>
      </x:c>
      <x:c r="H2540" s="28" t="str">
        <x:v>Later specialized</x:v>
      </x:c>
      <x:c r="I2540" s="28" t="str">
        <x:v>Direct or strongly ADHD-related record retained for later screening; typically narrower treatment, biomarker, mechanistic, or single-comorbidity focus.</x:v>
      </x:c>
      <x:c r="J2540" s="38" t="e">
        <x:f>HYPERLINK("https://pubmed.ncbi.nlm.nih.gov/"&amp;C2540&amp;"/","Open PubMed")</x:f>
        <x:v>HYPERLINK is not implemented. linkLocation=https://pubmed.ncbi.nlm.nih.gov/41317177/, friendlyName=Open PubMed</x:v>
      </x:c>
    </x:row>
    <x:row r="2541">
      <x:c r="A2541" s="26" t="str">
        <x:v>PUBMED-41315883</x:v>
      </x:c>
      <x:c r="B2541" s="26" t="n">
        <x:v>2026</x:v>
      </x:c>
      <x:c r="C2541" s="26" t="str">
        <x:v>41315883</x:v>
      </x:c>
      <x:c r="D2541" s="28" t="str">
        <x:v>"I Felt Like a Burden": An Exploration Into the Experience of Romantic Relationships for People With ADHD.</x:v>
      </x:c>
      <x:c r="E2541" s="28" t="str">
        <x:v>Primary study - qualitative</x:v>
      </x:c>
      <x:c r="F2541" s="28" t="str">
        <x:v>Development &amp; presentation; Family &amp; education; Social &amp; structural; Life outcomes &amp; lived experience</x:v>
      </x:c>
      <x:c r="G2541" s="28" t="str">
        <x:v>Adulthood</x:v>
      </x:c>
      <x:c r="H2541" s="28" t="str">
        <x:v>Batch 1 core</x:v>
      </x:c>
      <x:c r="I2541" s="28" t="str">
        <x:v>Direct ADHD primary study on diagnosis, family/education, structural conditions, lived experience/outcomes, or environment/lifestyle.</x:v>
      </x:c>
      <x:c r="J2541" s="38" t="e">
        <x:f>HYPERLINK("https://pubmed.ncbi.nlm.nih.gov/"&amp;C2541&amp;"/","Open PubMed")</x:f>
        <x:v>HYPERLINK is not implemented. linkLocation=https://pubmed.ncbi.nlm.nih.gov/41315883/, friendlyName=Open PubMed</x:v>
      </x:c>
    </x:row>
    <x:row r="2542">
      <x:c r="A2542" s="26" t="str">
        <x:v>PUBMED-41307684</x:v>
      </x:c>
      <x:c r="B2542" s="26" t="n">
        <x:v>2026</x:v>
      </x:c>
      <x:c r="C2542" s="26" t="str">
        <x:v>41307684</x:v>
      </x:c>
      <x:c r="D2542" s="28" t="str">
        <x:v>The impact of targeted physical activity interventions on inhibition control in children and adolescents with ADHD: a meta-analysis.</x:v>
      </x:c>
      <x:c r="E2542" s="28" t="str">
        <x:v>Evidence synthesis - meta-analysis</x:v>
      </x:c>
      <x:c r="F2542" s="28" t="str">
        <x:v>Development &amp; presentation; Social &amp; structural; Environmental &amp; lifestyle; Treatment &amp; support; Life outcomes &amp; lived experience</x:v>
      </x:c>
      <x:c r="G2542" s="28" t="str">
        <x:v>Childhood; Adolescence</x:v>
      </x:c>
      <x:c r="H2542" s="28" t="str">
        <x:v>Batch 1 core</x:v>
      </x:c>
      <x:c r="I2542" s="28" t="str">
        <x:v>Direct ADHD evidence synthesis/guideline with broad multi-topic relevance.</x:v>
      </x:c>
      <x:c r="J2542" s="38" t="e">
        <x:f>HYPERLINK("https://pubmed.ncbi.nlm.nih.gov/"&amp;C2542&amp;"/","Open PubMed")</x:f>
        <x:v>HYPERLINK is not implemented. linkLocation=https://pubmed.ncbi.nlm.nih.gov/41307684/, friendlyName=Open PubMed</x:v>
      </x:c>
    </x:row>
    <x:row r="2543">
      <x:c r="A2543" s="26" t="str">
        <x:v>PUBMED-41296952</x:v>
      </x:c>
      <x:c r="B2543" s="26" t="n">
        <x:v>2026</x:v>
      </x:c>
      <x:c r="C2543" s="26" t="str">
        <x:v>41296952</x:v>
      </x:c>
      <x:c r="D2543" s="28" t="str">
        <x:v>Managing Classroom Behavior in School-Aged Children With ADHD Using AI-Empowered Vest.</x:v>
      </x:c>
      <x:c r="E2543" s="28" t="str">
        <x:v>Primary/contextual journal article</x:v>
      </x:c>
      <x:c r="F2543" s="28" t="str">
        <x:v>Development &amp; presentation; Recognition &amp; diagnosis; Family &amp; education; Social &amp; structural; Treatment &amp; support</x:v>
      </x:c>
      <x:c r="G2543" s="28" t="str">
        <x:v>Childhood</x:v>
      </x:c>
      <x:c r="H2543" s="28" t="str">
        <x:v>Later specialized</x:v>
      </x:c>
      <x:c r="I2543" s="28" t="str">
        <x:v>Direct or strongly ADHD-related record retained for later screening; typically narrower treatment, biomarker, mechanistic, or single-comorbidity focus.</x:v>
      </x:c>
      <x:c r="J2543" s="38" t="e">
        <x:f>HYPERLINK("https://pubmed.ncbi.nlm.nih.gov/"&amp;C2543&amp;"/","Open PubMed")</x:f>
        <x:v>HYPERLINK is not implemented. linkLocation=https://pubmed.ncbi.nlm.nih.gov/41296952/, friendlyName=Open PubMed</x:v>
      </x:c>
    </x:row>
    <x:row r="2544">
      <x:c r="A2544" s="26" t="str">
        <x:v>PUBMED-41292355</x:v>
      </x:c>
      <x:c r="B2544" s="26" t="n">
        <x:v>2026</x:v>
      </x:c>
      <x:c r="C2544" s="26" t="str">
        <x:v>41292355</x:v>
      </x:c>
      <x:c r="D2544" s="28" t="str">
        <x:v>Does Delivery Mode Matter? A Randomised Controlled Trial of the Sleeping Sound Intervention: Predicting Sleep Outcomes in Children With ADHD.</x:v>
      </x:c>
      <x:c r="E2544" s="28" t="str">
        <x:v>Primary study - randomized controlled trial</x:v>
      </x:c>
      <x:c r="F2544" s="28" t="str">
        <x:v>Development &amp; presentation; Recognition &amp; diagnosis; Family &amp; education; Social &amp; structural; Environmental &amp; lifestyle; Treatment &amp; support; Life outcomes &amp; lived experience</x:v>
      </x:c>
      <x:c r="G2544" s="28" t="str">
        <x:v>Childhood</x:v>
      </x:c>
      <x:c r="H2544" s="28" t="str">
        <x:v>Later specialized</x:v>
      </x:c>
      <x:c r="I2544" s="28" t="str">
        <x:v>Direct or strongly ADHD-related record retained for later screening; typically narrower treatment, biomarker, mechanistic, or single-comorbidity focus.</x:v>
      </x:c>
      <x:c r="J2544" s="38" t="e">
        <x:f>HYPERLINK("https://pubmed.ncbi.nlm.nih.gov/"&amp;C2544&amp;"/","Open PubMed")</x:f>
        <x:v>HYPERLINK is not implemented. linkLocation=https://pubmed.ncbi.nlm.nih.gov/41292355/, friendlyName=Open PubMed</x:v>
      </x:c>
    </x:row>
    <x:row r="2545">
      <x:c r="A2545" s="26" t="str">
        <x:v>PUBMED-41283990</x:v>
      </x:c>
      <x:c r="B2545" s="26" t="n">
        <x:v>2026</x:v>
      </x:c>
      <x:c r="C2545" s="26" t="str">
        <x:v>41283990</x:v>
      </x:c>
      <x:c r="D2545" s="28" t="str">
        <x:v>Interpreting Scores from Adolescents with Attention-Deficit/Hyperactivity Disorder on Sway Medical System Balance and Cognitive Modules.</x:v>
      </x:c>
      <x:c r="E2545" s="28" t="str">
        <x:v>Primary/contextual journal article</x:v>
      </x:c>
      <x:c r="F2545" s="28" t="str">
        <x:v>Development &amp; presentation; Recognition &amp; diagnosis; Family &amp; education; Social &amp; structural</x:v>
      </x:c>
      <x:c r="G2545" s="28" t="str">
        <x:v>Childhood; Adolescence; Adulthood</x:v>
      </x:c>
      <x:c r="H2545" s="28" t="str">
        <x:v>Later specialized</x:v>
      </x:c>
      <x:c r="I2545" s="28" t="str">
        <x:v>Direct or strongly ADHD-related record retained for later screening; typically narrower treatment, biomarker, mechanistic, or single-comorbidity focus.</x:v>
      </x:c>
      <x:c r="J2545" s="38" t="e">
        <x:f>HYPERLINK("https://pubmed.ncbi.nlm.nih.gov/"&amp;C2545&amp;"/","Open PubMed")</x:f>
        <x:v>HYPERLINK is not implemented. linkLocation=https://pubmed.ncbi.nlm.nih.gov/41283990/, friendlyName=Open PubMed</x:v>
      </x:c>
    </x:row>
    <x:row r="2546">
      <x:c r="A2546" s="26" t="str">
        <x:v>PUBMED-41274104</x:v>
      </x:c>
      <x:c r="B2546" s="26" t="n">
        <x:v>2026</x:v>
      </x:c>
      <x:c r="C2546" s="26" t="str">
        <x:v>41274104</x:v>
      </x:c>
      <x:c r="D2546" s="28" t="str">
        <x:v>General executive functions, stimulus-specific inhibitory control and predisposing variables of individuals with problematic social network use.</x:v>
      </x:c>
      <x:c r="E2546" s="28" t="str">
        <x:v>Evidence synthesis - review</x:v>
      </x:c>
      <x:c r="F2546" s="28" t="str">
        <x:v>Development &amp; presentation; Recognition &amp; diagnosis; Social &amp; structural; Environmental &amp; lifestyle; Life outcomes &amp; lived experience; Historical &amp; contemporary context</x:v>
      </x:c>
      <x:c r="G2546" s="28" t="str">
        <x:v>Adolescence; Adulthood</x:v>
      </x:c>
      <x:c r="H2546" s="28" t="str">
        <x:v>Later specialized</x:v>
      </x:c>
      <x:c r="I2546" s="28" t="str">
        <x:v>Direct or strongly ADHD-related record retained for later screening; typically narrower treatment, biomarker, mechanistic, or single-comorbidity focus.</x:v>
      </x:c>
      <x:c r="J2546" s="38" t="e">
        <x:f>HYPERLINK("https://pubmed.ncbi.nlm.nih.gov/"&amp;C2546&amp;"/","Open PubMed")</x:f>
        <x:v>HYPERLINK is not implemented. linkLocation=https://pubmed.ncbi.nlm.nih.gov/41274104/, friendlyName=Open PubMed</x:v>
      </x:c>
    </x:row>
    <x:row r="2547">
      <x:c r="A2547" s="26" t="str">
        <x:v>PUBMED-41260938</x:v>
      </x:c>
      <x:c r="B2547" s="26" t="n">
        <x:v>2026</x:v>
      </x:c>
      <x:c r="C2547" s="26" t="str">
        <x:v>41260938</x:v>
      </x:c>
      <x:c r="D2547" s="28" t="str">
        <x:v>Autistic traits in children with comorbid Specific Learning Disorder and Attention-Deficit/Hyperactivity Disorder: cognitive, behavioral, and teacher-reported predictors.</x:v>
      </x:c>
      <x:c r="E2547" s="28" t="str">
        <x:v>Primary/contextual journal article</x:v>
      </x:c>
      <x:c r="F2547" s="28" t="str">
        <x:v>Development &amp; presentation; Recognition &amp; diagnosis; Family &amp; education; Social &amp; structural; Treatment &amp; support</x:v>
      </x:c>
      <x:c r="G2547" s="28" t="str">
        <x:v>Childhood</x:v>
      </x:c>
      <x:c r="H2547" s="28" t="str">
        <x:v>Later specialized</x:v>
      </x:c>
      <x:c r="I2547" s="28" t="str">
        <x:v>Direct or strongly ADHD-related record retained for later screening; typically narrower treatment, biomarker, mechanistic, or single-comorbidity focus.</x:v>
      </x:c>
      <x:c r="J2547" s="38" t="e">
        <x:f>HYPERLINK("https://pubmed.ncbi.nlm.nih.gov/"&amp;C2547&amp;"/","Open PubMed")</x:f>
        <x:v>HYPERLINK is not implemented. linkLocation=https://pubmed.ncbi.nlm.nih.gov/41260938/, friendlyName=Open PubMed</x:v>
      </x:c>
    </x:row>
    <x:row r="2548">
      <x:c r="A2548" s="26" t="str">
        <x:v>PUBMED-41260369</x:v>
      </x:c>
      <x:c r="B2548" s="26" t="n">
        <x:v>2026</x:v>
      </x:c>
      <x:c r="C2548" s="26" t="str">
        <x:v>41260369</x:v>
      </x:c>
      <x:c r="D2548" s="28" t="str">
        <x:v>The effects of computerized executive function training on the youth with ADHD: A systematic review and meta-analysis.</x:v>
      </x:c>
      <x:c r="E2548" s="28" t="str">
        <x:v>Evidence synthesis - meta-analysis</x:v>
      </x:c>
      <x:c r="F2548" s="28" t="str">
        <x:v>Development &amp; presentation; Recognition &amp; diagnosis; Family &amp; education; Social &amp; structural; Environmental &amp; lifestyle; Treatment &amp; support; Life outcomes &amp; lived experience</x:v>
      </x:c>
      <x:c r="G2548" s="28" t="str">
        <x:v>Childhood; Adolescence</x:v>
      </x:c>
      <x:c r="H2548" s="28" t="str">
        <x:v>Batch 1 core</x:v>
      </x:c>
      <x:c r="I2548" s="28" t="str">
        <x:v>Direct ADHD evidence synthesis/guideline with broad multi-topic relevance.</x:v>
      </x:c>
      <x:c r="J2548" s="38" t="e">
        <x:f>HYPERLINK("https://pubmed.ncbi.nlm.nih.gov/"&amp;C2548&amp;"/","Open PubMed")</x:f>
        <x:v>HYPERLINK is not implemented. linkLocation=https://pubmed.ncbi.nlm.nih.gov/41260369/, friendlyName=Open PubMed</x:v>
      </x:c>
    </x:row>
    <x:row r="2549">
      <x:c r="A2549" s="26" t="str">
        <x:v>PUBMED-41255268</x:v>
      </x:c>
      <x:c r="B2549" s="26" t="n">
        <x:v>2026</x:v>
      </x:c>
      <x:c r="C2549" s="26" t="str">
        <x:v>41255268</x:v>
      </x:c>
      <x:c r="D2549" s="28" t="str">
        <x:v>Visceral Adipose Tissue Accumulation in Children With Obesity and Co-occurring ADHD: A Case-Control Analysis of Body Fat Distribution Patterns.</x:v>
      </x:c>
      <x:c r="E2549" s="28" t="str">
        <x:v>Primary study - case-control</x:v>
      </x:c>
      <x:c r="F2549" s="28" t="str">
        <x:v>Development &amp; presentation; Social &amp; structural; Treatment &amp; support</x:v>
      </x:c>
      <x:c r="G2549" s="28" t="str">
        <x:v>Childhood</x:v>
      </x:c>
      <x:c r="H2549" s="28" t="str">
        <x:v>Later specialized</x:v>
      </x:c>
      <x:c r="I2549" s="28" t="str">
        <x:v>Direct or strongly ADHD-related record retained for later screening; typically narrower treatment, biomarker, mechanistic, or single-comorbidity focus.</x:v>
      </x:c>
      <x:c r="J2549" s="38" t="e">
        <x:f>HYPERLINK("https://pubmed.ncbi.nlm.nih.gov/"&amp;C2549&amp;"/","Open PubMed")</x:f>
        <x:v>HYPERLINK is not implemented. linkLocation=https://pubmed.ncbi.nlm.nih.gov/41255268/, friendlyName=Open PubMed</x:v>
      </x:c>
    </x:row>
    <x:row r="2550">
      <x:c r="A2550" s="26" t="str">
        <x:v>PUBMED-41255090</x:v>
      </x:c>
      <x:c r="B2550" s="26" t="n">
        <x:v>2026</x:v>
      </x:c>
      <x:c r="C2550" s="26" t="str">
        <x:v>41255090</x:v>
      </x:c>
      <x:c r="D2550" s="28" t="str">
        <x:v>Influence of sex and depressive symptoms on diagnostic delay of attention deficit hyperactivity disorder in adolescent psychiatric patients.</x:v>
      </x:c>
      <x:c r="E2550" s="28" t="str">
        <x:v>Primary/contextual journal article</x:v>
      </x:c>
      <x:c r="F2550" s="28" t="str">
        <x:v>Development &amp; presentation; Recognition &amp; diagnosis; Social &amp; structural</x:v>
      </x:c>
      <x:c r="G2550" s="28" t="str">
        <x:v>Childhood; Adolescence; Adulthood</x:v>
      </x:c>
      <x:c r="H2550" s="28" t="str">
        <x:v>Later specialized</x:v>
      </x:c>
      <x:c r="I2550" s="28" t="str">
        <x:v>Direct or strongly ADHD-related record retained for later screening; typically narrower treatment, biomarker, mechanistic, or single-comorbidity focus.</x:v>
      </x:c>
      <x:c r="J2550" s="38" t="e">
        <x:f>HYPERLINK("https://pubmed.ncbi.nlm.nih.gov/"&amp;C2550&amp;"/","Open PubMed")</x:f>
        <x:v>HYPERLINK is not implemented. linkLocation=https://pubmed.ncbi.nlm.nih.gov/41255090/, friendlyName=Open PubMed</x:v>
      </x:c>
    </x:row>
    <x:row r="2551">
      <x:c r="A2551" s="26" t="str">
        <x:v>PUBMED-41250857</x:v>
      </x:c>
      <x:c r="B2551" s="26" t="n">
        <x:v>2026</x:v>
      </x:c>
      <x:c r="C2551" s="26" t="str">
        <x:v>41250857</x:v>
      </x:c>
      <x:c r="D2551" s="28" t="str">
        <x:v>Narrative and Non-Narrative Discourse Skills in ADHD Across the Lifespan: A Systematic Review of the Literature.</x:v>
      </x:c>
      <x:c r="E2551" s="28" t="str">
        <x:v>Evidence synthesis - systematic review</x:v>
      </x:c>
      <x:c r="F2551" s="28" t="str">
        <x:v>Development &amp; presentation; Family &amp; education; Social &amp; structural; Environmental &amp; lifestyle</x:v>
      </x:c>
      <x:c r="G2551" s="28" t="str">
        <x:v>Childhood; Adulthood</x:v>
      </x:c>
      <x:c r="H2551" s="28" t="str">
        <x:v>Batch 1 core</x:v>
      </x:c>
      <x:c r="I2551" s="28" t="str">
        <x:v>Direct ADHD evidence synthesis/guideline with broad multi-topic relevance.</x:v>
      </x:c>
      <x:c r="J2551" s="38" t="e">
        <x:f>HYPERLINK("https://pubmed.ncbi.nlm.nih.gov/"&amp;C2551&amp;"/","Open PubMed")</x:f>
        <x:v>HYPERLINK is not implemented. linkLocation=https://pubmed.ncbi.nlm.nih.gov/41250857/, friendlyName=Open PubMed</x:v>
      </x:c>
    </x:row>
    <x:row r="2552">
      <x:c r="A2552" s="26" t="str">
        <x:v>PUBMED-41248901</x:v>
      </x:c>
      <x:c r="B2552" s="26" t="n">
        <x:v>2026</x:v>
      </x:c>
      <x:c r="C2552" s="26" t="str">
        <x:v>41248901</x:v>
      </x:c>
      <x:c r="D2552" s="28" t="str">
        <x:v>Warning signs for identifying neurodevelopmental disorders: a systematic literature review.</x:v>
      </x:c>
      <x:c r="E2552" s="28" t="str">
        <x:v>Evidence synthesis - systematic review</x:v>
      </x:c>
      <x:c r="F2552" s="28" t="str">
        <x:v>Development &amp; presentation; Recognition &amp; diagnosis; Family &amp; education; Social &amp; structural; Environmental &amp; lifestyle; Treatment &amp; support</x:v>
      </x:c>
      <x:c r="G2552" s="28" t="str">
        <x:v>Childhood</x:v>
      </x:c>
      <x:c r="H2552" s="28" t="str">
        <x:v>Exclude/incidental</x:v>
      </x:c>
      <x:c r="I2552" s="28" t="str">
        <x:v>ADHD appears peripheral or insufficiently aligned with the requested corpus scope based on accessible metadata/abstract.</x:v>
      </x:c>
      <x:c r="J2552" s="38" t="e">
        <x:f>HYPERLINK("https://pubmed.ncbi.nlm.nih.gov/"&amp;C2552&amp;"/","Open PubMed")</x:f>
        <x:v>HYPERLINK is not implemented. linkLocation=https://pubmed.ncbi.nlm.nih.gov/41248901/, friendlyName=Open PubMed</x:v>
      </x:c>
    </x:row>
    <x:row r="2553">
      <x:c r="A2553" s="26" t="str">
        <x:v>PUBMED-41232685</x:v>
      </x:c>
      <x:c r="B2553" s="26" t="n">
        <x:v>2026</x:v>
      </x:c>
      <x:c r="C2553" s="26" t="str">
        <x:v>41232685</x:v>
      </x:c>
      <x:c r="D2553" s="28" t="str">
        <x:v>Genome-wide cross-trait analyses reveal shared genetic architecture and causal links between attention-deficit/hyperactivity disorder and cardiovascular diseases.</x:v>
      </x:c>
      <x:c r="E2553" s="28" t="str">
        <x:v>Primary/contextual journal article</x:v>
      </x:c>
      <x:c r="F2553" s="28" t="str">
        <x:v>Development &amp; presentation; Social &amp; structural; Environmental &amp; lifestyle; Life outcomes &amp; lived experience</x:v>
      </x:c>
      <x:c r="G2553" s="28" t="str">
        <x:v>Not specified</x:v>
      </x:c>
      <x:c r="H2553" s="28" t="str">
        <x:v>Later specialized</x:v>
      </x:c>
      <x:c r="I2553" s="28" t="str">
        <x:v>Direct or strongly ADHD-related record retained for later screening; typically narrower treatment, biomarker, mechanistic, or single-comorbidity focus.</x:v>
      </x:c>
      <x:c r="J2553" s="38" t="e">
        <x:f>HYPERLINK("https://pubmed.ncbi.nlm.nih.gov/"&amp;C2553&amp;"/","Open PubMed")</x:f>
        <x:v>HYPERLINK is not implemented. linkLocation=https://pubmed.ncbi.nlm.nih.gov/41232685/, friendlyName=Open PubMed</x:v>
      </x:c>
    </x:row>
    <x:row r="2554">
      <x:c r="A2554" s="26" t="str">
        <x:v>PUBMED-41220056</x:v>
      </x:c>
      <x:c r="B2554" s="26" t="n">
        <x:v>2026</x:v>
      </x:c>
      <x:c r="C2554" s="26" t="str">
        <x:v>41220056</x:v>
      </x:c>
      <x:c r="D2554" s="28" t="str">
        <x:v>Dissecting the Mediating Role of Cortical Structures in the Pathogenesis of Socioeconomic Status to ADHD: A Mendelian Randomization Study and Mediation Analysis.</x:v>
      </x:c>
      <x:c r="E2554" s="28" t="str">
        <x:v>Primary/contextual journal article</x:v>
      </x:c>
      <x:c r="F2554" s="28" t="str">
        <x:v>Development &amp; presentation; Recognition &amp; diagnosis; Family &amp; education; Social &amp; structural; Life outcomes &amp; lived experience</x:v>
      </x:c>
      <x:c r="G2554" s="28" t="str">
        <x:v>Adulthood</x:v>
      </x:c>
      <x:c r="H2554" s="28" t="str">
        <x:v>Later specialized</x:v>
      </x:c>
      <x:c r="I2554" s="28" t="str">
        <x:v>Direct or strongly ADHD-related record retained for later screening; typically narrower treatment, biomarker, mechanistic, or single-comorbidity focus.</x:v>
      </x:c>
      <x:c r="J2554" s="38" t="e">
        <x:f>HYPERLINK("https://pubmed.ncbi.nlm.nih.gov/"&amp;C2554&amp;"/","Open PubMed")</x:f>
        <x:v>HYPERLINK is not implemented. linkLocation=https://pubmed.ncbi.nlm.nih.gov/41220056/, friendlyName=Open PubMed</x:v>
      </x:c>
    </x:row>
    <x:row r="2555">
      <x:c r="A2555" s="26" t="str">
        <x:v>PUBMED-41220055</x:v>
      </x:c>
      <x:c r="B2555" s="26" t="n">
        <x:v>2026</x:v>
      </x:c>
      <x:c r="C2555" s="26" t="str">
        <x:v>41220055</x:v>
      </x:c>
      <x:c r="D2555" s="28" t="str">
        <x:v>Bridging the Gap: Digital CBT for Adults Managing ADHD Challenges.</x:v>
      </x:c>
      <x:c r="E2555" s="28" t="str">
        <x:v>Primary study - randomized controlled trial</x:v>
      </x:c>
      <x:c r="F2555" s="28" t="str">
        <x:v>Development &amp; presentation; Social &amp; structural; Environmental &amp; lifestyle; Treatment &amp; support; Life outcomes &amp; lived experience</x:v>
      </x:c>
      <x:c r="G2555" s="28" t="str">
        <x:v>Adolescence; Adulthood</x:v>
      </x:c>
      <x:c r="H2555" s="28" t="str">
        <x:v>Later specialized</x:v>
      </x:c>
      <x:c r="I2555" s="28" t="str">
        <x:v>Direct or strongly ADHD-related record retained for later screening; typically narrower treatment, biomarker, mechanistic, or single-comorbidity focus.</x:v>
      </x:c>
      <x:c r="J2555" s="38" t="e">
        <x:f>HYPERLINK("https://pubmed.ncbi.nlm.nih.gov/"&amp;C2555&amp;"/","Open PubMed")</x:f>
        <x:v>HYPERLINK is not implemented. linkLocation=https://pubmed.ncbi.nlm.nih.gov/41220055/, friendlyName=Open PubMed</x:v>
      </x:c>
    </x:row>
    <x:row r="2556">
      <x:c r="A2556" s="26" t="str">
        <x:v>PUBMED-41211842</x:v>
      </x:c>
      <x:c r="B2556" s="26" t="n">
        <x:v>2026</x:v>
      </x:c>
      <x:c r="C2556" s="26" t="str">
        <x:v>41211842</x:v>
      </x:c>
      <x:c r="D2556" s="28" t="str">
        <x:v>Exposures to attention deficient hyperactivity disorder medications reported to the New South Wales Poisons Information Centre (2014-2023): A retrospective study.</x:v>
      </x:c>
      <x:c r="E2556" s="28" t="str">
        <x:v>Primary/contextual journal article</x:v>
      </x:c>
      <x:c r="F2556" s="28" t="str">
        <x:v>Development &amp; presentation; Family &amp; education; Environmental &amp; lifestyle; Treatment &amp; support</x:v>
      </x:c>
      <x:c r="G2556" s="28" t="str">
        <x:v>Childhood; Adolescence; Adulthood</x:v>
      </x:c>
      <x:c r="H2556" s="28" t="str">
        <x:v>Later specialized</x:v>
      </x:c>
      <x:c r="I2556" s="28" t="str">
        <x:v>Direct or strongly ADHD-related record retained for later screening; typically narrower treatment, biomarker, mechanistic, or single-comorbidity focus.</x:v>
      </x:c>
      <x:c r="J2556" s="38" t="e">
        <x:f>HYPERLINK("https://pubmed.ncbi.nlm.nih.gov/"&amp;C2556&amp;"/","Open PubMed")</x:f>
        <x:v>HYPERLINK is not implemented. linkLocation=https://pubmed.ncbi.nlm.nih.gov/41211842/, friendlyName=Open PubMed</x:v>
      </x:c>
    </x:row>
    <x:row r="2557">
      <x:c r="A2557" s="26" t="str">
        <x:v>PUBMED-41183543</x:v>
      </x:c>
      <x:c r="B2557" s="26" t="n">
        <x:v>2026</x:v>
      </x:c>
      <x:c r="C2557" s="26" t="str">
        <x:v>41183543</x:v>
      </x:c>
      <x:c r="D2557" s="28" t="str">
        <x:v>Therapeutic Reference Ranges for ADHD Drugs in Blood of Children and Adolescents: A Systematic Review by the AGNP TDM-Task Force.</x:v>
      </x:c>
      <x:c r="E2557" s="28" t="str">
        <x:v>Evidence synthesis - systematic review</x:v>
      </x:c>
      <x:c r="F2557" s="28" t="str">
        <x:v>Development &amp; presentation; Social &amp; structural; Treatment &amp; support</x:v>
      </x:c>
      <x:c r="G2557" s="28" t="str">
        <x:v>Childhood; Adolescence</x:v>
      </x:c>
      <x:c r="H2557" s="28" t="str">
        <x:v>Batch 1 core</x:v>
      </x:c>
      <x:c r="I2557" s="28" t="str">
        <x:v>Direct ADHD evidence synthesis/guideline with broad multi-topic relevance.</x:v>
      </x:c>
      <x:c r="J2557" s="38" t="e">
        <x:f>HYPERLINK("https://pubmed.ncbi.nlm.nih.gov/"&amp;C2557&amp;"/","Open PubMed")</x:f>
        <x:v>HYPERLINK is not implemented. linkLocation=https://pubmed.ncbi.nlm.nih.gov/41183543/, friendlyName=Open PubMed</x:v>
      </x:c>
    </x:row>
    <x:row r="2558">
      <x:c r="A2558" s="26" t="str">
        <x:v>PUBMED-41177538</x:v>
      </x:c>
      <x:c r="B2558" s="26" t="n">
        <x:v>2026</x:v>
      </x:c>
      <x:c r="C2558" s="26" t="str">
        <x:v>41177538</x:v>
      </x:c>
      <x:c r="D2558" s="28" t="str">
        <x:v>Regional cerebellar structural deficits distinguish psychostimulant-free ADHD youth with and without familial risk for bipolar I disorder: a cross-sectional morphometric analysis.</x:v>
      </x:c>
      <x:c r="E2558" s="28" t="str">
        <x:v>Primary study - cross-sectional</x:v>
      </x:c>
      <x:c r="F2558" s="28" t="str">
        <x:v>Development &amp; presentation; Recognition &amp; diagnosis; Family &amp; education; Social &amp; structural; Environmental &amp; lifestyle; Treatment &amp; support</x:v>
      </x:c>
      <x:c r="G2558" s="28" t="str">
        <x:v>Childhood; Adolescence</x:v>
      </x:c>
      <x:c r="H2558" s="28" t="str">
        <x:v>Later specialized</x:v>
      </x:c>
      <x:c r="I2558" s="28" t="str">
        <x:v>Direct or strongly ADHD-related record retained for later screening; typically narrower treatment, biomarker, mechanistic, or single-comorbidity focus.</x:v>
      </x:c>
      <x:c r="J2558" s="38" t="e">
        <x:f>HYPERLINK("https://pubmed.ncbi.nlm.nih.gov/"&amp;C2558&amp;"/","Open PubMed")</x:f>
        <x:v>HYPERLINK is not implemented. linkLocation=https://pubmed.ncbi.nlm.nih.gov/41177538/, friendlyName=Open PubMed</x:v>
      </x:c>
    </x:row>
    <x:row r="2559">
      <x:c r="A2559" s="26" t="str">
        <x:v>PUBMED-41177215</x:v>
      </x:c>
      <x:c r="B2559" s="26" t="n">
        <x:v>2026</x:v>
      </x:c>
      <x:c r="C2559" s="26" t="str">
        <x:v>41177215</x:v>
      </x:c>
      <x:c r="D2559" s="28" t="str">
        <x:v>Lgi2-deficient mice manifest epileptiform activity in the developing hippocampal network and ADHD-like behavioural comorbidity in adulthood.</x:v>
      </x:c>
      <x:c r="E2559" s="28" t="str">
        <x:v>Primary/contextual journal article</x:v>
      </x:c>
      <x:c r="F2559" s="28" t="str">
        <x:v>Development &amp; presentation; Social &amp; structural; Environmental &amp; lifestyle</x:v>
      </x:c>
      <x:c r="G2559" s="28" t="str">
        <x:v>Adulthood</x:v>
      </x:c>
      <x:c r="H2559" s="28" t="str">
        <x:v>Exclude/incidental</x:v>
      </x:c>
      <x:c r="I2559" s="28" t="str">
        <x:v>Animal-only record; retained outside the human-focused core corpus.</x:v>
      </x:c>
      <x:c r="J2559" s="38" t="e">
        <x:f>HYPERLINK("https://pubmed.ncbi.nlm.nih.gov/"&amp;C2559&amp;"/","Open PubMed")</x:f>
        <x:v>HYPERLINK is not implemented. linkLocation=https://pubmed.ncbi.nlm.nih.gov/41177215/, friendlyName=Open PubMed</x:v>
      </x:c>
    </x:row>
    <x:row r="2560">
      <x:c r="A2560" s="26" t="str">
        <x:v>PUBMED-41165045</x:v>
      </x:c>
      <x:c r="B2560" s="26" t="n">
        <x:v>2026</x:v>
      </x:c>
      <x:c r="C2560" s="26" t="str">
        <x:v>41165045</x:v>
      </x:c>
      <x:c r="D2560" s="28" t="str">
        <x:v>Circadian rhythm patterns and screen time in relation to sleep quality in adults with attention-deficit/hyperactivity disorder.</x:v>
      </x:c>
      <x:c r="E2560" s="28" t="str">
        <x:v>Primary study - case-control</x:v>
      </x:c>
      <x:c r="F2560" s="28" t="str">
        <x:v>Development &amp; presentation; Recognition &amp; diagnosis; Social &amp; structural; Environmental &amp; lifestyle</x:v>
      </x:c>
      <x:c r="G2560" s="28" t="str">
        <x:v>Adulthood</x:v>
      </x:c>
      <x:c r="H2560" s="28" t="str">
        <x:v>Batch 1 core</x:v>
      </x:c>
      <x:c r="I2560" s="28" t="str">
        <x:v>Direct ADHD primary study on diagnosis, family/education, structural conditions, lived experience/outcomes, or environment/lifestyle.</x:v>
      </x:c>
      <x:c r="J2560" s="38" t="e">
        <x:f>HYPERLINK("https://pubmed.ncbi.nlm.nih.gov/"&amp;C2560&amp;"/","Open PubMed")</x:f>
        <x:v>HYPERLINK is not implemented. linkLocation=https://pubmed.ncbi.nlm.nih.gov/41165045/, friendlyName=Open PubMed</x:v>
      </x:c>
    </x:row>
    <x:row r="2561">
      <x:c r="A2561" s="26" t="str">
        <x:v>PUBMED-41140200</x:v>
      </x:c>
      <x:c r="B2561" s="26" t="n">
        <x:v>2026</x:v>
      </x:c>
      <x:c r="C2561" s="26" t="str">
        <x:v>41140200</x:v>
      </x:c>
      <x:c r="D2561" s="28" t="str">
        <x:v>The Effects of Sleep Treatment on Symptoms of ADHD, Sleep Quality, Fatigue, and Depressive Symptoms in Adults.</x:v>
      </x:c>
      <x:c r="E2561" s="28" t="str">
        <x:v>Primary study - randomized controlled trial</x:v>
      </x:c>
      <x:c r="F2561" s="28" t="str">
        <x:v>Development &amp; presentation; Recognition &amp; diagnosis; Social &amp; structural; Environmental &amp; lifestyle; Treatment &amp; support; Life outcomes &amp; lived experience</x:v>
      </x:c>
      <x:c r="G2561" s="28" t="str">
        <x:v>Adulthood</x:v>
      </x:c>
      <x:c r="H2561" s="28" t="str">
        <x:v>Later specialized</x:v>
      </x:c>
      <x:c r="I2561" s="28" t="str">
        <x:v>Direct or strongly ADHD-related record retained for later screening; typically narrower treatment, biomarker, mechanistic, or single-comorbidity focus.</x:v>
      </x:c>
      <x:c r="J2561" s="38" t="e">
        <x:f>HYPERLINK("https://pubmed.ncbi.nlm.nih.gov/"&amp;C2561&amp;"/","Open PubMed")</x:f>
        <x:v>HYPERLINK is not implemented. linkLocation=https://pubmed.ncbi.nlm.nih.gov/41140200/, friendlyName=Open PubMed</x:v>
      </x:c>
    </x:row>
    <x:row r="2562">
      <x:c r="A2562" s="26" t="str">
        <x:v>PUBMED-41138947</x:v>
      </x:c>
      <x:c r="B2562" s="26" t="n">
        <x:v>2026</x:v>
      </x:c>
      <x:c r="C2562" s="26" t="str">
        <x:v>41138947</x:v>
      </x:c>
      <x:c r="D2562" s="28" t="str">
        <x:v>The effects of mindfulness and cognitive strategy interventions on core symptoms in children with ADHD: A randomized controlled trial.</x:v>
      </x:c>
      <x:c r="E2562" s="28" t="str">
        <x:v>Primary study - randomized controlled trial</x:v>
      </x:c>
      <x:c r="F2562" s="28" t="str">
        <x:v>Development &amp; presentation; Recognition &amp; diagnosis; Family &amp; education; Social &amp; structural; Treatment &amp; support; Life outcomes &amp; lived experience</x:v>
      </x:c>
      <x:c r="G2562" s="28" t="str">
        <x:v>Childhood</x:v>
      </x:c>
      <x:c r="H2562" s="28" t="str">
        <x:v>Later specialized</x:v>
      </x:c>
      <x:c r="I2562" s="28" t="str">
        <x:v>Direct or strongly ADHD-related record retained for later screening; typically narrower treatment, biomarker, mechanistic, or single-comorbidity focus.</x:v>
      </x:c>
      <x:c r="J2562" s="38" t="e">
        <x:f>HYPERLINK("https://pubmed.ncbi.nlm.nih.gov/"&amp;C2562&amp;"/","Open PubMed")</x:f>
        <x:v>HYPERLINK is not implemented. linkLocation=https://pubmed.ncbi.nlm.nih.gov/41138947/, friendlyName=Open PubMed</x:v>
      </x:c>
    </x:row>
    <x:row r="2563">
      <x:c r="A2563" s="26" t="str">
        <x:v>PUBMED-41137418</x:v>
      </x:c>
      <x:c r="B2563" s="26" t="n">
        <x:v>2026</x:v>
      </x:c>
      <x:c r="C2563" s="26" t="str">
        <x:v>41137418</x:v>
      </x:c>
      <x:c r="D2563" s="28" t="str">
        <x:v>Current Orthodontic Education Status on Treating Patients With ASD and/or ADHD in North America.</x:v>
      </x:c>
      <x:c r="E2563" s="28" t="str">
        <x:v>Primary/contextual journal article</x:v>
      </x:c>
      <x:c r="F2563" s="28" t="str">
        <x:v>Development &amp; presentation; Family &amp; education; Social &amp; structural; Treatment &amp; support; Historical &amp; contemporary context</x:v>
      </x:c>
      <x:c r="G2563" s="28" t="str">
        <x:v>Childhood</x:v>
      </x:c>
      <x:c r="H2563" s="28" t="str">
        <x:v>Later specialized</x:v>
      </x:c>
      <x:c r="I2563" s="28" t="str">
        <x:v>Direct or strongly ADHD-related record retained for later screening; typically narrower treatment, biomarker, mechanistic, or single-comorbidity focus.</x:v>
      </x:c>
      <x:c r="J2563" s="38" t="e">
        <x:f>HYPERLINK("https://pubmed.ncbi.nlm.nih.gov/"&amp;C2563&amp;"/","Open PubMed")</x:f>
        <x:v>HYPERLINK is not implemented. linkLocation=https://pubmed.ncbi.nlm.nih.gov/41137418/, friendlyName=Open PubMed</x:v>
      </x:c>
    </x:row>
    <x:row r="2564">
      <x:c r="A2564" s="26" t="str">
        <x:v>PUBMED-41128391</x:v>
      </x:c>
      <x:c r="B2564" s="26" t="n">
        <x:v>2026</x:v>
      </x:c>
      <x:c r="C2564" s="26" t="str">
        <x:v>41128391</x:v>
      </x:c>
      <x:c r="D2564" s="28" t="str">
        <x:v>Effects of Extended-Release Methylphenidate on Dopamine and Norepinephrine Transporters in Adults With Attention-Deficit/Hyperactivity Disorder: A Longitudinal Dual-Tracer PET Study.</x:v>
      </x:c>
      <x:c r="E2564" s="28" t="str">
        <x:v>Primary/contextual journal article</x:v>
      </x:c>
      <x:c r="F2564" s="28" t="str">
        <x:v>Development &amp; presentation; Recognition &amp; diagnosis; Social &amp; structural; Treatment &amp; support; Life outcomes &amp; lived experience</x:v>
      </x:c>
      <x:c r="G2564" s="28" t="str">
        <x:v>Adulthood</x:v>
      </x:c>
      <x:c r="H2564" s="28" t="str">
        <x:v>Later specialized</x:v>
      </x:c>
      <x:c r="I2564" s="28" t="str">
        <x:v>Direct or strongly ADHD-related record retained for later screening; typically narrower treatment, biomarker, mechanistic, or single-comorbidity focus.</x:v>
      </x:c>
      <x:c r="J2564" s="38" t="e">
        <x:f>HYPERLINK("https://pubmed.ncbi.nlm.nih.gov/"&amp;C2564&amp;"/","Open PubMed")</x:f>
        <x:v>HYPERLINK is not implemented. linkLocation=https://pubmed.ncbi.nlm.nih.gov/41128391/, friendlyName=Open PubMed</x:v>
      </x:c>
    </x:row>
    <x:row r="2565">
      <x:c r="A2565" s="26" t="str">
        <x:v>PUBMED-41121671</x:v>
      </x:c>
      <x:c r="B2565" s="26" t="n">
        <x:v>2026</x:v>
      </x:c>
      <x:c r="C2565" s="26" t="str">
        <x:v>41121671</x:v>
      </x:c>
      <x:c r="D2565" s="28" t="str">
        <x:v>Feasibility of the Psychoeducational Programme SKILLS for the Child's Social Network for Patients Newly Diagnosed With ADHD: A Mixed-Method Design Study.</x:v>
      </x:c>
      <x:c r="E2565" s="28" t="str">
        <x:v>Primary study - qualitative</x:v>
      </x:c>
      <x:c r="F2565" s="28" t="str">
        <x:v>Development &amp; presentation; Recognition &amp; diagnosis; Family &amp; education; Social &amp; structural; Environmental &amp; lifestyle; Treatment &amp; support; Life outcomes &amp; lived experience; Historical &amp; contemporary context</x:v>
      </x:c>
      <x:c r="G2565" s="28" t="str">
        <x:v>Childhood; Adolescence; Adulthood</x:v>
      </x:c>
      <x:c r="H2565" s="28" t="str">
        <x:v>Batch 1 core</x:v>
      </x:c>
      <x:c r="I2565" s="28" t="str">
        <x:v>Direct ADHD primary study on diagnosis, family/education, structural conditions, lived experience/outcomes, or environment/lifestyle.</x:v>
      </x:c>
      <x:c r="J2565" s="38" t="e">
        <x:f>HYPERLINK("https://pubmed.ncbi.nlm.nih.gov/"&amp;C2565&amp;"/","Open PubMed")</x:f>
        <x:v>HYPERLINK is not implemented. linkLocation=https://pubmed.ncbi.nlm.nih.gov/41121671/, friendlyName=Open PubMed</x:v>
      </x:c>
    </x:row>
    <x:row r="2566">
      <x:c r="A2566" s="26" t="str">
        <x:v>PUBMED-41116248</x:v>
      </x:c>
      <x:c r="B2566" s="26" t="n">
        <x:v>2026</x:v>
      </x:c>
      <x:c r="C2566" s="26" t="str">
        <x:v>41116248</x:v>
      </x:c>
      <x:c r="D2566" s="28" t="str">
        <x:v>Associations Between ADHD Symptom Dimensions and Cognition in Children With ADHD and Learning Difficulties.</x:v>
      </x:c>
      <x:c r="E2566" s="28" t="str">
        <x:v>Primary study - cohort</x:v>
      </x:c>
      <x:c r="F2566" s="28" t="str">
        <x:v>Development &amp; presentation; Recognition &amp; diagnosis; Family &amp; education; Social &amp; structural; Life outcomes &amp; lived experience</x:v>
      </x:c>
      <x:c r="G2566" s="28" t="str">
        <x:v>Childhood; Adolescence</x:v>
      </x:c>
      <x:c r="H2566" s="28" t="str">
        <x:v>Later specialized</x:v>
      </x:c>
      <x:c r="I2566" s="28" t="str">
        <x:v>Direct or strongly ADHD-related record retained for later screening; typically narrower treatment, biomarker, mechanistic, or single-comorbidity focus.</x:v>
      </x:c>
      <x:c r="J2566" s="38" t="e">
        <x:f>HYPERLINK("https://pubmed.ncbi.nlm.nih.gov/"&amp;C2566&amp;"/","Open PubMed")</x:f>
        <x:v>HYPERLINK is not implemented. linkLocation=https://pubmed.ncbi.nlm.nih.gov/41116248/, friendlyName=Open PubMed</x:v>
      </x:c>
    </x:row>
    <x:row r="2567">
      <x:c r="A2567" s="26" t="str">
        <x:v>PUBMED-41110640</x:v>
      </x:c>
      <x:c r="B2567" s="26" t="n">
        <x:v>2026</x:v>
      </x:c>
      <x:c r="C2567" s="26" t="str">
        <x:v>41110640</x:v>
      </x:c>
      <x:c r="D2567" s="28" t="str">
        <x:v>Maternal infection - but not inflammation - is associated with attention-deficit/hyperactivity disorder symptoms during childhood: a population-based cohort study.</x:v>
      </x:c>
      <x:c r="E2567" s="28" t="str">
        <x:v>Primary study - cohort</x:v>
      </x:c>
      <x:c r="F2567" s="28" t="str">
        <x:v>Development &amp; presentation; Family &amp; education; Social &amp; structural; Environmental &amp; lifestyle; Treatment &amp; support; Life outcomes &amp; lived experience</x:v>
      </x:c>
      <x:c r="G2567" s="28" t="str">
        <x:v>Childhood; Adolescence; Adulthood</x:v>
      </x:c>
      <x:c r="H2567" s="28" t="str">
        <x:v>Later specialized</x:v>
      </x:c>
      <x:c r="I2567" s="28" t="str">
        <x:v>Direct or strongly ADHD-related record retained for later screening; typically narrower treatment, biomarker, mechanistic, or single-comorbidity focus.</x:v>
      </x:c>
      <x:c r="J2567" s="38" t="e">
        <x:f>HYPERLINK("https://pubmed.ncbi.nlm.nih.gov/"&amp;C2567&amp;"/","Open PubMed")</x:f>
        <x:v>HYPERLINK is not implemented. linkLocation=https://pubmed.ncbi.nlm.nih.gov/41110640/, friendlyName=Open PubMed</x:v>
      </x:c>
    </x:row>
    <x:row r="2568">
      <x:c r="A2568" s="26" t="str">
        <x:v>PUBMED-41108181</x:v>
      </x:c>
      <x:c r="B2568" s="26" t="n">
        <x:v>2026</x:v>
      </x:c>
      <x:c r="C2568" s="26" t="str">
        <x:v>41108181</x:v>
      </x:c>
      <x:c r="D2568" s="28" t="str">
        <x:v>Maternal Attention Deficit Hyperactivity Disorder and Perinatal Depression: A Systematic Review.</x:v>
      </x:c>
      <x:c r="E2568" s="28" t="str">
        <x:v>Evidence synthesis - systematic review</x:v>
      </x:c>
      <x:c r="F2568" s="28" t="str">
        <x:v>Development &amp; presentation; Recognition &amp; diagnosis; Social &amp; structural; Environmental &amp; lifestyle</x:v>
      </x:c>
      <x:c r="G2568" s="28" t="str">
        <x:v>Adulthood</x:v>
      </x:c>
      <x:c r="H2568" s="28" t="str">
        <x:v>Batch 1 core</x:v>
      </x:c>
      <x:c r="I2568" s="28" t="str">
        <x:v>Direct ADHD evidence synthesis/guideline with broad multi-topic relevance.</x:v>
      </x:c>
      <x:c r="J2568" s="38" t="e">
        <x:f>HYPERLINK("https://pubmed.ncbi.nlm.nih.gov/"&amp;C2568&amp;"/","Open PubMed")</x:f>
        <x:v>HYPERLINK is not implemented. linkLocation=https://pubmed.ncbi.nlm.nih.gov/41108181/, friendlyName=Open PubMed</x:v>
      </x:c>
    </x:row>
    <x:row r="2569">
      <x:c r="A2569" s="26" t="str">
        <x:v>PUBMED-41101478</x:v>
      </x:c>
      <x:c r="B2569" s="26" t="n">
        <x:v>2026</x:v>
      </x:c>
      <x:c r="C2569" s="26" t="str">
        <x:v>41101478</x:v>
      </x:c>
      <x:c r="D2569" s="28" t="str">
        <x:v>Biochemical abnormalities in basal ganglia and cognitive dysfunction in bipolar disorder comorbid with attention-deficit/hyperactivity disorder patients: A proton magnetic resonance spectroscopy study.</x:v>
      </x:c>
      <x:c r="E2569" s="28" t="str">
        <x:v>Primary/contextual journal article</x:v>
      </x:c>
      <x:c r="F2569" s="28" t="str">
        <x:v>Development &amp; presentation; Recognition &amp; diagnosis; Social &amp; structural; Treatment &amp; support; Life outcomes &amp; lived experience</x:v>
      </x:c>
      <x:c r="G2569" s="28" t="str">
        <x:v>Adulthood</x:v>
      </x:c>
      <x:c r="H2569" s="28" t="str">
        <x:v>Later specialized</x:v>
      </x:c>
      <x:c r="I2569" s="28" t="str">
        <x:v>Direct or strongly ADHD-related record retained for later screening; typically narrower treatment, biomarker, mechanistic, or single-comorbidity focus.</x:v>
      </x:c>
      <x:c r="J2569" s="38" t="e">
        <x:f>HYPERLINK("https://pubmed.ncbi.nlm.nih.gov/"&amp;C2569&amp;"/","Open PubMed")</x:f>
        <x:v>HYPERLINK is not implemented. linkLocation=https://pubmed.ncbi.nlm.nih.gov/41101478/, friendlyName=Open PubMed</x:v>
      </x:c>
    </x:row>
    <x:row r="2570">
      <x:c r="A2570" s="26" t="str">
        <x:v>PUBMED-41098141</x:v>
      </x:c>
      <x:c r="B2570" s="26" t="n">
        <x:v>2026</x:v>
      </x:c>
      <x:c r="C2570" s="26" t="str">
        <x:v>41098141</x:v>
      </x:c>
      <x:c r="D2570" s="28" t="str">
        <x:v>Test of Playfulness- Persian Version: Psychometric Evaluation in Children with Typical Development and Neurodevelopmental Disorders.</x:v>
      </x:c>
      <x:c r="E2570" s="28" t="str">
        <x:v>Primary/contextual journal article</x:v>
      </x:c>
      <x:c r="F2570" s="28" t="str">
        <x:v>Development &amp; presentation; Family &amp; education; Social &amp; structural</x:v>
      </x:c>
      <x:c r="G2570" s="28" t="str">
        <x:v>Childhood</x:v>
      </x:c>
      <x:c r="H2570" s="28" t="str">
        <x:v>Later specialized</x:v>
      </x:c>
      <x:c r="I2570" s="28" t="str">
        <x:v>Direct or strongly ADHD-related record retained for later screening; typically narrower treatment, biomarker, mechanistic, or single-comorbidity focus.</x:v>
      </x:c>
      <x:c r="J2570" s="38" t="e">
        <x:f>HYPERLINK("https://pubmed.ncbi.nlm.nih.gov/"&amp;C2570&amp;"/","Open PubMed")</x:f>
        <x:v>HYPERLINK is not implemented. linkLocation=https://pubmed.ncbi.nlm.nih.gov/41098141/, friendlyName=Open PubMed</x:v>
      </x:c>
    </x:row>
    <x:row r="2571">
      <x:c r="A2571" s="26" t="str">
        <x:v>PUBMED-41098103</x:v>
      </x:c>
      <x:c r="B2571" s="26" t="n">
        <x:v>2026</x:v>
      </x:c>
      <x:c r="C2571" s="26" t="str">
        <x:v>41098103</x:v>
      </x:c>
      <x:c r="D2571" s="28" t="str">
        <x:v>It Takes Two: Intimate Partner Violence According to Both Partners in Young Adult ADHD Couples.</x:v>
      </x:c>
      <x:c r="E2571" s="28" t="str">
        <x:v>Primary/contextual journal article</x:v>
      </x:c>
      <x:c r="F2571" s="28" t="str">
        <x:v>Development &amp; presentation; Environmental &amp; lifestyle; Life outcomes &amp; lived experience</x:v>
      </x:c>
      <x:c r="G2571" s="28" t="str">
        <x:v>Adulthood</x:v>
      </x:c>
      <x:c r="H2571" s="28" t="str">
        <x:v>Later specialized</x:v>
      </x:c>
      <x:c r="I2571" s="28" t="str">
        <x:v>Direct or strongly ADHD-related record retained for later screening; typically narrower treatment, biomarker, mechanistic, or single-comorbidity focus.</x:v>
      </x:c>
      <x:c r="J2571" s="38" t="e">
        <x:f>HYPERLINK("https://pubmed.ncbi.nlm.nih.gov/"&amp;C2571&amp;"/","Open PubMed")</x:f>
        <x:v>HYPERLINK is not implemented. linkLocation=https://pubmed.ncbi.nlm.nih.gov/41098103/, friendlyName=Open PubMed</x:v>
      </x:c>
    </x:row>
    <x:row r="2572">
      <x:c r="A2572" s="26" t="str">
        <x:v>PUBMED-41091177</x:v>
      </x:c>
      <x:c r="B2572" s="26" t="n">
        <x:v>2026</x:v>
      </x:c>
      <x:c r="C2572" s="26" t="str">
        <x:v>41091177</x:v>
      </x:c>
      <x:c r="D2572" s="28" t="str">
        <x:v>Dual deficits in auditory selective attention in children with attention deficit hyperactivity disorder: insights from multivariate pattern analysis of EEG.</x:v>
      </x:c>
      <x:c r="E2572" s="28" t="str">
        <x:v>Primary/contextual journal article</x:v>
      </x:c>
      <x:c r="F2572" s="28" t="str">
        <x:v>Development &amp; presentation; Social &amp; structural</x:v>
      </x:c>
      <x:c r="G2572" s="28" t="str">
        <x:v>Childhood</x:v>
      </x:c>
      <x:c r="H2572" s="28" t="str">
        <x:v>Later specialized</x:v>
      </x:c>
      <x:c r="I2572" s="28" t="str">
        <x:v>Direct or strongly ADHD-related record retained for later screening; typically narrower treatment, biomarker, mechanistic, or single-comorbidity focus.</x:v>
      </x:c>
      <x:c r="J2572" s="38" t="e">
        <x:f>HYPERLINK("https://pubmed.ncbi.nlm.nih.gov/"&amp;C2572&amp;"/","Open PubMed")</x:f>
        <x:v>HYPERLINK is not implemented. linkLocation=https://pubmed.ncbi.nlm.nih.gov/41091177/, friendlyName=Open PubMed</x:v>
      </x:c>
    </x:row>
    <x:row r="2573">
      <x:c r="A2573" s="26" t="str">
        <x:v>PUBMED-41086876</x:v>
      </x:c>
      <x:c r="B2573" s="26" t="n">
        <x:v>2026</x:v>
      </x:c>
      <x:c r="C2573" s="26" t="str">
        <x:v>41086876</x:v>
      </x:c>
      <x:c r="D2573" s="28" t="str">
        <x:v>Transdiagnostic irritability in youth: a clinical review.</x:v>
      </x:c>
      <x:c r="E2573" s="28" t="str">
        <x:v>Evidence synthesis - systematic review</x:v>
      </x:c>
      <x:c r="F2573" s="28" t="str">
        <x:v>Development &amp; presentation; Recognition &amp; diagnosis; Family &amp; education; Social &amp; structural; Treatment &amp; support</x:v>
      </x:c>
      <x:c r="G2573" s="28" t="str">
        <x:v>Childhood; Adolescence</x:v>
      </x:c>
      <x:c r="H2573" s="28" t="str">
        <x:v>Later specialized</x:v>
      </x:c>
      <x:c r="I2573" s="28" t="str">
        <x:v>Direct or strongly ADHD-related record retained for later screening; typically narrower treatment, biomarker, mechanistic, or single-comorbidity focus.</x:v>
      </x:c>
      <x:c r="J2573" s="38" t="e">
        <x:f>HYPERLINK("https://pubmed.ncbi.nlm.nih.gov/"&amp;C2573&amp;"/","Open PubMed")</x:f>
        <x:v>HYPERLINK is not implemented. linkLocation=https://pubmed.ncbi.nlm.nih.gov/41086876/, friendlyName=Open PubMed</x:v>
      </x:c>
    </x:row>
    <x:row r="2574">
      <x:c r="A2574" s="26" t="str">
        <x:v>PUBMED-41062851</x:v>
      </x:c>
      <x:c r="B2574" s="26" t="n">
        <x:v>2026</x:v>
      </x:c>
      <x:c r="C2574" s="26" t="str">
        <x:v>41062851</x:v>
      </x:c>
      <x:c r="D2574" s="28" t="str">
        <x:v>A naturalistic examination of the effects of chronic and acute cannabis use on cognition and perceived symptoms of attention-deficit/hyperactivity disorder.</x:v>
      </x:c>
      <x:c r="E2574" s="28" t="str">
        <x:v>Primary/contextual journal article</x:v>
      </x:c>
      <x:c r="F2574" s="28" t="str">
        <x:v>Development &amp; presentation; Social &amp; structural; Treatment &amp; support; Life outcomes &amp; lived experience</x:v>
      </x:c>
      <x:c r="G2574" s="28" t="str">
        <x:v>Adulthood</x:v>
      </x:c>
      <x:c r="H2574" s="28" t="str">
        <x:v>Later specialized</x:v>
      </x:c>
      <x:c r="I2574" s="28" t="str">
        <x:v>Direct or strongly ADHD-related record retained for later screening; typically narrower treatment, biomarker, mechanistic, or single-comorbidity focus.</x:v>
      </x:c>
      <x:c r="J2574" s="38" t="e">
        <x:f>HYPERLINK("https://pubmed.ncbi.nlm.nih.gov/"&amp;C2574&amp;"/","Open PubMed")</x:f>
        <x:v>HYPERLINK is not implemented. linkLocation=https://pubmed.ncbi.nlm.nih.gov/41062851/, friendlyName=Open PubMed</x:v>
      </x:c>
    </x:row>
    <x:row r="2575">
      <x:c r="A2575" s="26" t="str">
        <x:v>PUBMED-41058319</x:v>
      </x:c>
      <x:c r="B2575" s="26" t="n">
        <x:v>2026</x:v>
      </x:c>
      <x:c r="C2575" s="26" t="str">
        <x:v>41058319</x:v>
      </x:c>
      <x:c r="D2575" s="28" t="str">
        <x:v>The effects of combined exercise on working memory in children with attention-deficit/hyperactivity disorder: a randomized controlled trial.</x:v>
      </x:c>
      <x:c r="E2575" s="28" t="str">
        <x:v>Primary study - randomized controlled trial</x:v>
      </x:c>
      <x:c r="F2575" s="28" t="str">
        <x:v>Development &amp; presentation; Family &amp; education; Social &amp; structural; Environmental &amp; lifestyle; Treatment &amp; support; Life outcomes &amp; lived experience</x:v>
      </x:c>
      <x:c r="G2575" s="28" t="str">
        <x:v>Childhood</x:v>
      </x:c>
      <x:c r="H2575" s="28" t="str">
        <x:v>Later specialized</x:v>
      </x:c>
      <x:c r="I2575" s="28" t="str">
        <x:v>Direct or strongly ADHD-related record retained for later screening; typically narrower treatment, biomarker, mechanistic, or single-comorbidity focus.</x:v>
      </x:c>
      <x:c r="J2575" s="38" t="e">
        <x:f>HYPERLINK("https://pubmed.ncbi.nlm.nih.gov/"&amp;C2575&amp;"/","Open PubMed")</x:f>
        <x:v>HYPERLINK is not implemented. linkLocation=https://pubmed.ncbi.nlm.nih.gov/41058319/, friendlyName=Open PubMed</x:v>
      </x:c>
    </x:row>
    <x:row r="2576">
      <x:c r="A2576" s="26" t="str">
        <x:v>PUBMED-41046551</x:v>
      </x:c>
      <x:c r="B2576" s="26" t="n">
        <x:v>2026</x:v>
      </x:c>
      <x:c r="C2576" s="26" t="str">
        <x:v>41046551</x:v>
      </x:c>
      <x:c r="D2576" s="28" t="str">
        <x:v>Brain functional connectivity and inhibitory control in Tourette syndrome with and without comorbid attention-deficit/hyperactivity disorder.</x:v>
      </x:c>
      <x:c r="E2576" s="28" t="str">
        <x:v>Primary/contextual journal article</x:v>
      </x:c>
      <x:c r="F2576" s="28" t="str">
        <x:v>Development &amp; presentation; Recognition &amp; diagnosis</x:v>
      </x:c>
      <x:c r="G2576" s="28" t="str">
        <x:v>Childhood; Adolescence</x:v>
      </x:c>
      <x:c r="H2576" s="28" t="str">
        <x:v>Later specialized</x:v>
      </x:c>
      <x:c r="I2576" s="28" t="str">
        <x:v>Direct or strongly ADHD-related record retained for later screening; typically narrower treatment, biomarker, mechanistic, or single-comorbidity focus.</x:v>
      </x:c>
      <x:c r="J2576" s="38" t="e">
        <x:f>HYPERLINK("https://pubmed.ncbi.nlm.nih.gov/"&amp;C2576&amp;"/","Open PubMed")</x:f>
        <x:v>HYPERLINK is not implemented. linkLocation=https://pubmed.ncbi.nlm.nih.gov/41046551/, friendlyName=Open PubMed</x:v>
      </x:c>
    </x:row>
    <x:row r="2577">
      <x:c r="A2577" s="26" t="str">
        <x:v>PUBMED-41037081</x:v>
      </x:c>
      <x:c r="B2577" s="26" t="n">
        <x:v>2026</x:v>
      </x:c>
      <x:c r="C2577" s="26" t="str">
        <x:v>41037081</x:v>
      </x:c>
      <x:c r="D2577" s="28" t="str">
        <x:v>Narrative, moral and institutional effects of childhood ADHD: Listening to teachers and mothers of diagnosed children.</x:v>
      </x:c>
      <x:c r="E2577" s="28" t="str">
        <x:v>Primary/contextual journal article</x:v>
      </x:c>
      <x:c r="F2577" s="28" t="str">
        <x:v>Development &amp; presentation; Recognition &amp; diagnosis; Family &amp; education; Social &amp; structural; Life outcomes &amp; lived experience</x:v>
      </x:c>
      <x:c r="G2577" s="28" t="str">
        <x:v>Childhood; Adulthood</x:v>
      </x:c>
      <x:c r="H2577" s="28" t="str">
        <x:v>Later specialized</x:v>
      </x:c>
      <x:c r="I2577" s="28" t="str">
        <x:v>Direct or strongly ADHD-related record retained for later screening; typically narrower treatment, biomarker, mechanistic, or single-comorbidity focus.</x:v>
      </x:c>
      <x:c r="J2577" s="38" t="e">
        <x:f>HYPERLINK("https://pubmed.ncbi.nlm.nih.gov/"&amp;C2577&amp;"/","Open PubMed")</x:f>
        <x:v>HYPERLINK is not implemented. linkLocation=https://pubmed.ncbi.nlm.nih.gov/41037081/, friendlyName=Open PubMed</x:v>
      </x:c>
    </x:row>
    <x:row r="2578">
      <x:c r="A2578" s="26" t="str">
        <x:v>PUBMED-41023579</x:v>
      </x:c>
      <x:c r="B2578" s="26" t="n">
        <x:v>2026</x:v>
      </x:c>
      <x:c r="C2578" s="26" t="str">
        <x:v>41023579</x:v>
      </x:c>
      <x:c r="D2578" s="28" t="str">
        <x:v>The clinical utility of the BRIEF2 ERI in detecting comorbid conditions associated with ADHD: a retrospective cohort analysis of clinically referred school-aged children.</x:v>
      </x:c>
      <x:c r="E2578" s="28" t="str">
        <x:v>Primary study - cohort</x:v>
      </x:c>
      <x:c r="F2578" s="28" t="str">
        <x:v>Development &amp; presentation; Recognition &amp; diagnosis; Family &amp; education; Social &amp; structural; Treatment &amp; support</x:v>
      </x:c>
      <x:c r="G2578" s="28" t="str">
        <x:v>Childhood</x:v>
      </x:c>
      <x:c r="H2578" s="28" t="str">
        <x:v>Batch 1 core</x:v>
      </x:c>
      <x:c r="I2578" s="28" t="str">
        <x:v>Direct ADHD primary study on diagnosis, family/education, structural conditions, lived experience/outcomes, or environment/lifestyle.</x:v>
      </x:c>
      <x:c r="J2578" s="38" t="e">
        <x:f>HYPERLINK("https://pubmed.ncbi.nlm.nih.gov/"&amp;C2578&amp;"/","Open PubMed")</x:f>
        <x:v>HYPERLINK is not implemented. linkLocation=https://pubmed.ncbi.nlm.nih.gov/41023579/, friendlyName=Open PubMed</x:v>
      </x:c>
    </x:row>
    <x:row r="2579">
      <x:c r="A2579" s="26" t="str">
        <x:v>PUBMED-41022366</x:v>
      </x:c>
      <x:c r="B2579" s="26" t="n">
        <x:v>2026</x:v>
      </x:c>
      <x:c r="C2579" s="26" t="str">
        <x:v>41022366</x:v>
      </x:c>
      <x:c r="D2579" s="28" t="str">
        <x:v>Transcranial magnetic stimulation and transcranial direct current stimulation in psychiatric disorders in children and adolescents: an umbrella review of meta-analyses of clinical trials.</x:v>
      </x:c>
      <x:c r="E2579" s="28" t="str">
        <x:v>Evidence synthesis - meta-analysis</x:v>
      </x:c>
      <x:c r="F2579" s="28" t="str">
        <x:v>Development &amp; presentation; Recognition &amp; diagnosis; Social &amp; structural; Treatment &amp; support; Life outcomes &amp; lived experience</x:v>
      </x:c>
      <x:c r="G2579" s="28" t="str">
        <x:v>Childhood; Adolescence; Adulthood</x:v>
      </x:c>
      <x:c r="H2579" s="28" t="str">
        <x:v>Exclude/incidental</x:v>
      </x:c>
      <x:c r="I2579" s="28" t="str">
        <x:v>ADHD appears peripheral or insufficiently aligned with the requested corpus scope based on accessible metadata/abstract.</x:v>
      </x:c>
      <x:c r="J2579" s="38" t="e">
        <x:f>HYPERLINK("https://pubmed.ncbi.nlm.nih.gov/"&amp;C2579&amp;"/","Open PubMed")</x:f>
        <x:v>HYPERLINK is not implemented. linkLocation=https://pubmed.ncbi.nlm.nih.gov/41022366/, friendlyName=Open PubMed</x:v>
      </x:c>
    </x:row>
    <x:row r="2580">
      <x:c r="A2580" s="26" t="str">
        <x:v>PUBMED-41015933</x:v>
      </x:c>
      <x:c r="B2580" s="26" t="n">
        <x:v>2026</x:v>
      </x:c>
      <x:c r="C2580" s="26" t="str">
        <x:v>41015933</x:v>
      </x:c>
      <x:c r="D2580" s="28" t="str">
        <x:v>Predicting Flourishing in ADHD Youth: Positive Childhood Experiences and Mood Disturbances in Context of Adversity.</x:v>
      </x:c>
      <x:c r="E2580" s="28" t="str">
        <x:v>Primary/contextual journal article</x:v>
      </x:c>
      <x:c r="F2580" s="28" t="str">
        <x:v>Development &amp; presentation; Recognition &amp; diagnosis; Family &amp; education; Social &amp; structural; Environmental &amp; lifestyle; Treatment &amp; support; Historical &amp; contemporary context</x:v>
      </x:c>
      <x:c r="G2580" s="28" t="str">
        <x:v>Childhood; Adolescence</x:v>
      </x:c>
      <x:c r="H2580" s="28" t="str">
        <x:v>Later specialized</x:v>
      </x:c>
      <x:c r="I2580" s="28" t="str">
        <x:v>Direct or strongly ADHD-related record retained for later screening; typically narrower treatment, biomarker, mechanistic, or single-comorbidity focus.</x:v>
      </x:c>
      <x:c r="J2580" s="38" t="e">
        <x:f>HYPERLINK("https://pubmed.ncbi.nlm.nih.gov/"&amp;C2580&amp;"/","Open PubMed")</x:f>
        <x:v>HYPERLINK is not implemented. linkLocation=https://pubmed.ncbi.nlm.nih.gov/41015933/, friendlyName=Open PubMed</x:v>
      </x:c>
    </x:row>
    <x:row r="2581">
      <x:c r="A2581" s="26" t="str">
        <x:v>PUBMED-40996024</x:v>
      </x:c>
      <x:c r="B2581" s="26" t="n">
        <x:v>2026</x:v>
      </x:c>
      <x:c r="C2581" s="26" t="str">
        <x:v>40996024</x:v>
      </x:c>
      <x:c r="D2581" s="28" t="str">
        <x:v>Social Cognition in Adolescents with Gender Dysphoria and Congenital Adrenal Hyperplasia: A Preliminary Investigation of Biological vs. Experiential Gender Effects.</x:v>
      </x:c>
      <x:c r="E2581" s="28" t="str">
        <x:v>Primary study - case-control</x:v>
      </x:c>
      <x:c r="F2581" s="28" t="str">
        <x:v>Development &amp; presentation; Recognition &amp; diagnosis; Family &amp; education; Social &amp; structural; Environmental &amp; lifestyle; Life outcomes &amp; lived experience</x:v>
      </x:c>
      <x:c r="G2581" s="28" t="str">
        <x:v>Childhood; Adolescence</x:v>
      </x:c>
      <x:c r="H2581" s="28" t="str">
        <x:v>Later specialized</x:v>
      </x:c>
      <x:c r="I2581" s="28" t="str">
        <x:v>Direct or strongly ADHD-related record retained for later screening; typically narrower treatment, biomarker, mechanistic, or single-comorbidity focus.</x:v>
      </x:c>
      <x:c r="J2581" s="38" t="e">
        <x:f>HYPERLINK("https://pubmed.ncbi.nlm.nih.gov/"&amp;C2581&amp;"/","Open PubMed")</x:f>
        <x:v>HYPERLINK is not implemented. linkLocation=https://pubmed.ncbi.nlm.nih.gov/40996024/, friendlyName=Open PubMed</x:v>
      </x:c>
    </x:row>
    <x:row r="2582">
      <x:c r="A2582" s="26" t="str">
        <x:v>PUBMED-40974989</x:v>
      </x:c>
      <x:c r="B2582" s="26" t="n">
        <x:v>2026</x:v>
      </x:c>
      <x:c r="C2582" s="26" t="str">
        <x:v>40974989</x:v>
      </x:c>
      <x:c r="D2582" s="28" t="str">
        <x:v>MAN-GNN: An interpretable biomarker architecture for neurodevelopmental disorders.</x:v>
      </x:c>
      <x:c r="E2582" s="28" t="str">
        <x:v>Primary/contextual journal article</x:v>
      </x:c>
      <x:c r="F2582" s="28" t="str">
        <x:v>Development &amp; presentation; Recognition &amp; diagnosis; Social &amp; structural; Environmental &amp; lifestyle; Treatment &amp; support; Historical &amp; contemporary context</x:v>
      </x:c>
      <x:c r="G2582" s="28" t="str">
        <x:v>Not specified</x:v>
      </x:c>
      <x:c r="H2582" s="28" t="str">
        <x:v>Exclude/incidental</x:v>
      </x:c>
      <x:c r="I2582" s="28" t="str">
        <x:v>ADHD appears peripheral or insufficiently aligned with the requested corpus scope based on accessible metadata/abstract.</x:v>
      </x:c>
      <x:c r="J2582" s="38" t="e">
        <x:f>HYPERLINK("https://pubmed.ncbi.nlm.nih.gov/"&amp;C2582&amp;"/","Open PubMed")</x:f>
        <x:v>HYPERLINK is not implemented. linkLocation=https://pubmed.ncbi.nlm.nih.gov/40974989/, friendlyName=Open PubMed</x:v>
      </x:c>
    </x:row>
    <x:row r="2583">
      <x:c r="A2583" s="26" t="str">
        <x:v>PUBMED-40973785</x:v>
      </x:c>
      <x:c r="B2583" s="26" t="n">
        <x:v>2026</x:v>
      </x:c>
      <x:c r="C2583" s="26" t="str">
        <x:v>40973785</x:v>
      </x:c>
      <x:c r="D2583" s="28" t="str">
        <x:v>hiPSC-derived cortical neurons from ADHD individuals reveal dysregulated glutamatergic development.</x:v>
      </x:c>
      <x:c r="E2583" s="28" t="str">
        <x:v>Primary/contextual journal article</x:v>
      </x:c>
      <x:c r="F2583" s="28" t="str">
        <x:v>Development &amp; presentation; Recognition &amp; diagnosis; Social &amp; structural; Treatment &amp; support; Life outcomes &amp; lived experience</x:v>
      </x:c>
      <x:c r="G2583" s="28" t="str">
        <x:v>Adulthood</x:v>
      </x:c>
      <x:c r="H2583" s="28" t="str">
        <x:v>Later specialized</x:v>
      </x:c>
      <x:c r="I2583" s="28" t="str">
        <x:v>Direct or strongly ADHD-related record retained for later screening; typically narrower treatment, biomarker, mechanistic, or single-comorbidity focus.</x:v>
      </x:c>
      <x:c r="J2583" s="38" t="e">
        <x:f>HYPERLINK("https://pubmed.ncbi.nlm.nih.gov/"&amp;C2583&amp;"/","Open PubMed")</x:f>
        <x:v>HYPERLINK is not implemented. linkLocation=https://pubmed.ncbi.nlm.nih.gov/40973785/, friendlyName=Open PubMed</x:v>
      </x:c>
    </x:row>
    <x:row r="2584">
      <x:c r="A2584" s="26" t="str">
        <x:v>PUBMED-40960278</x:v>
      </x:c>
      <x:c r="B2584" s="26" t="n">
        <x:v>2026</x:v>
      </x:c>
      <x:c r="C2584" s="26" t="str">
        <x:v>40960278</x:v>
      </x:c>
      <x:c r="D2584" s="28" t="str">
        <x:v>ADHD Symptoms, Resilience, and Quality of Life in Emerging Adults: The Roles of Diagnostic Status and Current Symptomatology.</x:v>
      </x:c>
      <x:c r="E2584" s="28" t="str">
        <x:v>Primary/contextual journal article</x:v>
      </x:c>
      <x:c r="F2584" s="28" t="str">
        <x:v>Development &amp; presentation; Recognition &amp; diagnosis; Social &amp; structural; Environmental &amp; lifestyle; Life outcomes &amp; lived experience; Historical &amp; contemporary context</x:v>
      </x:c>
      <x:c r="G2584" s="28" t="str">
        <x:v>Adolescence; Adulthood</x:v>
      </x:c>
      <x:c r="H2584" s="28" t="str">
        <x:v>Later specialized</x:v>
      </x:c>
      <x:c r="I2584" s="28" t="str">
        <x:v>Direct or strongly ADHD-related record retained for later screening; typically narrower treatment, biomarker, mechanistic, or single-comorbidity focus.</x:v>
      </x:c>
      <x:c r="J2584" s="38" t="e">
        <x:f>HYPERLINK("https://pubmed.ncbi.nlm.nih.gov/"&amp;C2584&amp;"/","Open PubMed")</x:f>
        <x:v>HYPERLINK is not implemented. linkLocation=https://pubmed.ncbi.nlm.nih.gov/40960278/, friendlyName=Open PubMed</x:v>
      </x:c>
    </x:row>
    <x:row r="2585">
      <x:c r="A2585" s="26" t="str">
        <x:v>PUBMED-40945770</x:v>
      </x:c>
      <x:c r="B2585" s="26" t="n">
        <x:v>2026</x:v>
      </x:c>
      <x:c r="C2585" s="26" t="str">
        <x:v>40945770</x:v>
      </x:c>
      <x:c r="D2585" s="28" t="str">
        <x:v>Efficacy of a short-term physical exercise intervention on stress biomarkers and mental health in adolescents with ADHD: A randomized controlled trial.</x:v>
      </x:c>
      <x:c r="E2585" s="28" t="str">
        <x:v>Primary study - randomized controlled trial</x:v>
      </x:c>
      <x:c r="F2585" s="28" t="str">
        <x:v>Development &amp; presentation; Family &amp; education; Social &amp; structural; Environmental &amp; lifestyle; Treatment &amp; support; Life outcomes &amp; lived experience</x:v>
      </x:c>
      <x:c r="G2585" s="28" t="str">
        <x:v>Childhood; Adolescence</x:v>
      </x:c>
      <x:c r="H2585" s="28" t="str">
        <x:v>Later specialized</x:v>
      </x:c>
      <x:c r="I2585" s="28" t="str">
        <x:v>Direct or strongly ADHD-related record retained for later screening; typically narrower treatment, biomarker, mechanistic, or single-comorbidity focus.</x:v>
      </x:c>
      <x:c r="J2585" s="38" t="e">
        <x:f>HYPERLINK("https://pubmed.ncbi.nlm.nih.gov/"&amp;C2585&amp;"/","Open PubMed")</x:f>
        <x:v>HYPERLINK is not implemented. linkLocation=https://pubmed.ncbi.nlm.nih.gov/40945770/, friendlyName=Open PubMed</x:v>
      </x:c>
    </x:row>
    <x:row r="2586">
      <x:c r="A2586" s="26" t="str">
        <x:v>PUBMED-40935259</x:v>
      </x:c>
      <x:c r="B2586" s="26" t="n">
        <x:v>2026</x:v>
      </x:c>
      <x:c r="C2586" s="26" t="str">
        <x:v>40935259</x:v>
      </x:c>
      <x:c r="D2586" s="28" t="str">
        <x:v>Interpersonal needs in relation to depression and suicidal ideation in early adolescents: the moderating roles of ADHD and sex.</x:v>
      </x:c>
      <x:c r="E2586" s="28" t="str">
        <x:v>Primary/contextual journal article</x:v>
      </x:c>
      <x:c r="F2586" s="28" t="str">
        <x:v>Development &amp; presentation; Recognition &amp; diagnosis; Family &amp; education; Social &amp; structural; Historical &amp; contemporary context</x:v>
      </x:c>
      <x:c r="G2586" s="28" t="str">
        <x:v>Childhood; Adolescence</x:v>
      </x:c>
      <x:c r="H2586" s="28" t="str">
        <x:v>Later specialized</x:v>
      </x:c>
      <x:c r="I2586" s="28" t="str">
        <x:v>Direct or strongly ADHD-related record retained for later screening; typically narrower treatment, biomarker, mechanistic, or single-comorbidity focus.</x:v>
      </x:c>
      <x:c r="J2586" s="38" t="e">
        <x:f>HYPERLINK("https://pubmed.ncbi.nlm.nih.gov/"&amp;C2586&amp;"/","Open PubMed")</x:f>
        <x:v>HYPERLINK is not implemented. linkLocation=https://pubmed.ncbi.nlm.nih.gov/40935259/, friendlyName=Open PubMed</x:v>
      </x:c>
    </x:row>
    <x:row r="2587">
      <x:c r="A2587" s="26" t="str">
        <x:v>PUBMED-40914859</x:v>
      </x:c>
      <x:c r="B2587" s="26" t="n">
        <x:v>2026</x:v>
      </x:c>
      <x:c r="C2587" s="26" t="str">
        <x:v>40914859</x:v>
      </x:c>
      <x:c r="D2587" s="28" t="str">
        <x:v>Perception of Visual Illusions in Children and Teenagers With ADHD.</x:v>
      </x:c>
      <x:c r="E2587" s="28" t="str">
        <x:v>Primary/contextual journal article</x:v>
      </x:c>
      <x:c r="F2587" s="28" t="str">
        <x:v>Development &amp; presentation; Social &amp; structural</x:v>
      </x:c>
      <x:c r="G2587" s="28" t="str">
        <x:v>Childhood; Adolescence</x:v>
      </x:c>
      <x:c r="H2587" s="28" t="str">
        <x:v>Later specialized</x:v>
      </x:c>
      <x:c r="I2587" s="28" t="str">
        <x:v>Direct or strongly ADHD-related record retained for later screening; typically narrower treatment, biomarker, mechanistic, or single-comorbidity focus.</x:v>
      </x:c>
      <x:c r="J2587" s="38" t="e">
        <x:f>HYPERLINK("https://pubmed.ncbi.nlm.nih.gov/"&amp;C2587&amp;"/","Open PubMed")</x:f>
        <x:v>HYPERLINK is not implemented. linkLocation=https://pubmed.ncbi.nlm.nih.gov/40914859/, friendlyName=Open PubMed</x:v>
      </x:c>
    </x:row>
    <x:row r="2588">
      <x:c r="A2588" s="26" t="str">
        <x:v>PUBMED-40908762</x:v>
      </x:c>
      <x:c r="B2588" s="26" t="n">
        <x:v>2026</x:v>
      </x:c>
      <x:c r="C2588" s="26" t="str">
        <x:v>40908762</x:v>
      </x:c>
      <x:c r="D2588" s="28" t="str">
        <x:v>CBT, parent training, and combined approaches for children with ADHD: A randomized study.</x:v>
      </x:c>
      <x:c r="E2588" s="28" t="str">
        <x:v>Primary study - randomized controlled trial</x:v>
      </x:c>
      <x:c r="F2588" s="28" t="str">
        <x:v>Development &amp; presentation; Recognition &amp; diagnosis; Family &amp; education; Social &amp; structural; Treatment &amp; support; Life outcomes &amp; lived experience</x:v>
      </x:c>
      <x:c r="G2588" s="28" t="str">
        <x:v>Childhood; Adulthood</x:v>
      </x:c>
      <x:c r="H2588" s="28" t="str">
        <x:v>Later specialized</x:v>
      </x:c>
      <x:c r="I2588" s="28" t="str">
        <x:v>Direct or strongly ADHD-related record retained for later screening; typically narrower treatment, biomarker, mechanistic, or single-comorbidity focus.</x:v>
      </x:c>
      <x:c r="J2588" s="38" t="e">
        <x:f>HYPERLINK("https://pubmed.ncbi.nlm.nih.gov/"&amp;C2588&amp;"/","Open PubMed")</x:f>
        <x:v>HYPERLINK is not implemented. linkLocation=https://pubmed.ncbi.nlm.nih.gov/40908762/, friendlyName=Open PubMed</x:v>
      </x:c>
    </x:row>
    <x:row r="2589">
      <x:c r="A2589" s="26" t="str">
        <x:v>PUBMED-40905635</x:v>
      </x:c>
      <x:c r="B2589" s="26" t="n">
        <x:v>2026</x:v>
      </x:c>
      <x:c r="C2589" s="26" t="str">
        <x:v>40905635</x:v>
      </x:c>
      <x:c r="D2589" s="28" t="str">
        <x:v>School-Based Social Skills Interventions for Youth With ADHD: A Systematic Review and Meta-Analysis.</x:v>
      </x:c>
      <x:c r="E2589" s="28" t="str">
        <x:v>Evidence synthesis - meta-analysis</x:v>
      </x:c>
      <x:c r="F2589" s="28" t="str">
        <x:v>Development &amp; presentation; Recognition &amp; diagnosis; Family &amp; education; Social &amp; structural; Treatment &amp; support; Life outcomes &amp; lived experience</x:v>
      </x:c>
      <x:c r="G2589" s="28" t="str">
        <x:v>Childhood; Adolescence</x:v>
      </x:c>
      <x:c r="H2589" s="28" t="str">
        <x:v>Batch 1 core</x:v>
      </x:c>
      <x:c r="I2589" s="28" t="str">
        <x:v>Direct ADHD evidence synthesis/guideline with broad multi-topic relevance.</x:v>
      </x:c>
      <x:c r="J2589" s="38" t="e">
        <x:f>HYPERLINK("https://pubmed.ncbi.nlm.nih.gov/"&amp;C2589&amp;"/","Open PubMed")</x:f>
        <x:v>HYPERLINK is not implemented. linkLocation=https://pubmed.ncbi.nlm.nih.gov/40905635/, friendlyName=Open PubMed</x:v>
      </x:c>
    </x:row>
    <x:row r="2590">
      <x:c r="A2590" s="26" t="str">
        <x:v>PUBMED-40877470</x:v>
      </x:c>
      <x:c r="B2590" s="26" t="n">
        <x:v>2026</x:v>
      </x:c>
      <x:c r="C2590" s="26" t="str">
        <x:v>40877470</x:v>
      </x:c>
      <x:c r="D2590" s="28" t="str">
        <x:v>Prevalence of attention deficit hyperactivity disorder/hyperkinetic disorder of pediatric and adult populations in clinical settings: a systematic review, meta-analysis and meta-regression.</x:v>
      </x:c>
      <x:c r="E2590" s="28" t="str">
        <x:v>Evidence synthesis - meta-analysis</x:v>
      </x:c>
      <x:c r="F2590" s="28" t="str">
        <x:v>Development &amp; presentation; Recognition &amp; diagnosis; Social &amp; structural; Treatment &amp; support; Life outcomes &amp; lived experience</x:v>
      </x:c>
      <x:c r="G2590" s="28" t="str">
        <x:v>Childhood; Adolescence; Adulthood</x:v>
      </x:c>
      <x:c r="H2590" s="28" t="str">
        <x:v>Batch 1 core</x:v>
      </x:c>
      <x:c r="I2590" s="28" t="str">
        <x:v>Direct ADHD evidence synthesis/guideline with broad multi-topic relevance.</x:v>
      </x:c>
      <x:c r="J2590" s="38" t="e">
        <x:f>HYPERLINK("https://pubmed.ncbi.nlm.nih.gov/"&amp;C2590&amp;"/","Open PubMed")</x:f>
        <x:v>HYPERLINK is not implemented. linkLocation=https://pubmed.ncbi.nlm.nih.gov/40877470/, friendlyName=Open PubMed</x:v>
      </x:c>
    </x:row>
    <x:row r="2591">
      <x:c r="A2591" s="26" t="str">
        <x:v>PUBMED-40848774</x:v>
      </x:c>
      <x:c r="B2591" s="26" t="n">
        <x:v>2026</x:v>
      </x:c>
      <x:c r="C2591" s="26" t="str">
        <x:v>40848774</x:v>
      </x:c>
      <x:c r="D2591" s="28" t="str">
        <x:v>Association of pediatric bipolar disorder and substance use disorder in adulthood in a prospective cohort.</x:v>
      </x:c>
      <x:c r="E2591" s="28" t="str">
        <x:v>Primary study - cohort</x:v>
      </x:c>
      <x:c r="F2591" s="28" t="str">
        <x:v>Development &amp; presentation; Recognition &amp; diagnosis; Life outcomes &amp; lived experience</x:v>
      </x:c>
      <x:c r="G2591" s="28" t="str">
        <x:v>Childhood; Adolescence; Adulthood</x:v>
      </x:c>
      <x:c r="H2591" s="28" t="str">
        <x:v>Later specialized</x:v>
      </x:c>
      <x:c r="I2591" s="28" t="str">
        <x:v>Direct or strongly ADHD-related record retained for later screening; typically narrower treatment, biomarker, mechanistic, or single-comorbidity focus.</x:v>
      </x:c>
      <x:c r="J2591" s="38" t="e">
        <x:f>HYPERLINK("https://pubmed.ncbi.nlm.nih.gov/"&amp;C2591&amp;"/","Open PubMed")</x:f>
        <x:v>HYPERLINK is not implemented. linkLocation=https://pubmed.ncbi.nlm.nih.gov/40848774/, friendlyName=Open PubMed</x:v>
      </x:c>
    </x:row>
    <x:row r="2592">
      <x:c r="A2592" s="26" t="str">
        <x:v>PUBMED-40834720</x:v>
      </x:c>
      <x:c r="B2592" s="26" t="n">
        <x:v>2026</x:v>
      </x:c>
      <x:c r="C2592" s="26" t="str">
        <x:v>40834720</x:v>
      </x:c>
      <x:c r="D2592" s="28" t="str">
        <x:v>Plasma Serotonin as a Biomarker of the Severity of Attention Deficit Hyperactivity Disorder, in Children and Overweight/Obesity.</x:v>
      </x:c>
      <x:c r="E2592" s="28" t="str">
        <x:v>Primary study - case-control</x:v>
      </x:c>
      <x:c r="F2592" s="28" t="str">
        <x:v>Development &amp; presentation; Recognition &amp; diagnosis; Family &amp; education</x:v>
      </x:c>
      <x:c r="G2592" s="28" t="str">
        <x:v>Childhood; Adolescence</x:v>
      </x:c>
      <x:c r="H2592" s="28" t="str">
        <x:v>Later specialized</x:v>
      </x:c>
      <x:c r="I2592" s="28" t="str">
        <x:v>Direct or strongly ADHD-related record retained for later screening; typically narrower treatment, biomarker, mechanistic, or single-comorbidity focus.</x:v>
      </x:c>
      <x:c r="J2592" s="38" t="e">
        <x:f>HYPERLINK("https://pubmed.ncbi.nlm.nih.gov/"&amp;C2592&amp;"/","Open PubMed")</x:f>
        <x:v>HYPERLINK is not implemented. linkLocation=https://pubmed.ncbi.nlm.nih.gov/40834720/, friendlyName=Open PubMed</x:v>
      </x:c>
    </x:row>
    <x:row r="2593">
      <x:c r="A2593" s="26" t="str">
        <x:v>PUBMED-40831246</x:v>
      </x:c>
      <x:c r="B2593" s="26" t="n">
        <x:v>2026</x:v>
      </x:c>
      <x:c r="C2593" s="26" t="str">
        <x:v>40831246</x:v>
      </x:c>
      <x:c r="D2593" s="28" t="str">
        <x:v>Executive function behaviors in intellectually gifted/ADHD children compared to intellectually gifted children and ADHD children: the clinical utility of the Behavior Rating Inventory of Executive Function (BRIEF).</x:v>
      </x:c>
      <x:c r="E2593" s="28" t="str">
        <x:v>Primary/contextual journal article</x:v>
      </x:c>
      <x:c r="F2593" s="28" t="str">
        <x:v>Development &amp; presentation; Recognition &amp; diagnosis; Family &amp; education; Social &amp; structural</x:v>
      </x:c>
      <x:c r="G2593" s="28" t="str">
        <x:v>Childhood; Adolescence</x:v>
      </x:c>
      <x:c r="H2593" s="28" t="str">
        <x:v>Later specialized</x:v>
      </x:c>
      <x:c r="I2593" s="28" t="str">
        <x:v>Direct or strongly ADHD-related record retained for later screening; typically narrower treatment, biomarker, mechanistic, or single-comorbidity focus.</x:v>
      </x:c>
      <x:c r="J2593" s="38" t="e">
        <x:f>HYPERLINK("https://pubmed.ncbi.nlm.nih.gov/"&amp;C2593&amp;"/","Open PubMed")</x:f>
        <x:v>HYPERLINK is not implemented. linkLocation=https://pubmed.ncbi.nlm.nih.gov/40831246/, friendlyName=Open PubMed</x:v>
      </x:c>
    </x:row>
    <x:row r="2594">
      <x:c r="A2594" s="26" t="str">
        <x:v>PUBMED-40789484</x:v>
      </x:c>
      <x:c r="B2594" s="26" t="n">
        <x:v>2026</x:v>
      </x:c>
      <x:c r="C2594" s="26" t="str">
        <x:v>40789484</x:v>
      </x:c>
      <x:c r="D2594" s="28" t="str">
        <x:v>Brain Myelin in Children With Attention-Deficit/Hyperactivity Disorder: A Longitudinal T1-Weighted/T2-Weighted Ratio Study.</x:v>
      </x:c>
      <x:c r="E2594" s="28" t="str">
        <x:v>Primary study - cohort</x:v>
      </x:c>
      <x:c r="F2594" s="28" t="str">
        <x:v>Development &amp; presentation; Recognition &amp; diagnosis; Social &amp; structural; Life outcomes &amp; lived experience; Historical &amp; contemporary context</x:v>
      </x:c>
      <x:c r="G2594" s="28" t="str">
        <x:v>Childhood; Adolescence</x:v>
      </x:c>
      <x:c r="H2594" s="28" t="str">
        <x:v>Later specialized</x:v>
      </x:c>
      <x:c r="I2594" s="28" t="str">
        <x:v>Direct or strongly ADHD-related record retained for later screening; typically narrower treatment, biomarker, mechanistic, or single-comorbidity focus.</x:v>
      </x:c>
      <x:c r="J2594" s="38" t="e">
        <x:f>HYPERLINK("https://pubmed.ncbi.nlm.nih.gov/"&amp;C2594&amp;"/","Open PubMed")</x:f>
        <x:v>HYPERLINK is not implemented. linkLocation=https://pubmed.ncbi.nlm.nih.gov/40789484/, friendlyName=Open PubMed</x:v>
      </x:c>
    </x:row>
    <x:row r="2595">
      <x:c r="A2595" s="26" t="str">
        <x:v>PUBMED-40719827</x:v>
      </x:c>
      <x:c r="B2595" s="26" t="n">
        <x:v>2026</x:v>
      </x:c>
      <x:c r="C2595" s="26" t="str">
        <x:v>40719827</x:v>
      </x:c>
      <x:c r="D2595" s="28" t="str">
        <x:v>Assessing the effects of methylphenidate in proliferation and Wnt activity of neuronal stem cells from attention deficit/hyperactivity disorder patients.</x:v>
      </x:c>
      <x:c r="E2595" s="28" t="str">
        <x:v>Primary/contextual journal article</x:v>
      </x:c>
      <x:c r="F2595" s="28" t="str">
        <x:v>Development &amp; presentation; Social &amp; structural; Environmental &amp; lifestyle; Treatment &amp; support</x:v>
      </x:c>
      <x:c r="G2595" s="28" t="str">
        <x:v>Childhood; Adolescence</x:v>
      </x:c>
      <x:c r="H2595" s="28" t="str">
        <x:v>Later specialized</x:v>
      </x:c>
      <x:c r="I2595" s="28" t="str">
        <x:v>Direct or strongly ADHD-related record retained for later screening; typically narrower treatment, biomarker, mechanistic, or single-comorbidity focus.</x:v>
      </x:c>
      <x:c r="J2595" s="38" t="e">
        <x:f>HYPERLINK("https://pubmed.ncbi.nlm.nih.gov/"&amp;C2595&amp;"/","Open PubMed")</x:f>
        <x:v>HYPERLINK is not implemented. linkLocation=https://pubmed.ncbi.nlm.nih.gov/40719827/, friendlyName=Open PubMed</x:v>
      </x:c>
    </x:row>
    <x:row r="2596">
      <x:c r="A2596" s="26" t="str">
        <x:v>PUBMED-40712681</x:v>
      </x:c>
      <x:c r="B2596" s="26" t="n">
        <x:v>2026</x:v>
      </x:c>
      <x:c r="C2596" s="26" t="str">
        <x:v>40712681</x:v>
      </x:c>
      <x:c r="D2596" s="28" t="str">
        <x:v>Different Changes in Brain Functional Networks Following 12-Week Psychostimulant Treatment in Attention-Deficit/Hyperactivity Disorder Youth With and Without Familial Risk for Bipolar I Disorder.</x:v>
      </x:c>
      <x:c r="E2596" s="28" t="str">
        <x:v>Primary study - randomized controlled trial</x:v>
      </x:c>
      <x:c r="F2596" s="28" t="str">
        <x:v>Development &amp; presentation; Recognition &amp; diagnosis; Family &amp; education; Social &amp; structural; Treatment &amp; support; Life outcomes &amp; lived experience; Historical &amp; contemporary context</x:v>
      </x:c>
      <x:c r="G2596" s="28" t="str">
        <x:v>Childhood; Adolescence</x:v>
      </x:c>
      <x:c r="H2596" s="28" t="str">
        <x:v>Later specialized</x:v>
      </x:c>
      <x:c r="I2596" s="28" t="str">
        <x:v>Direct or strongly ADHD-related record retained for later screening; typically narrower treatment, biomarker, mechanistic, or single-comorbidity focus.</x:v>
      </x:c>
      <x:c r="J2596" s="38" t="e">
        <x:f>HYPERLINK("https://pubmed.ncbi.nlm.nih.gov/"&amp;C2596&amp;"/","Open PubMed")</x:f>
        <x:v>HYPERLINK is not implemented. linkLocation=https://pubmed.ncbi.nlm.nih.gov/40712681/, friendlyName=Open PubMed</x:v>
      </x:c>
    </x:row>
    <x:row r="2597">
      <x:c r="A2597" s="26" t="str">
        <x:v>PUBMED-40692194</x:v>
      </x:c>
      <x:c r="B2597" s="26" t="n">
        <x:v>2026</x:v>
      </x:c>
      <x:c r="C2597" s="26" t="str">
        <x:v>40692194</x:v>
      </x:c>
      <x:c r="D2597" s="28" t="str">
        <x:v>Interplay between attention-deficit/hyperactivity disorder, educational attainment, and vascular risk factors: Insights from Mendelian randomization analyses.</x:v>
      </x:c>
      <x:c r="E2597" s="28" t="str">
        <x:v>Primary/contextual journal article</x:v>
      </x:c>
      <x:c r="F2597" s="28" t="str">
        <x:v>Development &amp; presentation; Family &amp; education; Social &amp; structural; Environmental &amp; lifestyle; Life outcomes &amp; lived experience</x:v>
      </x:c>
      <x:c r="G2597" s="28" t="str">
        <x:v>Adulthood</x:v>
      </x:c>
      <x:c r="H2597" s="28" t="str">
        <x:v>Later specialized</x:v>
      </x:c>
      <x:c r="I2597" s="28" t="str">
        <x:v>Direct or strongly ADHD-related record retained for later screening; typically narrower treatment, biomarker, mechanistic, or single-comorbidity focus.</x:v>
      </x:c>
      <x:c r="J2597" s="38" t="e">
        <x:f>HYPERLINK("https://pubmed.ncbi.nlm.nih.gov/"&amp;C2597&amp;"/","Open PubMed")</x:f>
        <x:v>HYPERLINK is not implemented. linkLocation=https://pubmed.ncbi.nlm.nih.gov/40692194/, friendlyName=Open PubMed</x:v>
      </x:c>
    </x:row>
    <x:row r="2598">
      <x:c r="A2598" s="26" t="str">
        <x:v>PUBMED-40682716</x:v>
      </x:c>
      <x:c r="B2598" s="26" t="n">
        <x:v>2026</x:v>
      </x:c>
      <x:c r="C2598" s="26" t="str">
        <x:v>40682716</x:v>
      </x:c>
      <x:c r="D2598" s="28" t="str">
        <x:v>Implications for the Prevention of Poverty-Related Environmental Risks for Childhood ADHD: A Narrative Review.</x:v>
      </x:c>
      <x:c r="E2598" s="28" t="str">
        <x:v>Evidence synthesis - review</x:v>
      </x:c>
      <x:c r="F2598" s="28" t="str">
        <x:v>Development &amp; presentation; Family &amp; education; Social &amp; structural; Environmental &amp; lifestyle; Life outcomes &amp; lived experience</x:v>
      </x:c>
      <x:c r="G2598" s="28" t="str">
        <x:v>Childhood</x:v>
      </x:c>
      <x:c r="H2598" s="28" t="str">
        <x:v>Later specialized</x:v>
      </x:c>
      <x:c r="I2598" s="28" t="str">
        <x:v>Direct or strongly ADHD-related record retained for later screening; typically narrower treatment, biomarker, mechanistic, or single-comorbidity focus.</x:v>
      </x:c>
      <x:c r="J2598" s="38" t="e">
        <x:f>HYPERLINK("https://pubmed.ncbi.nlm.nih.gov/"&amp;C2598&amp;"/","Open PubMed")</x:f>
        <x:v>HYPERLINK is not implemented. linkLocation=https://pubmed.ncbi.nlm.nih.gov/40682716/, friendlyName=Open PubMed</x:v>
      </x:c>
    </x:row>
    <x:row r="2599">
      <x:c r="A2599" s="26" t="str">
        <x:v>PUBMED-40619095</x:v>
      </x:c>
      <x:c r="B2599" s="26" t="n">
        <x:v>2026</x:v>
      </x:c>
      <x:c r="C2599" s="26" t="str">
        <x:v>40619095</x:v>
      </x:c>
      <x:c r="D2599" s="28" t="str">
        <x:v>Centanafadine for Attention-Deficit/Hyperactivity Disorder in Adolescents: A Randomized Clinical Trial.</x:v>
      </x:c>
      <x:c r="E2599" s="28" t="str">
        <x:v>Primary study - randomized controlled trial</x:v>
      </x:c>
      <x:c r="F2599" s="28" t="str">
        <x:v>Development &amp; presentation; Recognition &amp; diagnosis; Social &amp; structural; Treatment &amp; support; Life outcomes &amp; lived experience; Historical &amp; contemporary context</x:v>
      </x:c>
      <x:c r="G2599" s="28" t="str">
        <x:v>Adolescence</x:v>
      </x:c>
      <x:c r="H2599" s="28" t="str">
        <x:v>Later specialized</x:v>
      </x:c>
      <x:c r="I2599" s="28" t="str">
        <x:v>Direct or strongly ADHD-related record retained for later screening; typically narrower treatment, biomarker, mechanistic, or single-comorbidity focus.</x:v>
      </x:c>
      <x:c r="J2599" s="38" t="e">
        <x:f>HYPERLINK("https://pubmed.ncbi.nlm.nih.gov/"&amp;C2599&amp;"/","Open PubMed")</x:f>
        <x:v>HYPERLINK is not implemented. linkLocation=https://pubmed.ncbi.nlm.nih.gov/40619095/, friendlyName=Open PubMed</x:v>
      </x:c>
    </x:row>
    <x:row r="2600">
      <x:c r="A2600" s="26" t="str">
        <x:v>PUBMED-40498240</x:v>
      </x:c>
      <x:c r="B2600" s="26" t="n">
        <x:v>2026</x:v>
      </x:c>
      <x:c r="C2600" s="26" t="str">
        <x:v>40498240</x:v>
      </x:c>
      <x:c r="D2600" s="28" t="str">
        <x:v>The Relationship Between Socioemotional Strengths and Self-Stigma Experiences of Youth with ADHD and their Parents.</x:v>
      </x:c>
      <x:c r="E2600" s="28" t="str">
        <x:v>Primary/contextual journal article</x:v>
      </x:c>
      <x:c r="F2600" s="28" t="str">
        <x:v>Development &amp; presentation; Family &amp; education; Social &amp; structural; Life outcomes &amp; lived experience</x:v>
      </x:c>
      <x:c r="G2600" s="28" t="str">
        <x:v>Childhood; Adolescence; Adulthood</x:v>
      </x:c>
      <x:c r="H2600" s="28" t="str">
        <x:v>Later specialized</x:v>
      </x:c>
      <x:c r="I2600" s="28" t="str">
        <x:v>Direct or strongly ADHD-related record retained for later screening; typically narrower treatment, biomarker, mechanistic, or single-comorbidity focus.</x:v>
      </x:c>
      <x:c r="J2600" s="38" t="e">
        <x:f>HYPERLINK("https://pubmed.ncbi.nlm.nih.gov/"&amp;C2600&amp;"/","Open PubMed")</x:f>
        <x:v>HYPERLINK is not implemented. linkLocation=https://pubmed.ncbi.nlm.nih.gov/40498240/, friendlyName=Open PubMed</x:v>
      </x:c>
    </x:row>
    <x:row r="2601">
      <x:c r="A2601" s="26" t="str">
        <x:v>PUBMED-40436673</x:v>
      </x:c>
      <x:c r="B2601" s="26" t="n">
        <x:v>2026</x:v>
      </x:c>
      <x:c r="C2601" s="26" t="str">
        <x:v>40436673</x:v>
      </x:c>
      <x:c r="D2601" s="28" t="str">
        <x:v>Representations and knowledge of residents about ADHD in children in two regions in France.</x:v>
      </x:c>
      <x:c r="E2601" s="28" t="str">
        <x:v>Primary/contextual journal article</x:v>
      </x:c>
      <x:c r="F2601" s="28" t="str">
        <x:v>Development &amp; presentation; Recognition &amp; diagnosis; Family &amp; education; Social &amp; structural; Treatment &amp; support; Historical &amp; contemporary context</x:v>
      </x:c>
      <x:c r="G2601" s="28" t="str">
        <x:v>Childhood; Adolescence; Adulthood</x:v>
      </x:c>
      <x:c r="H2601" s="28" t="str">
        <x:v>Later specialized</x:v>
      </x:c>
      <x:c r="I2601" s="28" t="str">
        <x:v>Direct or strongly ADHD-related record retained for later screening; typically narrower treatment, biomarker, mechanistic, or single-comorbidity focus.</x:v>
      </x:c>
      <x:c r="J2601" s="38" t="e">
        <x:f>HYPERLINK("https://pubmed.ncbi.nlm.nih.gov/"&amp;C2601&amp;"/","Open PubMed")</x:f>
        <x:v>HYPERLINK is not implemented. linkLocation=https://pubmed.ncbi.nlm.nih.gov/40436673/, friendlyName=Open PubMed</x:v>
      </x:c>
    </x:row>
    <x:row r="2602">
      <x:c r="A2602" s="26" t="str">
        <x:v>PUBMED-40345174</x:v>
      </x:c>
      <x:c r="B2602" s="26" t="n">
        <x:v>2026</x:v>
      </x:c>
      <x:c r="C2602" s="26" t="str">
        <x:v>40345174</x:v>
      </x:c>
      <x:c r="D2602" s="28" t="str">
        <x:v>Efficacy of a Transdiagnostic Sleep and Circadian Intervention for Outpatients With Sleep Problems and Depression, Attention Deficit Disorder, or Bipolar Disorder: A Randomised Controlled Trial.</x:v>
      </x:c>
      <x:c r="E2602" s="28" t="str">
        <x:v>Primary study - randomized controlled trial</x:v>
      </x:c>
      <x:c r="F2602" s="28" t="str">
        <x:v>Development &amp; presentation; Recognition &amp; diagnosis; Family &amp; education; Social &amp; structural; Environmental &amp; lifestyle; Treatment &amp; support; Life outcomes &amp; lived experience</x:v>
      </x:c>
      <x:c r="G2602" s="28" t="str">
        <x:v>Adulthood</x:v>
      </x:c>
      <x:c r="H2602" s="28" t="str">
        <x:v>Later specialized</x:v>
      </x:c>
      <x:c r="I2602" s="28" t="str">
        <x:v>Direct or strongly ADHD-related record retained for later screening; typically narrower treatment, biomarker, mechanistic, or single-comorbidity focus.</x:v>
      </x:c>
      <x:c r="J2602" s="38" t="e">
        <x:f>HYPERLINK("https://pubmed.ncbi.nlm.nih.gov/"&amp;C2602&amp;"/","Open PubMed")</x:f>
        <x:v>HYPERLINK is not implemented. linkLocation=https://pubmed.ncbi.nlm.nih.gov/40345174/, friendlyName=Open PubMed</x:v>
      </x:c>
    </x:row>
    <x:row r="2603">
      <x:c r="A2603" s="26" t="str">
        <x:v>PUBMED-40287873</x:v>
      </x:c>
      <x:c r="B2603" s="26" t="n">
        <x:v>2026</x:v>
      </x:c>
      <x:c r="C2603" s="26" t="str">
        <x:v>40287873</x:v>
      </x:c>
      <x:c r="D2603" s="28" t="str">
        <x:v>Prevalence and comorbidity of mental disorders among young adults with a history of residential youth care - a two-wave longitudinal study of stability and change.</x:v>
      </x:c>
      <x:c r="E2603" s="28" t="str">
        <x:v>Primary/contextual journal article</x:v>
      </x:c>
      <x:c r="F2603" s="28" t="str">
        <x:v>Development &amp; presentation; Recognition &amp; diagnosis; Family &amp; education; Social &amp; structural; Environmental &amp; lifestyle; Historical &amp; contemporary context</x:v>
      </x:c>
      <x:c r="G2603" s="28" t="str">
        <x:v>Adolescence; Adulthood</x:v>
      </x:c>
      <x:c r="H2603" s="28" t="str">
        <x:v>Exclude/incidental</x:v>
      </x:c>
      <x:c r="I2603" s="28" t="str">
        <x:v>ADHD appears peripheral or insufficiently aligned with the requested corpus scope based on accessible metadata/abstract.</x:v>
      </x:c>
      <x:c r="J2603" s="38" t="e">
        <x:f>HYPERLINK("https://pubmed.ncbi.nlm.nih.gov/"&amp;C2603&amp;"/","Open PubMed")</x:f>
        <x:v>HYPERLINK is not implemented. linkLocation=https://pubmed.ncbi.nlm.nih.gov/40287873/, friendlyName=Open PubMed</x:v>
      </x:c>
    </x:row>
    <x:row r="2604">
      <x:c r="A2604" s="26" t="str">
        <x:v>PUBMED-40257659</x:v>
      </x:c>
      <x:c r="B2604" s="26" t="n">
        <x:v>2026</x:v>
      </x:c>
      <x:c r="C2604" s="26" t="str">
        <x:v>40257659</x:v>
      </x:c>
      <x:c r="D2604" s="28" t="str">
        <x:v>Movement Behaviors in Youth on the Autism Spectrum: The HUNT Study, Norway.</x:v>
      </x:c>
      <x:c r="E2604" s="28" t="str">
        <x:v>Primary/contextual journal article</x:v>
      </x:c>
      <x:c r="F2604" s="28" t="str">
        <x:v>Development &amp; presentation; Recognition &amp; diagnosis; Family &amp; education; Social &amp; structural; Environmental &amp; lifestyle; Historical &amp; contemporary context</x:v>
      </x:c>
      <x:c r="G2604" s="28" t="str">
        <x:v>Childhood; Adolescence</x:v>
      </x:c>
      <x:c r="H2604" s="28" t="str">
        <x:v>Later specialized</x:v>
      </x:c>
      <x:c r="I2604" s="28" t="str">
        <x:v>Direct or strongly ADHD-related record retained for later screening; typically narrower treatment, biomarker, mechanistic, or single-comorbidity focus.</x:v>
      </x:c>
      <x:c r="J2604" s="38" t="e">
        <x:f>HYPERLINK("https://pubmed.ncbi.nlm.nih.gov/"&amp;C2604&amp;"/","Open PubMed")</x:f>
        <x:v>HYPERLINK is not implemented. linkLocation=https://pubmed.ncbi.nlm.nih.gov/40257659/, friendlyName=Open PubMed</x:v>
      </x:c>
    </x:row>
    <x:row r="2605">
      <x:c r="A2605" s="26" t="str">
        <x:v>PUBMED-40253674</x:v>
      </x:c>
      <x:c r="B2605" s="26" t="n">
        <x:v>2026</x:v>
      </x:c>
      <x:c r="C2605" s="26" t="str">
        <x:v>40253674</x:v>
      </x:c>
      <x:c r="D2605" s="28" t="str">
        <x:v>Moderate-to-Vigorous Physical Activity and Suicidal Ideation in Adolescents with Attention Deficit/Hyperactivity Disorder: the Mediating Effects of Mental Health.</x:v>
      </x:c>
      <x:c r="E2605" s="28" t="str">
        <x:v>Primary/contextual journal article</x:v>
      </x:c>
      <x:c r="F2605" s="28" t="str">
        <x:v>Development &amp; presentation; Recognition &amp; diagnosis; Social &amp; structural; Environmental &amp; lifestyle</x:v>
      </x:c>
      <x:c r="G2605" s="28" t="str">
        <x:v>Childhood; Adolescence</x:v>
      </x:c>
      <x:c r="H2605" s="28" t="str">
        <x:v>Later specialized</x:v>
      </x:c>
      <x:c r="I2605" s="28" t="str">
        <x:v>Direct or strongly ADHD-related record retained for later screening; typically narrower treatment, biomarker, mechanistic, or single-comorbidity focus.</x:v>
      </x:c>
      <x:c r="J2605" s="38" t="e">
        <x:f>HYPERLINK("https://pubmed.ncbi.nlm.nih.gov/"&amp;C2605&amp;"/","Open PubMed")</x:f>
        <x:v>HYPERLINK is not implemented. linkLocation=https://pubmed.ncbi.nlm.nih.gov/40253674/, friendlyName=Open PubMed</x:v>
      </x:c>
    </x:row>
    <x:row r="2606">
      <x:c r="A2606" s="26" t="str">
        <x:v>PUBMED-39992087</x:v>
      </x:c>
      <x:c r="B2606" s="26" t="n">
        <x:v>2026</x:v>
      </x:c>
      <x:c r="C2606" s="26" t="str">
        <x:v>39992087</x:v>
      </x:c>
      <x:c r="D2606" s="28" t="str">
        <x:v>Navigating School Meal Environments: Perspectives of Pupils Diagnosed With Autism Spectrum Disorder or ADHD.</x:v>
      </x:c>
      <x:c r="E2606" s="28" t="str">
        <x:v>Primary/contextual journal article</x:v>
      </x:c>
      <x:c r="F2606" s="28" t="str">
        <x:v>Development &amp; presentation; Recognition &amp; diagnosis; Family &amp; education; Social &amp; structural; Environmental &amp; lifestyle</x:v>
      </x:c>
      <x:c r="G2606" s="28" t="str">
        <x:v>Childhood</x:v>
      </x:c>
      <x:c r="H2606" s="28" t="str">
        <x:v>Later specialized</x:v>
      </x:c>
      <x:c r="I2606" s="28" t="str">
        <x:v>Direct or strongly ADHD-related record retained for later screening; typically narrower treatment, biomarker, mechanistic, or single-comorbidity focus.</x:v>
      </x:c>
      <x:c r="J2606" s="38" t="e">
        <x:f>HYPERLINK("https://pubmed.ncbi.nlm.nih.gov/"&amp;C2606&amp;"/","Open PubMed")</x:f>
        <x:v>HYPERLINK is not implemented. linkLocation=https://pubmed.ncbi.nlm.nih.gov/39992087/, friendlyName=Open PubMed</x:v>
      </x:c>
    </x:row>
    <x:row r="2607">
      <x:c r="A2607" s="26" t="str">
        <x:v>PUBMED-39883295</x:v>
      </x:c>
      <x:c r="B2607" s="26" t="n">
        <x:v>2026</x:v>
      </x:c>
      <x:c r="C2607" s="26" t="str">
        <x:v>39883295</x:v>
      </x:c>
      <x:c r="D2607" s="28" t="str">
        <x:v>Operationalizing the ICF Core Sets for Autism and ADHD: A Multiple-Methods Feasibility Study.</x:v>
      </x:c>
      <x:c r="E2607" s="28" t="str">
        <x:v>Primary study - qualitative</x:v>
      </x:c>
      <x:c r="F2607" s="28" t="str">
        <x:v>Development &amp; presentation; Recognition &amp; diagnosis; Social &amp; structural; Environmental &amp; lifestyle; Life outcomes &amp; lived experience; Historical &amp; contemporary context</x:v>
      </x:c>
      <x:c r="G2607" s="28" t="str">
        <x:v>Childhood; Adolescence; Adulthood</x:v>
      </x:c>
      <x:c r="H2607" s="28" t="str">
        <x:v>Later specialized</x:v>
      </x:c>
      <x:c r="I2607" s="28" t="str">
        <x:v>Direct or strongly ADHD-related record retained for later screening; typically narrower treatment, biomarker, mechanistic, or single-comorbidity focus.</x:v>
      </x:c>
      <x:c r="J2607" s="38" t="e">
        <x:f>HYPERLINK("https://pubmed.ncbi.nlm.nih.gov/"&amp;C2607&amp;"/","Open PubMed")</x:f>
        <x:v>HYPERLINK is not implemented. linkLocation=https://pubmed.ncbi.nlm.nih.gov/39883295/, friendlyName=Open PubMed</x:v>
      </x:c>
    </x:row>
    <x:row r="2608">
      <x:c r="A2608" s="26" t="str">
        <x:v>PUBMED-39716988</x:v>
      </x:c>
      <x:c r="B2608" s="26" t="n">
        <x:v>2026</x:v>
      </x:c>
      <x:c r="C2608" s="26" t="str">
        <x:v>39716988</x:v>
      </x:c>
      <x:c r="D2608" s="28" t="str">
        <x:v>Emotional and Motor Improvements in Children With ADHD Following Equine-Assisted Occupational Therapy.</x:v>
      </x:c>
      <x:c r="E2608" s="28" t="str">
        <x:v>Primary/contextual journal article</x:v>
      </x:c>
      <x:c r="F2608" s="28" t="str">
        <x:v>Development &amp; presentation; Recognition &amp; diagnosis; Social &amp; structural; Treatment &amp; support; Life outcomes &amp; lived experience</x:v>
      </x:c>
      <x:c r="G2608" s="28" t="str">
        <x:v>Childhood</x:v>
      </x:c>
      <x:c r="H2608" s="28" t="str">
        <x:v>Later specialized</x:v>
      </x:c>
      <x:c r="I2608" s="28" t="str">
        <x:v>Direct or strongly ADHD-related record retained for later screening; typically narrower treatment, biomarker, mechanistic, or single-comorbidity focus.</x:v>
      </x:c>
      <x:c r="J2608" s="38" t="e">
        <x:f>HYPERLINK("https://pubmed.ncbi.nlm.nih.gov/"&amp;C2608&amp;"/","Open PubMed")</x:f>
        <x:v>HYPERLINK is not implemented. linkLocation=https://pubmed.ncbi.nlm.nih.gov/39716988/, friendlyName=Open PubMed</x:v>
      </x:c>
    </x:row>
    <x:row r="2609">
      <x:c r="A2609" s="26" t="str">
        <x:v>PUBMED-39708078</x:v>
      </x:c>
      <x:c r="B2609" s="26" t="n">
        <x:v>2026</x:v>
      </x:c>
      <x:c r="C2609" s="26" t="str">
        <x:v>39708078</x:v>
      </x:c>
      <x:c r="D2609" s="28" t="str">
        <x:v>Peer Problems and Prosocial Behavior Among Icelandic Children and Adolescents with ADHD and/or Autism: Gender and Age Differences.</x:v>
      </x:c>
      <x:c r="E2609" s="28" t="str">
        <x:v>Primary study - cross-sectional</x:v>
      </x:c>
      <x:c r="F2609" s="28" t="str">
        <x:v>Development &amp; presentation; Recognition &amp; diagnosis; Family &amp; education; Social &amp; structural; Life outcomes &amp; lived experience</x:v>
      </x:c>
      <x:c r="G2609" s="28" t="str">
        <x:v>Childhood; Adolescence</x:v>
      </x:c>
      <x:c r="H2609" s="28" t="str">
        <x:v>Batch 1 core</x:v>
      </x:c>
      <x:c r="I2609" s="28" t="str">
        <x:v>Direct ADHD primary study on diagnosis, family/education, structural conditions, lived experience/outcomes, or environment/lifestyle.</x:v>
      </x:c>
      <x:c r="J2609" s="38" t="e">
        <x:f>HYPERLINK("https://pubmed.ncbi.nlm.nih.gov/"&amp;C2609&amp;"/","Open PubMed")</x:f>
        <x:v>HYPERLINK is not implemented. linkLocation=https://pubmed.ncbi.nlm.nih.gov/39708078/, friendlyName=Open PubMed</x:v>
      </x:c>
    </x:row>
    <x:row r="2610">
      <x:c r="A2610" s="26" t="str">
        <x:v>PUBMED-39662514</x:v>
      </x:c>
      <x:c r="B2610" s="26" t="n">
        <x:v>2026</x:v>
      </x:c>
      <x:c r="C2610" s="26" t="str">
        <x:v>39662514</x:v>
      </x:c>
      <x:c r="D2610" s="28" t="str">
        <x:v>Using Network Analysis of Adolescent Self-Ratings of ADHD Symptoms to Identify Central Symptoms and Their Associations With Each Other and Global Functioning.</x:v>
      </x:c>
      <x:c r="E2610" s="28" t="str">
        <x:v>Primary/contextual journal article</x:v>
      </x:c>
      <x:c r="F2610" s="28" t="str">
        <x:v>Development &amp; presentation; Recognition &amp; diagnosis; Social &amp; structural; Treatment &amp; support; Life outcomes &amp; lived experience</x:v>
      </x:c>
      <x:c r="G2610" s="28" t="str">
        <x:v>Adolescence</x:v>
      </x:c>
      <x:c r="H2610" s="28" t="str">
        <x:v>Later specialized</x:v>
      </x:c>
      <x:c r="I2610" s="28" t="str">
        <x:v>Direct or strongly ADHD-related record retained for later screening; typically narrower treatment, biomarker, mechanistic, or single-comorbidity focus.</x:v>
      </x:c>
      <x:c r="J2610" s="38" t="e">
        <x:f>HYPERLINK("https://pubmed.ncbi.nlm.nih.gov/"&amp;C2610&amp;"/","Open PubMed")</x:f>
        <x:v>HYPERLINK is not implemented. linkLocation=https://pubmed.ncbi.nlm.nih.gov/39662514/, friendlyName=Open PubMed</x:v>
      </x:c>
    </x:row>
    <x:row r="2611">
      <x:c r="A2611" s="26" t="str">
        <x:v>PUBMED-39585536</x:v>
      </x:c>
      <x:c r="B2611" s="26" t="n">
        <x:v>2026</x:v>
      </x:c>
      <x:c r="C2611" s="26" t="str">
        <x:v>39585536</x:v>
      </x:c>
      <x:c r="D2611" s="28" t="str">
        <x:v>Prior Diagnoses and Age of Diagnosis in Children Later Diagnosed with Autism.</x:v>
      </x:c>
      <x:c r="E2611" s="28" t="str">
        <x:v>Primary/contextual journal article</x:v>
      </x:c>
      <x:c r="F2611" s="28" t="str">
        <x:v>Development &amp; presentation; Recognition &amp; diagnosis; Family &amp; education; Social &amp; structural</x:v>
      </x:c>
      <x:c r="G2611" s="28" t="str">
        <x:v>Childhood</x:v>
      </x:c>
      <x:c r="H2611" s="28" t="str">
        <x:v>Later specialized</x:v>
      </x:c>
      <x:c r="I2611" s="28" t="str">
        <x:v>Direct or strongly ADHD-related record retained for later screening; typically narrower treatment, biomarker, mechanistic, or single-comorbidity focus.</x:v>
      </x:c>
      <x:c r="J2611" s="38" t="e">
        <x:f>HYPERLINK("https://pubmed.ncbi.nlm.nih.gov/"&amp;C2611&amp;"/","Open PubMed")</x:f>
        <x:v>HYPERLINK is not implemented. linkLocation=https://pubmed.ncbi.nlm.nih.gov/39585536/, friendlyName=Open PubMed</x:v>
      </x:c>
    </x:row>
    <x:row r="2612">
      <x:c r="A2612" s="26" t="str">
        <x:v>PUBMED-39572005</x:v>
      </x:c>
      <x:c r="B2612" s="26" t="n">
        <x:v>2026</x:v>
      </x:c>
      <x:c r="C2612" s="26" t="str">
        <x:v>39572005</x:v>
      </x:c>
      <x:c r="D2612" s="28" t="str">
        <x:v>Correlation investigation between BDNF (Val66Met/rs6265) polymorphism and attention deficit hyperactivity disorder susceptibility in Chinese mainland population: a meta-analysis.</x:v>
      </x:c>
      <x:c r="E2612" s="28" t="str">
        <x:v>Evidence synthesis - meta-analysis</x:v>
      </x:c>
      <x:c r="F2612" s="28" t="str">
        <x:v>Development &amp; presentation; Social &amp; structural; Historical &amp; contemporary context</x:v>
      </x:c>
      <x:c r="G2612" s="28" t="str">
        <x:v>Not specified</x:v>
      </x:c>
      <x:c r="H2612" s="28" t="str">
        <x:v>Later specialized</x:v>
      </x:c>
      <x:c r="I2612" s="28" t="str">
        <x:v>Direct or strongly ADHD-related record retained for later screening; typically narrower treatment, biomarker, mechanistic, or single-comorbidity focus.</x:v>
      </x:c>
      <x:c r="J2612" s="38" t="e">
        <x:f>HYPERLINK("https://pubmed.ncbi.nlm.nih.gov/"&amp;C2612&amp;"/","Open PubMed")</x:f>
        <x:v>HYPERLINK is not implemented. linkLocation=https://pubmed.ncbi.nlm.nih.gov/39572005/, friendlyName=Open PubMed</x:v>
      </x:c>
    </x:row>
    <x:row r="2613">
      <x:c r="A2613" s="26" t="str">
        <x:v>PUBMED-39570483</x:v>
      </x:c>
      <x:c r="B2613" s="26" t="n">
        <x:v>2026</x:v>
      </x:c>
      <x:c r="C2613" s="26" t="str">
        <x:v>39570483</x:v>
      </x:c>
      <x:c r="D2613" s="28" t="str">
        <x:v>Contributions of Attachment and Cognitive Functioning on ADHD Symptoms in Children.</x:v>
      </x:c>
      <x:c r="E2613" s="28" t="str">
        <x:v>Primary/contextual journal article</x:v>
      </x:c>
      <x:c r="F2613" s="28" t="str">
        <x:v>Development &amp; presentation; Recognition &amp; diagnosis; Family &amp; education; Social &amp; structural; Life outcomes &amp; lived experience</x:v>
      </x:c>
      <x:c r="G2613" s="28" t="str">
        <x:v>Childhood</x:v>
      </x:c>
      <x:c r="H2613" s="28" t="str">
        <x:v>Later specialized</x:v>
      </x:c>
      <x:c r="I2613" s="28" t="str">
        <x:v>Direct or strongly ADHD-related record retained for later screening; typically narrower treatment, biomarker, mechanistic, or single-comorbidity focus.</x:v>
      </x:c>
      <x:c r="J2613" s="38" t="e">
        <x:f>HYPERLINK("https://pubmed.ncbi.nlm.nih.gov/"&amp;C2613&amp;"/","Open PubMed")</x:f>
        <x:v>HYPERLINK is not implemented. linkLocation=https://pubmed.ncbi.nlm.nih.gov/39570483/, friendlyName=Open PubMed</x:v>
      </x:c>
    </x:row>
    <x:row r="2614">
      <x:c r="A2614" s="26" t="str">
        <x:v>PUBMED-39412584</x:v>
      </x:c>
      <x:c r="B2614" s="26" t="n">
        <x:v>2026</x:v>
      </x:c>
      <x:c r="C2614" s="26" t="str">
        <x:v>39412584</x:v>
      </x:c>
      <x:c r="D2614" s="28" t="str">
        <x:v>Frequency and Mental Health Condition of Students with Developmental Disabilities Among First-Year Japanese University Students: A Cross-Sectional Survey.</x:v>
      </x:c>
      <x:c r="E2614" s="28" t="str">
        <x:v>Primary study - cross-sectional</x:v>
      </x:c>
      <x:c r="F2614" s="28" t="str">
        <x:v>Development &amp; presentation; Recognition &amp; diagnosis; Family &amp; education; Social &amp; structural; Environmental &amp; lifestyle</x:v>
      </x:c>
      <x:c r="G2614" s="28" t="str">
        <x:v>Adolescence; Adulthood</x:v>
      </x:c>
      <x:c r="H2614" s="28" t="str">
        <x:v>Later specialized</x:v>
      </x:c>
      <x:c r="I2614" s="28" t="str">
        <x:v>Direct or strongly ADHD-related record retained for later screening; typically narrower treatment, biomarker, mechanistic, or single-comorbidity focus.</x:v>
      </x:c>
      <x:c r="J2614" s="38" t="e">
        <x:f>HYPERLINK("https://pubmed.ncbi.nlm.nih.gov/"&amp;C2614&amp;"/","Open PubMed")</x:f>
        <x:v>HYPERLINK is not implemented. linkLocation=https://pubmed.ncbi.nlm.nih.gov/39412584/, friendlyName=Open PubMed</x:v>
      </x:c>
    </x:row>
    <x:row r="2615">
      <x:c r="A2615" s="26" t="str">
        <x:v>PUBMED-39081141</x:v>
      </x:c>
      <x:c r="B2615" s="26" t="n">
        <x:v>2026</x:v>
      </x:c>
      <x:c r="C2615" s="26" t="str">
        <x:v>39081141</x:v>
      </x:c>
      <x:c r="D2615" s="28" t="str">
        <x:v>The effect of cognitive orientation to daily occupational performance in children with attention deficit hyperactivity disorder: A pilot randomized controlled study.</x:v>
      </x:c>
      <x:c r="E2615" s="28" t="str">
        <x:v>Primary study - randomized controlled trial</x:v>
      </x:c>
      <x:c r="F2615" s="28" t="str">
        <x:v>Development &amp; presentation; Recognition &amp; diagnosis; Social &amp; structural; Treatment &amp; support; Life outcomes &amp; lived experience</x:v>
      </x:c>
      <x:c r="G2615" s="28" t="str">
        <x:v>Childhood</x:v>
      </x:c>
      <x:c r="H2615" s="28" t="str">
        <x:v>Later specialized</x:v>
      </x:c>
      <x:c r="I2615" s="28" t="str">
        <x:v>Direct or strongly ADHD-related record retained for later screening; typically narrower treatment, biomarker, mechanistic, or single-comorbidity focus.</x:v>
      </x:c>
      <x:c r="J2615" s="38" t="e">
        <x:f>HYPERLINK("https://pubmed.ncbi.nlm.nih.gov/"&amp;C2615&amp;"/","Open PubMed")</x:f>
        <x:v>HYPERLINK is not implemented. linkLocation=https://pubmed.ncbi.nlm.nih.gov/39081141/, friendlyName=Open PubMed</x:v>
      </x:c>
    </x:row>
    <x:row r="2616">
      <x:c r="A2616" s="26" t="str">
        <x:v>PUBMED-38996080</x:v>
      </x:c>
      <x:c r="B2616" s="26" t="n">
        <x:v>2026</x:v>
      </x:c>
      <x:c r="C2616" s="26" t="str">
        <x:v>38996080</x:v>
      </x:c>
      <x:c r="D2616" s="28" t="str">
        <x:v>Role of visual brainwave entrainment on the resting state brainwaves of children with and without attention-deficit/hyperactivity disorder.</x:v>
      </x:c>
      <x:c r="E2616" s="28" t="str">
        <x:v>Primary/contextual journal article</x:v>
      </x:c>
      <x:c r="F2616" s="28" t="str">
        <x:v>Development &amp; presentation; Recognition &amp; diagnosis; Social &amp; structural; Treatment &amp; support; Life outcomes &amp; lived experience</x:v>
      </x:c>
      <x:c r="G2616" s="28" t="str">
        <x:v>Childhood; Adolescence</x:v>
      </x:c>
      <x:c r="H2616" s="28" t="str">
        <x:v>Later specialized</x:v>
      </x:c>
      <x:c r="I2616" s="28" t="str">
        <x:v>Direct or strongly ADHD-related record retained for later screening; typically narrower treatment, biomarker, mechanistic, or single-comorbidity focus.</x:v>
      </x:c>
      <x:c r="J2616" s="38" t="e">
        <x:f>HYPERLINK("https://pubmed.ncbi.nlm.nih.gov/"&amp;C2616&amp;"/","Open PubMed")</x:f>
        <x:v>HYPERLINK is not implemented. linkLocation=https://pubmed.ncbi.nlm.nih.gov/38996080/, friendlyName=Open PubMed</x:v>
      </x:c>
    </x:row>
    <x:row r="2617">
      <x:c r="A2617" s="26" t="str">
        <x:v>PUBMED-38935209</x:v>
      </x:c>
      <x:c r="B2617" s="26" t="n">
        <x:v>2026</x:v>
      </x:c>
      <x:c r="C2617" s="26" t="str">
        <x:v>38935209</x:v>
      </x:c>
      <x:c r="D2617" s="28" t="str">
        <x:v>Commercially Sexually Exploited Adolescent Girls: The Association Between Externalizing Disorders and Parental Incarceration with Suicide Attempts.</x:v>
      </x:c>
      <x:c r="E2617" s="28" t="str">
        <x:v>Primary study - cross-sectional</x:v>
      </x:c>
      <x:c r="F2617" s="28" t="str">
        <x:v>Development &amp; presentation; Family &amp; education; Social &amp; structural</x:v>
      </x:c>
      <x:c r="G2617" s="28" t="str">
        <x:v>Childhood; Adolescence</x:v>
      </x:c>
      <x:c r="H2617" s="28" t="str">
        <x:v>Later specialized</x:v>
      </x:c>
      <x:c r="I2617" s="28" t="str">
        <x:v>Direct or strongly ADHD-related record retained for later screening; typically narrower treatment, biomarker, mechanistic, or single-comorbidity focus.</x:v>
      </x:c>
      <x:c r="J2617" s="38" t="e">
        <x:f>HYPERLINK("https://pubmed.ncbi.nlm.nih.gov/"&amp;C2617&amp;"/","Open PubMed")</x:f>
        <x:v>HYPERLINK is not implemented. linkLocation=https://pubmed.ncbi.nlm.nih.gov/38935209/, friendlyName=Open PubMed</x:v>
      </x:c>
    </x:row>
    <x:row r="2618">
      <x:c r="A2618" s="26" t="str">
        <x:v>PUBMED-38859564</x:v>
      </x:c>
      <x:c r="B2618" s="26" t="n">
        <x:v>2026</x:v>
      </x:c>
      <x:c r="C2618" s="26" t="str">
        <x:v>38859564</x:v>
      </x:c>
      <x:c r="D2618" s="28" t="str">
        <x:v>Assessing adherence and clinical utility of modified goal management training for adolescents with ADHD: A pilot study.</x:v>
      </x:c>
      <x:c r="E2618" s="28" t="str">
        <x:v>Primary/contextual journal article</x:v>
      </x:c>
      <x:c r="F2618" s="28" t="str">
        <x:v>Development &amp; presentation; Recognition &amp; diagnosis; Family &amp; education; Social &amp; structural; Treatment &amp; support; Life outcomes &amp; lived experience; Historical &amp; contemporary context</x:v>
      </x:c>
      <x:c r="G2618" s="28" t="str">
        <x:v>Adolescence</x:v>
      </x:c>
      <x:c r="H2618" s="28" t="str">
        <x:v>Later specialized</x:v>
      </x:c>
      <x:c r="I2618" s="28" t="str">
        <x:v>Direct or strongly ADHD-related record retained for later screening; typically narrower treatment, biomarker, mechanistic, or single-comorbidity focus.</x:v>
      </x:c>
      <x:c r="J2618" s="38" t="e">
        <x:f>HYPERLINK("https://pubmed.ncbi.nlm.nih.gov/"&amp;C2618&amp;"/","Open PubMed")</x:f>
        <x:v>HYPERLINK is not implemented. linkLocation=https://pubmed.ncbi.nlm.nih.gov/38859564/, friendlyName=Open PubMed</x:v>
      </x:c>
    </x:row>
    <x:row r="2619">
      <x:c r="A2619" s="26" t="str">
        <x:v>PUBMED-42749337</x:v>
      </x:c>
      <x:c r="B2619" s="26" t="n">
        <x:v>2026</x:v>
      </x:c>
      <x:c r="C2619" s="26" t="str">
        <x:v>42749337</x:v>
      </x:c>
      <x:c r="D2619" s="28" t="str">
        <x:v>Regulatory reform and adult methylphenidate dispensing in France: a nationwide interrupted time-series study.</x:v>
      </x:c>
      <x:c r="E2619" s="28" t="str">
        <x:v>Primary study - cohort</x:v>
      </x:c>
      <x:c r="F2619" s="28" t="str">
        <x:v>Development &amp; presentation; Social &amp; structural; Treatment &amp; support; Historical &amp; contemporary context</x:v>
      </x:c>
      <x:c r="G2619" s="28" t="str">
        <x:v>Adulthood</x:v>
      </x:c>
      <x:c r="H2619" s="28" t="str">
        <x:v>Later specialized</x:v>
      </x:c>
      <x:c r="I2619" s="28" t="str">
        <x:v>Direct or strongly ADHD-related record retained for later screening; typically narrower treatment, biomarker, mechanistic, or single-comorbidity focus.</x:v>
      </x:c>
      <x:c r="J2619" s="38" t="e">
        <x:f>HYPERLINK("https://pubmed.ncbi.nlm.nih.gov/"&amp;C2619&amp;"/","Open PubMed")</x:f>
        <x:v>HYPERLINK is not implemented. linkLocation=https://pubmed.ncbi.nlm.nih.gov/42749337/, friendlyName=Open PubMed</x:v>
      </x:c>
    </x:row>
    <x:row r="2620">
      <x:c r="A2620" s="26" t="str">
        <x:v>PUBMED-42288792</x:v>
      </x:c>
      <x:c r="B2620" s="26" t="n">
        <x:v>2026</x:v>
      </x:c>
      <x:c r="C2620" s="26" t="str">
        <x:v>42288792</x:v>
      </x:c>
      <x:c r="D2620" s="28" t="str">
        <x:v>Retrospectively reported childhood ADHD symptoms and addiction severity in emerging adults with substance use disorders: cross-sectional indirect associations through time perspective.</x:v>
      </x:c>
      <x:c r="E2620" s="28" t="str">
        <x:v>Primary study - cross-sectional</x:v>
      </x:c>
      <x:c r="F2620" s="28" t="str">
        <x:v>Development &amp; presentation; Recognition &amp; diagnosis; Social &amp; structural; Environmental &amp; lifestyle; Treatment &amp; support; Life outcomes &amp; lived experience</x:v>
      </x:c>
      <x:c r="G2620" s="28" t="str">
        <x:v>Childhood; Adolescence; Adulthood</x:v>
      </x:c>
      <x:c r="H2620" s="28" t="str">
        <x:v>Later specialized</x:v>
      </x:c>
      <x:c r="I2620" s="28" t="str">
        <x:v>Direct or strongly ADHD-related record retained for later screening; typically narrower treatment, biomarker, mechanistic, or single-comorbidity focus.</x:v>
      </x:c>
      <x:c r="J2620" s="38" t="e">
        <x:f>HYPERLINK("https://pubmed.ncbi.nlm.nih.gov/"&amp;C2620&amp;"/","Open PubMed")</x:f>
        <x:v>HYPERLINK is not implemented. linkLocation=https://pubmed.ncbi.nlm.nih.gov/42288792/, friendlyName=Open PubMed</x:v>
      </x:c>
    </x:row>
    <x:row r="2621">
      <x:c r="A2621" s="26" t="str">
        <x:v>PUBMED-41076155</x:v>
      </x:c>
      <x:c r="B2621" s="26" t="n">
        <x:v>2026</x:v>
      </x:c>
      <x:c r="C2621" s="26" t="str">
        <x:v>41076155</x:v>
      </x:c>
      <x:c r="D2621" s="28" t="str">
        <x:v>Youth on the autism spectrum hospitalized for suicide related thoughts and behaviors: Characteristics and perspectives from the field.</x:v>
      </x:c>
      <x:c r="E2621" s="28" t="str">
        <x:v>Primary study - qualitative</x:v>
      </x:c>
      <x:c r="F2621" s="28" t="str">
        <x:v>Development &amp; presentation; Recognition &amp; diagnosis; Family &amp; education; Social &amp; structural; Environmental &amp; lifestyle; Life outcomes &amp; lived experience</x:v>
      </x:c>
      <x:c r="G2621" s="28" t="str">
        <x:v>Childhood; Adolescence</x:v>
      </x:c>
      <x:c r="H2621" s="28" t="str">
        <x:v>Exclude/incidental</x:v>
      </x:c>
      <x:c r="I2621" s="28" t="str">
        <x:v>ADHD appears peripheral or insufficiently aligned with the requested corpus scope based on accessible metadata/abstract.</x:v>
      </x:c>
      <x:c r="J2621" s="38" t="e">
        <x:f>HYPERLINK("https://pubmed.ncbi.nlm.nih.gov/"&amp;C2621&amp;"/","Open PubMed")</x:f>
        <x:v>HYPERLINK is not implemented. linkLocation=https://pubmed.ncbi.nlm.nih.gov/41076155/, friendlyName=Open PubMed</x:v>
      </x:c>
    </x:row>
    <x:row r="2622">
      <x:c r="A2622" s="26" t="str">
        <x:v>PUBMED-41879883</x:v>
      </x:c>
      <x:c r="B2622" s="26" t="n">
        <x:v>2026</x:v>
      </x:c>
      <x:c r="C2622" s="26" t="str">
        <x:v>41879883</x:v>
      </x:c>
      <x:c r="D2622" s="28" t="str">
        <x:v>Emotion Dysregulation in Children with ADHD: Irritability is Associated with EEG-Measured Frontal Alpha Asymmetry in Response to Emotional Stimuli.</x:v>
      </x:c>
      <x:c r="E2622" s="28" t="str">
        <x:v>Primary/contextual journal article</x:v>
      </x:c>
      <x:c r="F2622" s="28" t="str">
        <x:v>Development &amp; presentation; Recognition &amp; diagnosis; Family &amp; education; Social &amp; structural</x:v>
      </x:c>
      <x:c r="G2622" s="28" t="str">
        <x:v>Childhood</x:v>
      </x:c>
      <x:c r="H2622" s="28" t="str">
        <x:v>Later specialized</x:v>
      </x:c>
      <x:c r="I2622" s="28" t="str">
        <x:v>Direct or strongly ADHD-related record retained for later screening; typically narrower treatment, biomarker, mechanistic, or single-comorbidity focus.</x:v>
      </x:c>
      <x:c r="J2622" s="38" t="e">
        <x:f>HYPERLINK("https://pubmed.ncbi.nlm.nih.gov/"&amp;C2622&amp;"/","Open PubMed")</x:f>
        <x:v>HYPERLINK is not implemented. linkLocation=https://pubmed.ncbi.nlm.nih.gov/41879883/, friendlyName=Open PubMed</x:v>
      </x:c>
    </x:row>
    <x:row r="2623">
      <x:c r="A2623" s="26" t="str">
        <x:v>PUBMED-41557094</x:v>
      </x:c>
      <x:c r="B2623" s="26" t="n">
        <x:v>2026</x:v>
      </x:c>
      <x:c r="C2623" s="26" t="str">
        <x:v>41557094</x:v>
      </x:c>
      <x:c r="D2623" s="28" t="str">
        <x:v>Biomarkers for predominantly inattentive ADHD: potential involvement of Wnt/β-catenin/integrin signaling in a spontaneously hypertensive rat.</x:v>
      </x:c>
      <x:c r="E2623" s="28" t="str">
        <x:v>Primary/contextual journal article</x:v>
      </x:c>
      <x:c r="F2623" s="28" t="str">
        <x:v>Development &amp; presentation; Recognition &amp; diagnosis; Social &amp; structural; Treatment &amp; support; Life outcomes &amp; lived experience</x:v>
      </x:c>
      <x:c r="G2623" s="28" t="str">
        <x:v>Not specified</x:v>
      </x:c>
      <x:c r="H2623" s="28" t="str">
        <x:v>Exclude/incidental</x:v>
      </x:c>
      <x:c r="I2623" s="28" t="str">
        <x:v>Animal-only record; retained outside the human-focused core corpus.</x:v>
      </x:c>
      <x:c r="J2623" s="38" t="e">
        <x:f>HYPERLINK("https://pubmed.ncbi.nlm.nih.gov/"&amp;C2623&amp;"/","Open PubMed")</x:f>
        <x:v>HYPERLINK is not implemented. linkLocation=https://pubmed.ncbi.nlm.nih.gov/41557094/, friendlyName=Open PubMed</x:v>
      </x:c>
    </x:row>
    <x:row r="2624">
      <x:c r="A2624" s="26" t="str">
        <x:v>PUBMED-41062256</x:v>
      </x:c>
      <x:c r="B2624" s="26" t="n">
        <x:v>2026</x:v>
      </x:c>
      <x:c r="C2624" s="26" t="str">
        <x:v>41062256</x:v>
      </x:c>
      <x:c r="D2624" s="28" t="str">
        <x:v>School readiness as a signal of attention-deficit hyperactivity disorder: a population-based cohort study highlighting structural inequalities.</x:v>
      </x:c>
      <x:c r="E2624" s="28" t="str">
        <x:v>Primary study - cohort</x:v>
      </x:c>
      <x:c r="F2624" s="28" t="str">
        <x:v>Development &amp; presentation; Recognition &amp; diagnosis; Family &amp; education; Social &amp; structural</x:v>
      </x:c>
      <x:c r="G2624" s="28" t="str">
        <x:v>Childhood</x:v>
      </x:c>
      <x:c r="H2624" s="28" t="str">
        <x:v>Batch 1 core</x:v>
      </x:c>
      <x:c r="I2624" s="28" t="str">
        <x:v>Direct ADHD primary study on diagnosis, family/education, structural conditions, lived experience/outcomes, or environment/lifestyle.</x:v>
      </x:c>
      <x:c r="J2624" s="38" t="e">
        <x:f>HYPERLINK("https://pubmed.ncbi.nlm.nih.gov/"&amp;C2624&amp;"/","Open PubMed")</x:f>
        <x:v>HYPERLINK is not implemented. linkLocation=https://pubmed.ncbi.nlm.nih.gov/41062256/, friendlyName=Open PubMed</x:v>
      </x:c>
    </x:row>
    <x:row r="2625">
      <x:c r="A2625" s="26" t="str">
        <x:v>PUBMED-42085350</x:v>
      </x:c>
      <x:c r="B2625" s="26" t="n">
        <x:v>2026</x:v>
      </x:c>
      <x:c r="C2625" s="26" t="str">
        <x:v>42085350</x:v>
      </x:c>
      <x:c r="D2625" s="28" t="str">
        <x:v>Are Social Problems in Children with ADHD Due to Knowledge Gaps or Performance Difficulties? An Examination of Competing Model Predictions.</x:v>
      </x:c>
      <x:c r="E2625" s="28" t="str">
        <x:v>Primary/contextual journal article</x:v>
      </x:c>
      <x:c r="F2625" s="28" t="str">
        <x:v>Development &amp; presentation; Family &amp; education; Social &amp; structural; Treatment &amp; support</x:v>
      </x:c>
      <x:c r="G2625" s="28" t="str">
        <x:v>Childhood; Adolescence</x:v>
      </x:c>
      <x:c r="H2625" s="28" t="str">
        <x:v>Later specialized</x:v>
      </x:c>
      <x:c r="I2625" s="28" t="str">
        <x:v>Direct or strongly ADHD-related record retained for later screening; typically narrower treatment, biomarker, mechanistic, or single-comorbidity focus.</x:v>
      </x:c>
      <x:c r="J2625" s="38" t="e">
        <x:f>HYPERLINK("https://pubmed.ncbi.nlm.nih.gov/"&amp;C2625&amp;"/","Open PubMed")</x:f>
        <x:v>HYPERLINK is not implemented. linkLocation=https://pubmed.ncbi.nlm.nih.gov/42085350/, friendlyName=Open PubMed</x:v>
      </x:c>
    </x:row>
    <x:row r="2626">
      <x:c r="A2626" s="26" t="str">
        <x:v>PUBMED-42075578</x:v>
      </x:c>
      <x:c r="B2626" s="26" t="n">
        <x:v>2026</x:v>
      </x:c>
      <x:c r="C2626" s="26" t="str">
        <x:v>42075578</x:v>
      </x:c>
      <x:c r="D2626" s="28" t="str">
        <x:v>Age-Dependent Risk Factors in Pediatric Sleep-Disordered Breathing: A Large-Scale Cross-Sectional Study.</x:v>
      </x:c>
      <x:c r="E2626" s="28" t="str">
        <x:v>Primary study - cross-sectional</x:v>
      </x:c>
      <x:c r="F2626" s="28" t="str">
        <x:v>Development &amp; presentation; Recognition &amp; diagnosis; Family &amp; education; Environmental &amp; lifestyle; Treatment &amp; support</x:v>
      </x:c>
      <x:c r="G2626" s="28" t="str">
        <x:v>Childhood; Adolescence</x:v>
      </x:c>
      <x:c r="H2626" s="28" t="str">
        <x:v>Later specialized</x:v>
      </x:c>
      <x:c r="I2626" s="28" t="str">
        <x:v>Direct or strongly ADHD-related record retained for later screening; typically narrower treatment, biomarker, mechanistic, or single-comorbidity focus.</x:v>
      </x:c>
      <x:c r="J2626" s="38" t="e">
        <x:f>HYPERLINK("https://pubmed.ncbi.nlm.nih.gov/"&amp;C2626&amp;"/","Open PubMed")</x:f>
        <x:v>HYPERLINK is not implemented. linkLocation=https://pubmed.ncbi.nlm.nih.gov/42075578/, friendlyName=Open PubMed</x:v>
      </x:c>
    </x:row>
    <x:row r="2627">
      <x:c r="A2627" s="26" t="str">
        <x:v>PUBMED-42074098</x:v>
      </x:c>
      <x:c r="B2627" s="26" t="n">
        <x:v>2026</x:v>
      </x:c>
      <x:c r="C2627" s="26" t="str">
        <x:v>42074098</x:v>
      </x:c>
      <x:c r="D2627" s="28" t="str">
        <x:v>The Use of Psychedelics in the Treatment of Adult ADHD: A Systematic and Mechanistic Review.</x:v>
      </x:c>
      <x:c r="E2627" s="28" t="str">
        <x:v>Evidence synthesis - systematic review</x:v>
      </x:c>
      <x:c r="F2627" s="28" t="str">
        <x:v>Development &amp; presentation; Recognition &amp; diagnosis; Social &amp; structural; Environmental &amp; lifestyle; Treatment &amp; support; Life outcomes &amp; lived experience; Historical &amp; contemporary context</x:v>
      </x:c>
      <x:c r="G2627" s="28" t="str">
        <x:v>Adulthood</x:v>
      </x:c>
      <x:c r="H2627" s="28" t="str">
        <x:v>Batch 1 core</x:v>
      </x:c>
      <x:c r="I2627" s="28" t="str">
        <x:v>Direct ADHD evidence synthesis/guideline with broad multi-topic relevance.</x:v>
      </x:c>
      <x:c r="J2627" s="38" t="e">
        <x:f>HYPERLINK("https://pubmed.ncbi.nlm.nih.gov/"&amp;C2627&amp;"/","Open PubMed")</x:f>
        <x:v>HYPERLINK is not implemented. linkLocation=https://pubmed.ncbi.nlm.nih.gov/42074098/, friendlyName=Open PubMed</x:v>
      </x:c>
    </x:row>
    <x:row r="2628">
      <x:c r="A2628" s="26" t="str">
        <x:v>PUBMED-42072651</x:v>
      </x:c>
      <x:c r="B2628" s="26" t="n">
        <x:v>2026</x:v>
      </x:c>
      <x:c r="C2628" s="26" t="str">
        <x:v>42072651</x:v>
      </x:c>
      <x:c r="D2628" s="28" t="str">
        <x:v>Role of Mast Cells and Neuroinflammation in Neuropsychiatric Disorders of the Developmental Period.</x:v>
      </x:c>
      <x:c r="E2628" s="28" t="str">
        <x:v>Evidence synthesis - review</x:v>
      </x:c>
      <x:c r="F2628" s="28" t="str">
        <x:v>Development &amp; presentation; Social &amp; structural; Treatment &amp; support; Life outcomes &amp; lived experience</x:v>
      </x:c>
      <x:c r="G2628" s="28" t="str">
        <x:v>Childhood; Adolescence</x:v>
      </x:c>
      <x:c r="H2628" s="28" t="str">
        <x:v>Exclude/incidental</x:v>
      </x:c>
      <x:c r="I2628" s="28" t="str">
        <x:v>ADHD appears peripheral or insufficiently aligned with the requested corpus scope based on accessible metadata/abstract.</x:v>
      </x:c>
      <x:c r="J2628" s="38" t="e">
        <x:f>HYPERLINK("https://pubmed.ncbi.nlm.nih.gov/"&amp;C2628&amp;"/","Open PubMed")</x:f>
        <x:v>HYPERLINK is not implemented. linkLocation=https://pubmed.ncbi.nlm.nih.gov/42072651/, friendlyName=Open PubMed</x:v>
      </x:c>
    </x:row>
    <x:row r="2629">
      <x:c r="A2629" s="26" t="str">
        <x:v>PUBMED-42069429</x:v>
      </x:c>
      <x:c r="B2629" s="26" t="n">
        <x:v>2026</x:v>
      </x:c>
      <x:c r="C2629" s="26" t="str">
        <x:v>42069429</x:v>
      </x:c>
      <x:c r="D2629" s="28" t="str">
        <x:v>GENDER DIFFERENCES IN EMOTIONAL REGULATION AMONG ADOLESCENTS WITH ELEVATED ADHD SYMPTOMS: A SCHOOL-BASED STUDY.</x:v>
      </x:c>
      <x:c r="E2629" s="28" t="str">
        <x:v>Primary study - cross-sectional</x:v>
      </x:c>
      <x:c r="F2629" s="28" t="str">
        <x:v>Development &amp; presentation; Recognition &amp; diagnosis; Family &amp; education; Social &amp; structural; Treatment &amp; support; Life outcomes &amp; lived experience</x:v>
      </x:c>
      <x:c r="G2629" s="28" t="str">
        <x:v>Childhood; Adolescence</x:v>
      </x:c>
      <x:c r="H2629" s="28" t="str">
        <x:v>Batch 1 core</x:v>
      </x:c>
      <x:c r="I2629" s="28" t="str">
        <x:v>Direct ADHD primary study on diagnosis, family/education, structural conditions, lived experience/outcomes, or environment/lifestyle.</x:v>
      </x:c>
      <x:c r="J2629" s="38" t="e">
        <x:f>HYPERLINK("https://pubmed.ncbi.nlm.nih.gov/"&amp;C2629&amp;"/","Open PubMed")</x:f>
        <x:v>HYPERLINK is not implemented. linkLocation=https://pubmed.ncbi.nlm.nih.gov/42069429/, friendlyName=Open PubMed</x:v>
      </x:c>
    </x:row>
    <x:row r="2630">
      <x:c r="A2630" s="26" t="str">
        <x:v>PUBMED-42066481</x:v>
      </x:c>
      <x:c r="B2630" s="26" t="n">
        <x:v>2026</x:v>
      </x:c>
      <x:c r="C2630" s="26" t="str">
        <x:v>42066481</x:v>
      </x:c>
      <x:c r="D2630" s="28" t="str">
        <x:v>Perceived stress and addiction severity in adults with ADHD: A multi-domain analysis.</x:v>
      </x:c>
      <x:c r="E2630" s="28" t="str">
        <x:v>Primary/contextual journal article</x:v>
      </x:c>
      <x:c r="F2630" s="28" t="str">
        <x:v>Development &amp; presentation; Environmental &amp; lifestyle; Historical &amp; contemporary context</x:v>
      </x:c>
      <x:c r="G2630" s="28" t="str">
        <x:v>Adulthood</x:v>
      </x:c>
      <x:c r="H2630" s="28" t="str">
        <x:v>Later specialized</x:v>
      </x:c>
      <x:c r="I2630" s="28" t="str">
        <x:v>Direct or strongly ADHD-related record retained for later screening; typically narrower treatment, biomarker, mechanistic, or single-comorbidity focus.</x:v>
      </x:c>
      <x:c r="J2630" s="38" t="e">
        <x:f>HYPERLINK("https://pubmed.ncbi.nlm.nih.gov/"&amp;C2630&amp;"/","Open PubMed")</x:f>
        <x:v>HYPERLINK is not implemented. linkLocation=https://pubmed.ncbi.nlm.nih.gov/42066481/, friendlyName=Open PubMed</x:v>
      </x:c>
    </x:row>
    <x:row r="2631">
      <x:c r="A2631" s="26" t="str">
        <x:v>PUBMED-42063172</x:v>
      </x:c>
      <x:c r="B2631" s="26" t="n">
        <x:v>2026</x:v>
      </x:c>
      <x:c r="C2631" s="26" t="str">
        <x:v>42063172</x:v>
      </x:c>
      <x:c r="D2631" s="28" t="str">
        <x:v>Neurological and biological correlations of ODD with ADHD in children and adolescents: a systematic review.</x:v>
      </x:c>
      <x:c r="E2631" s="28" t="str">
        <x:v>Evidence synthesis - systematic review</x:v>
      </x:c>
      <x:c r="F2631" s="28" t="str">
        <x:v>Development &amp; presentation; Recognition &amp; diagnosis; Social &amp; structural; Environmental &amp; lifestyle; Treatment &amp; support</x:v>
      </x:c>
      <x:c r="G2631" s="28" t="str">
        <x:v>Childhood; Adolescence</x:v>
      </x:c>
      <x:c r="H2631" s="28" t="str">
        <x:v>Batch 1 core</x:v>
      </x:c>
      <x:c r="I2631" s="28" t="str">
        <x:v>Direct ADHD evidence synthesis/guideline with broad multi-topic relevance.</x:v>
      </x:c>
      <x:c r="J2631" s="38" t="e">
        <x:f>HYPERLINK("https://pubmed.ncbi.nlm.nih.gov/"&amp;C2631&amp;"/","Open PubMed")</x:f>
        <x:v>HYPERLINK is not implemented. linkLocation=https://pubmed.ncbi.nlm.nih.gov/42063172/, friendlyName=Open PubMed</x:v>
      </x:c>
    </x:row>
    <x:row r="2632">
      <x:c r="A2632" s="26" t="str">
        <x:v>PUBMED-42061059</x:v>
      </x:c>
      <x:c r="B2632" s="26" t="n">
        <x:v>2026</x:v>
      </x:c>
      <x:c r="C2632" s="26" t="str">
        <x:v>42061059</x:v>
      </x:c>
      <x:c r="D2632" s="28" t="str">
        <x:v>Educational robotics and augmented reality for improving social skills of children with ADHD: A scoping review.</x:v>
      </x:c>
      <x:c r="E2632" s="28" t="str">
        <x:v>Evidence synthesis - review</x:v>
      </x:c>
      <x:c r="F2632" s="28" t="str">
        <x:v>Development &amp; presentation; Recognition &amp; diagnosis; Family &amp; education; Social &amp; structural; Life outcomes &amp; lived experience</x:v>
      </x:c>
      <x:c r="G2632" s="28" t="str">
        <x:v>Childhood</x:v>
      </x:c>
      <x:c r="H2632" s="28" t="str">
        <x:v>Batch 1 core</x:v>
      </x:c>
      <x:c r="I2632" s="28" t="str">
        <x:v>Direct ADHD evidence synthesis/guideline with broad multi-topic relevance.</x:v>
      </x:c>
      <x:c r="J2632" s="38" t="e">
        <x:f>HYPERLINK("https://pubmed.ncbi.nlm.nih.gov/"&amp;C2632&amp;"/","Open PubMed")</x:f>
        <x:v>HYPERLINK is not implemented. linkLocation=https://pubmed.ncbi.nlm.nih.gov/42061059/, friendlyName=Open PubMed</x:v>
      </x:c>
    </x:row>
    <x:row r="2633">
      <x:c r="A2633" s="26" t="str">
        <x:v>PUBMED-42049449</x:v>
      </x:c>
      <x:c r="B2633" s="26" t="n">
        <x:v>2026</x:v>
      </x:c>
      <x:c r="C2633" s="26" t="str">
        <x:v>42049449</x:v>
      </x:c>
      <x:c r="D2633" s="28" t="str">
        <x:v>Pain in Children With ADHD: Mechanisms, Clinical Presentation, and Implications for Assessment and Management.</x:v>
      </x:c>
      <x:c r="E2633" s="28" t="str">
        <x:v>Evidence synthesis - review</x:v>
      </x:c>
      <x:c r="F2633" s="28" t="str">
        <x:v>Development &amp; presentation; Recognition &amp; diagnosis; Social &amp; structural; Treatment &amp; support</x:v>
      </x:c>
      <x:c r="G2633" s="28" t="str">
        <x:v>Childhood</x:v>
      </x:c>
      <x:c r="H2633" s="28" t="str">
        <x:v>Later specialized</x:v>
      </x:c>
      <x:c r="I2633" s="28" t="str">
        <x:v>Direct or strongly ADHD-related record retained for later screening; typically narrower treatment, biomarker, mechanistic, or single-comorbidity focus.</x:v>
      </x:c>
      <x:c r="J2633" s="38" t="e">
        <x:f>HYPERLINK("https://pubmed.ncbi.nlm.nih.gov/"&amp;C2633&amp;"/","Open PubMed")</x:f>
        <x:v>HYPERLINK is not implemented. linkLocation=https://pubmed.ncbi.nlm.nih.gov/42049449/, friendlyName=Open PubMed</x:v>
      </x:c>
    </x:row>
    <x:row r="2634">
      <x:c r="A2634" s="26" t="str">
        <x:v>PUBMED-42046011</x:v>
      </x:c>
      <x:c r="B2634" s="26" t="n">
        <x:v>2026</x:v>
      </x:c>
      <x:c r="C2634" s="26" t="str">
        <x:v>42046011</x:v>
      </x:c>
      <x:c r="D2634" s="28" t="str">
        <x:v>Psychometric properties of the Conners' 3-parent rating scale in a clinical sample of Iranian children.</x:v>
      </x:c>
      <x:c r="E2634" s="28" t="str">
        <x:v>Primary/contextual journal article</x:v>
      </x:c>
      <x:c r="F2634" s="28" t="str">
        <x:v>Development &amp; presentation; Recognition &amp; diagnosis; Family &amp; education; Social &amp; structural; Life outcomes &amp; lived experience; Historical &amp; contemporary context</x:v>
      </x:c>
      <x:c r="G2634" s="28" t="str">
        <x:v>Childhood</x:v>
      </x:c>
      <x:c r="H2634" s="28" t="str">
        <x:v>Later specialized</x:v>
      </x:c>
      <x:c r="I2634" s="28" t="str">
        <x:v>Direct or strongly ADHD-related record retained for later screening; typically narrower treatment, biomarker, mechanistic, or single-comorbidity focus.</x:v>
      </x:c>
      <x:c r="J2634" s="38" t="e">
        <x:f>HYPERLINK("https://pubmed.ncbi.nlm.nih.gov/"&amp;C2634&amp;"/","Open PubMed")</x:f>
        <x:v>HYPERLINK is not implemented. linkLocation=https://pubmed.ncbi.nlm.nih.gov/42046011/, friendlyName=Open PubMed</x:v>
      </x:c>
    </x:row>
    <x:row r="2635">
      <x:c r="A2635" s="26" t="str">
        <x:v>PUBMED-42035813</x:v>
      </x:c>
      <x:c r="B2635" s="26" t="n">
        <x:v>2026</x:v>
      </x:c>
      <x:c r="C2635" s="26" t="str">
        <x:v>42035813</x:v>
      </x:c>
      <x:c r="D2635" s="28" t="str">
        <x:v>Cord blood C-reactive protein and ADHD symptoms at age 5: Evidence from two French birth cohorts.</x:v>
      </x:c>
      <x:c r="E2635" s="28" t="str">
        <x:v>Primary study - cohort</x:v>
      </x:c>
      <x:c r="F2635" s="28" t="str">
        <x:v>Development &amp; presentation; Family &amp; education; Social &amp; structural; Environmental &amp; lifestyle; Life outcomes &amp; lived experience</x:v>
      </x:c>
      <x:c r="G2635" s="28" t="str">
        <x:v>Childhood; Adulthood</x:v>
      </x:c>
      <x:c r="H2635" s="28" t="str">
        <x:v>Later specialized</x:v>
      </x:c>
      <x:c r="I2635" s="28" t="str">
        <x:v>Direct or strongly ADHD-related record retained for later screening; typically narrower treatment, biomarker, mechanistic, or single-comorbidity focus.</x:v>
      </x:c>
      <x:c r="J2635" s="38" t="e">
        <x:f>HYPERLINK("https://pubmed.ncbi.nlm.nih.gov/"&amp;C2635&amp;"/","Open PubMed")</x:f>
        <x:v>HYPERLINK is not implemented. linkLocation=https://pubmed.ncbi.nlm.nih.gov/42035813/, friendlyName=Open PubMed</x:v>
      </x:c>
    </x:row>
    <x:row r="2636">
      <x:c r="A2636" s="26" t="str">
        <x:v>PUBMED-42025225</x:v>
      </x:c>
      <x:c r="B2636" s="26" t="n">
        <x:v>2026</x:v>
      </x:c>
      <x:c r="C2636" s="26" t="str">
        <x:v>42025225</x:v>
      </x:c>
      <x:c r="D2636" s="28" t="str">
        <x:v>Psychometric Testing of the Turkish School Setting Interview in Pediatric Neurodevelopmental Disorders.</x:v>
      </x:c>
      <x:c r="E2636" s="28" t="str">
        <x:v>Primary study - cross-sectional</x:v>
      </x:c>
      <x:c r="F2636" s="28" t="str">
        <x:v>Development &amp; presentation; Recognition &amp; diagnosis; Family &amp; education; Social &amp; structural; Environmental &amp; lifestyle; Treatment &amp; support; Life outcomes &amp; lived experience</x:v>
      </x:c>
      <x:c r="G2636" s="28" t="str">
        <x:v>Childhood; Adolescence</x:v>
      </x:c>
      <x:c r="H2636" s="28" t="str">
        <x:v>Exclude/incidental</x:v>
      </x:c>
      <x:c r="I2636" s="28" t="str">
        <x:v>ADHD appears peripheral or insufficiently aligned with the requested corpus scope based on accessible metadata/abstract.</x:v>
      </x:c>
      <x:c r="J2636" s="38" t="e">
        <x:f>HYPERLINK("https://pubmed.ncbi.nlm.nih.gov/"&amp;C2636&amp;"/","Open PubMed")</x:f>
        <x:v>HYPERLINK is not implemented. linkLocation=https://pubmed.ncbi.nlm.nih.gov/42025225/, friendlyName=Open PubMed</x:v>
      </x:c>
    </x:row>
    <x:row r="2637">
      <x:c r="A2637" s="26" t="str">
        <x:v>PUBMED-42019734</x:v>
      </x:c>
      <x:c r="B2637" s="26" t="n">
        <x:v>2026</x:v>
      </x:c>
      <x:c r="C2637" s="26" t="str">
        <x:v>42019734</x:v>
      </x:c>
      <x:c r="D2637" s="28" t="str">
        <x:v>ADHD prediction from individual-space T1 images using a Vision Transformer with a gross-region grid framework.</x:v>
      </x:c>
      <x:c r="E2637" s="28" t="str">
        <x:v>Primary/contextual journal article</x:v>
      </x:c>
      <x:c r="F2637" s="28" t="str">
        <x:v>Development &amp; presentation; Recognition &amp; diagnosis</x:v>
      </x:c>
      <x:c r="G2637" s="28" t="str">
        <x:v>Not specified</x:v>
      </x:c>
      <x:c r="H2637" s="28" t="str">
        <x:v>Later specialized</x:v>
      </x:c>
      <x:c r="I2637" s="28" t="str">
        <x:v>Direct or strongly ADHD-related record retained for later screening; typically narrower treatment, biomarker, mechanistic, or single-comorbidity focus.</x:v>
      </x:c>
      <x:c r="J2637" s="38" t="e">
        <x:f>HYPERLINK("https://pubmed.ncbi.nlm.nih.gov/"&amp;C2637&amp;"/","Open PubMed")</x:f>
        <x:v>HYPERLINK is not implemented. linkLocation=https://pubmed.ncbi.nlm.nih.gov/42019734/, friendlyName=Open PubMed</x:v>
      </x:c>
    </x:row>
    <x:row r="2638">
      <x:c r="A2638" s="26" t="str">
        <x:v>PUBMED-42015492</x:v>
      </x:c>
      <x:c r="B2638" s="26" t="n">
        <x:v>2026</x:v>
      </x:c>
      <x:c r="C2638" s="26" t="str">
        <x:v>42015492</x:v>
      </x:c>
      <x:c r="D2638" s="28" t="str">
        <x:v>Methylphenidate and Psychotic Symptoms in Children and Adolescents: A Disproportionality Analysis on the WHO Safety Database (VigiBase).</x:v>
      </x:c>
      <x:c r="E2638" s="28" t="str">
        <x:v>Primary/contextual journal article</x:v>
      </x:c>
      <x:c r="F2638" s="28" t="str">
        <x:v>Development &amp; presentation; Family &amp; education; Social &amp; structural; Environmental &amp; lifestyle; Treatment &amp; support</x:v>
      </x:c>
      <x:c r="G2638" s="28" t="str">
        <x:v>Childhood; Adolescence</x:v>
      </x:c>
      <x:c r="H2638" s="28" t="str">
        <x:v>Later specialized</x:v>
      </x:c>
      <x:c r="I2638" s="28" t="str">
        <x:v>Direct or strongly ADHD-related record retained for later screening; typically narrower treatment, biomarker, mechanistic, or single-comorbidity focus.</x:v>
      </x:c>
      <x:c r="J2638" s="38" t="e">
        <x:f>HYPERLINK("https://pubmed.ncbi.nlm.nih.gov/"&amp;C2638&amp;"/","Open PubMed")</x:f>
        <x:v>HYPERLINK is not implemented. linkLocation=https://pubmed.ncbi.nlm.nih.gov/42015492/, friendlyName=Open PubMed</x:v>
      </x:c>
    </x:row>
    <x:row r="2639">
      <x:c r="A2639" s="26" t="str">
        <x:v>PUBMED-42011750</x:v>
      </x:c>
      <x:c r="B2639" s="26" t="n">
        <x:v>2026</x:v>
      </x:c>
      <x:c r="C2639" s="26" t="str">
        <x:v>42011750</x:v>
      </x:c>
      <x:c r="D2639" s="28" t="str">
        <x:v>Use of Attention Deficit Hyperactivity Disorder Medication Among Danish Children and Adolescents From 2010 to 2023.</x:v>
      </x:c>
      <x:c r="E2639" s="28" t="str">
        <x:v>Primary/contextual journal article</x:v>
      </x:c>
      <x:c r="F2639" s="28" t="str">
        <x:v>Development &amp; presentation; Family &amp; education; Social &amp; structural; Treatment &amp; support</x:v>
      </x:c>
      <x:c r="G2639" s="28" t="str">
        <x:v>Childhood; Adolescence</x:v>
      </x:c>
      <x:c r="H2639" s="28" t="str">
        <x:v>Later specialized</x:v>
      </x:c>
      <x:c r="I2639" s="28" t="str">
        <x:v>Direct or strongly ADHD-related record retained for later screening; typically narrower treatment, biomarker, mechanistic, or single-comorbidity focus.</x:v>
      </x:c>
      <x:c r="J2639" s="38" t="e">
        <x:f>HYPERLINK("https://pubmed.ncbi.nlm.nih.gov/"&amp;C2639&amp;"/","Open PubMed")</x:f>
        <x:v>HYPERLINK is not implemented. linkLocation=https://pubmed.ncbi.nlm.nih.gov/42011750/, friendlyName=Open PubMed</x:v>
      </x:c>
    </x:row>
    <x:row r="2640">
      <x:c r="A2640" s="26" t="str">
        <x:v>PUBMED-42007679</x:v>
      </x:c>
      <x:c r="B2640" s="26" t="n">
        <x:v>2026</x:v>
      </x:c>
      <x:c r="C2640" s="26" t="str">
        <x:v>42007679</x:v>
      </x:c>
      <x:c r="D2640" s="28" t="str">
        <x:v>Case for caution in expanding attention deficit hyperactivity disorder prescribing.</x:v>
      </x:c>
      <x:c r="E2640" s="28" t="str">
        <x:v>Evidence synthesis - review</x:v>
      </x:c>
      <x:c r="F2640" s="28" t="str">
        <x:v>Development &amp; presentation; Family &amp; education; Social &amp; structural; Treatment &amp; support</x:v>
      </x:c>
      <x:c r="G2640" s="28" t="str">
        <x:v>Not specified</x:v>
      </x:c>
      <x:c r="H2640" s="28" t="str">
        <x:v>Later specialized</x:v>
      </x:c>
      <x:c r="I2640" s="28" t="str">
        <x:v>Direct or strongly ADHD-related record retained for later screening; typically narrower treatment, biomarker, mechanistic, or single-comorbidity focus.</x:v>
      </x:c>
      <x:c r="J2640" s="38" t="e">
        <x:f>HYPERLINK("https://pubmed.ncbi.nlm.nih.gov/"&amp;C2640&amp;"/","Open PubMed")</x:f>
        <x:v>HYPERLINK is not implemented. linkLocation=https://pubmed.ncbi.nlm.nih.gov/42007679/, friendlyName=Open PubMed</x:v>
      </x:c>
    </x:row>
    <x:row r="2641">
      <x:c r="A2641" s="26" t="str">
        <x:v>PUBMED-41997882</x:v>
      </x:c>
      <x:c r="B2641" s="26" t="n">
        <x:v>2026</x:v>
      </x:c>
      <x:c r="C2641" s="26" t="str">
        <x:v>41997882</x:v>
      </x:c>
      <x:c r="D2641" s="28" t="str">
        <x:v>Comment on "Personality Pathology and Functional Outcomes During Pharmacological Treatment of Adult ADHD".</x:v>
      </x:c>
      <x:c r="E2641" s="28" t="str">
        <x:v>Contextual - editorial/comment</x:v>
      </x:c>
      <x:c r="F2641" s="28" t="str">
        <x:v>Development &amp; presentation; Social &amp; structural; Treatment &amp; support; Life outcomes &amp; lived experience</x:v>
      </x:c>
      <x:c r="G2641" s="28" t="str">
        <x:v>Adulthood</x:v>
      </x:c>
      <x:c r="H2641" s="28" t="str">
        <x:v>Later specialized</x:v>
      </x:c>
      <x:c r="I2641" s="28" t="str">
        <x:v>Direct or strongly ADHD-related record retained for later screening; typically narrower treatment, biomarker, mechanistic, or single-comorbidity focus.</x:v>
      </x:c>
      <x:c r="J2641" s="38" t="e">
        <x:f>HYPERLINK("https://pubmed.ncbi.nlm.nih.gov/"&amp;C2641&amp;"/","Open PubMed")</x:f>
        <x:v>HYPERLINK is not implemented. linkLocation=https://pubmed.ncbi.nlm.nih.gov/41997882/, friendlyName=Open PubMed</x:v>
      </x:c>
    </x:row>
    <x:row r="2642">
      <x:c r="A2642" s="26" t="str">
        <x:v>PUBMED-41997543</x:v>
      </x:c>
      <x:c r="B2642" s="26" t="n">
        <x:v>2026</x:v>
      </x:c>
      <x:c r="C2642" s="26" t="str">
        <x:v>41997543</x:v>
      </x:c>
      <x:c r="D2642" s="28" t="str">
        <x:v>Linking brain and behavior in ADHD traits: A partial least squares analysis reveals somatosensory-motor dysconnectivity as a key neural basis.</x:v>
      </x:c>
      <x:c r="E2642" s="28" t="str">
        <x:v>Primary/contextual journal article</x:v>
      </x:c>
      <x:c r="F2642" s="28" t="str">
        <x:v>Development &amp; presentation; Recognition &amp; diagnosis; Social &amp; structural; Treatment &amp; support</x:v>
      </x:c>
      <x:c r="G2642" s="28" t="str">
        <x:v>Adolescence</x:v>
      </x:c>
      <x:c r="H2642" s="28" t="str">
        <x:v>Later specialized</x:v>
      </x:c>
      <x:c r="I2642" s="28" t="str">
        <x:v>Direct or strongly ADHD-related record retained for later screening; typically narrower treatment, biomarker, mechanistic, or single-comorbidity focus.</x:v>
      </x:c>
      <x:c r="J2642" s="38" t="e">
        <x:f>HYPERLINK("https://pubmed.ncbi.nlm.nih.gov/"&amp;C2642&amp;"/","Open PubMed")</x:f>
        <x:v>HYPERLINK is not implemented. linkLocation=https://pubmed.ncbi.nlm.nih.gov/41997543/, friendlyName=Open PubMed</x:v>
      </x:c>
    </x:row>
    <x:row r="2643">
      <x:c r="A2643" s="26" t="str">
        <x:v>PUBMED-41992767</x:v>
      </x:c>
      <x:c r="B2643" s="26" t="n">
        <x:v>2026</x:v>
      </x:c>
      <x:c r="C2643" s="26" t="str">
        <x:v>41992767</x:v>
      </x:c>
      <x:c r="D2643" s="28" t="str">
        <x:v>Neurofunctional Correlates of Emotional Dysregulation: Systematic Review and ALE Meta-Analysis.</x:v>
      </x:c>
      <x:c r="E2643" s="28" t="str">
        <x:v>Evidence synthesis - meta-analysis</x:v>
      </x:c>
      <x:c r="F2643" s="28" t="str">
        <x:v>Development &amp; presentation; Recognition &amp; diagnosis; Social &amp; structural</x:v>
      </x:c>
      <x:c r="G2643" s="28" t="str">
        <x:v>Not specified</x:v>
      </x:c>
      <x:c r="H2643" s="28" t="str">
        <x:v>Exclude/incidental</x:v>
      </x:c>
      <x:c r="I2643" s="28" t="str">
        <x:v>ADHD appears peripheral or insufficiently aligned with the requested corpus scope based on accessible metadata/abstract.</x:v>
      </x:c>
      <x:c r="J2643" s="38" t="e">
        <x:f>HYPERLINK("https://pubmed.ncbi.nlm.nih.gov/"&amp;C2643&amp;"/","Open PubMed")</x:f>
        <x:v>HYPERLINK is not implemented. linkLocation=https://pubmed.ncbi.nlm.nih.gov/41992767/, friendlyName=Open PubMed</x:v>
      </x:c>
    </x:row>
    <x:row r="2644">
      <x:c r="A2644" s="26" t="str">
        <x:v>PUBMED-41990963</x:v>
      </x:c>
      <x:c r="B2644" s="26" t="n">
        <x:v>2026</x:v>
      </x:c>
      <x:c r="C2644" s="26" t="str">
        <x:v>41990963</x:v>
      </x:c>
      <x:c r="D2644" s="28" t="str">
        <x:v>Chronobiological disruption in ADHD: Developmental mechanisms linking sleep, behavior, and comorbid conditions.</x:v>
      </x:c>
      <x:c r="E2644" s="28" t="str">
        <x:v>Evidence synthesis - review</x:v>
      </x:c>
      <x:c r="F2644" s="28" t="str">
        <x:v>Development &amp; presentation; Social &amp; structural; Environmental &amp; lifestyle; Treatment &amp; support; Life outcomes &amp; lived experience</x:v>
      </x:c>
      <x:c r="G2644" s="28" t="str">
        <x:v>Not specified</x:v>
      </x:c>
      <x:c r="H2644" s="28" t="str">
        <x:v>Later specialized</x:v>
      </x:c>
      <x:c r="I2644" s="28" t="str">
        <x:v>Direct or strongly ADHD-related record retained for later screening; typically narrower treatment, biomarker, mechanistic, or single-comorbidity focus.</x:v>
      </x:c>
      <x:c r="J2644" s="38" t="e">
        <x:f>HYPERLINK("https://pubmed.ncbi.nlm.nih.gov/"&amp;C2644&amp;"/","Open PubMed")</x:f>
        <x:v>HYPERLINK is not implemented. linkLocation=https://pubmed.ncbi.nlm.nih.gov/41990963/, friendlyName=Open PubMed</x:v>
      </x:c>
    </x:row>
    <x:row r="2645">
      <x:c r="A2645" s="26" t="str">
        <x:v>PUBMED-41983470</x:v>
      </x:c>
      <x:c r="B2645" s="26" t="n">
        <x:v>2026</x:v>
      </x:c>
      <x:c r="C2645" s="26" t="str">
        <x:v>41983470</x:v>
      </x:c>
      <x:c r="D2645" s="28" t="str">
        <x:v>Understanding the Relationship Between Early Elementary Children's ADHD Symptoms and Teachers' Needs Supportive Practices.</x:v>
      </x:c>
      <x:c r="E2645" s="28" t="str">
        <x:v>Primary/contextual journal article</x:v>
      </x:c>
      <x:c r="F2645" s="28" t="str">
        <x:v>Development &amp; presentation; Recognition &amp; diagnosis; Family &amp; education; Social &amp; structural; Life outcomes &amp; lived experience</x:v>
      </x:c>
      <x:c r="G2645" s="28" t="str">
        <x:v>Childhood</x:v>
      </x:c>
      <x:c r="H2645" s="28" t="str">
        <x:v>Later specialized</x:v>
      </x:c>
      <x:c r="I2645" s="28" t="str">
        <x:v>Direct or strongly ADHD-related record retained for later screening; typically narrower treatment, biomarker, mechanistic, or single-comorbidity focus.</x:v>
      </x:c>
      <x:c r="J2645" s="38" t="e">
        <x:f>HYPERLINK("https://pubmed.ncbi.nlm.nih.gov/"&amp;C2645&amp;"/","Open PubMed")</x:f>
        <x:v>HYPERLINK is not implemented. linkLocation=https://pubmed.ncbi.nlm.nih.gov/41983470/, friendlyName=Open PubMed</x:v>
      </x:c>
    </x:row>
    <x:row r="2646">
      <x:c r="A2646" s="26" t="str">
        <x:v>PUBMED-41962667</x:v>
      </x:c>
      <x:c r="B2646" s="26" t="n">
        <x:v>2026</x:v>
      </x:c>
      <x:c r="C2646" s="26" t="str">
        <x:v>41962667</x:v>
      </x:c>
      <x:c r="D2646" s="28" t="str">
        <x:v>Decoding emotion regulation in adults with ADHD: Subphenotypes, neural correlates, clinical features, and treatment response.</x:v>
      </x:c>
      <x:c r="E2646" s="28" t="str">
        <x:v>Primary/contextual journal article</x:v>
      </x:c>
      <x:c r="F2646" s="28" t="str">
        <x:v>Development &amp; presentation; Recognition &amp; diagnosis; Social &amp; structural; Treatment &amp; support</x:v>
      </x:c>
      <x:c r="G2646" s="28" t="str">
        <x:v>Adulthood</x:v>
      </x:c>
      <x:c r="H2646" s="28" t="str">
        <x:v>Later specialized</x:v>
      </x:c>
      <x:c r="I2646" s="28" t="str">
        <x:v>Direct or strongly ADHD-related record retained for later screening; typically narrower treatment, biomarker, mechanistic, or single-comorbidity focus.</x:v>
      </x:c>
      <x:c r="J2646" s="38" t="e">
        <x:f>HYPERLINK("https://pubmed.ncbi.nlm.nih.gov/"&amp;C2646&amp;"/","Open PubMed")</x:f>
        <x:v>HYPERLINK is not implemented. linkLocation=https://pubmed.ncbi.nlm.nih.gov/41962667/, friendlyName=Open PubMed</x:v>
      </x:c>
    </x:row>
    <x:row r="2647">
      <x:c r="A2647" s="26" t="str">
        <x:v>PUBMED-41957638</x:v>
      </x:c>
      <x:c r="B2647" s="26" t="n">
        <x:v>2026</x:v>
      </x:c>
      <x:c r="C2647" s="26" t="str">
        <x:v>41957638</x:v>
      </x:c>
      <x:c r="D2647" s="28" t="str">
        <x:v>Hyperactive-impulsive ADHD traits predict higher curiosity in adults: evidence from a cross-sectional study.</x:v>
      </x:c>
      <x:c r="E2647" s="28" t="str">
        <x:v>Primary study - cross-sectional</x:v>
      </x:c>
      <x:c r="F2647" s="28" t="str">
        <x:v>Development &amp; presentation; Recognition &amp; diagnosis; Family &amp; education; Social &amp; structural; Treatment &amp; support; Life outcomes &amp; lived experience</x:v>
      </x:c>
      <x:c r="G2647" s="28" t="str">
        <x:v>Adulthood</x:v>
      </x:c>
      <x:c r="H2647" s="28" t="str">
        <x:v>Later specialized</x:v>
      </x:c>
      <x:c r="I2647" s="28" t="str">
        <x:v>Direct or strongly ADHD-related record retained for later screening; typically narrower treatment, biomarker, mechanistic, or single-comorbidity focus.</x:v>
      </x:c>
      <x:c r="J2647" s="38" t="e">
        <x:f>HYPERLINK("https://pubmed.ncbi.nlm.nih.gov/"&amp;C2647&amp;"/","Open PubMed")</x:f>
        <x:v>HYPERLINK is not implemented. linkLocation=https://pubmed.ncbi.nlm.nih.gov/41957638/, friendlyName=Open PubMed</x:v>
      </x:c>
    </x:row>
    <x:row r="2648">
      <x:c r="A2648" s="26" t="str">
        <x:v>PUBMED-41955907</x:v>
      </x:c>
      <x:c r="B2648" s="26" t="n">
        <x:v>2026</x:v>
      </x:c>
      <x:c r="C2648" s="26" t="str">
        <x:v>41955907</x:v>
      </x:c>
      <x:c r="D2648" s="28" t="str">
        <x:v>PAC-KENReg: An interpretable hypergraph framework capturing nonlinear and dynamic functional connectivity for neuropsychiatric disease diagnosis.</x:v>
      </x:c>
      <x:c r="E2648" s="28" t="str">
        <x:v>Primary/contextual journal article</x:v>
      </x:c>
      <x:c r="F2648" s="28" t="str">
        <x:v>Development &amp; presentation; Recognition &amp; diagnosis; Social &amp; structural; Historical &amp; contemporary context</x:v>
      </x:c>
      <x:c r="G2648" s="28" t="str">
        <x:v>Not specified</x:v>
      </x:c>
      <x:c r="H2648" s="28" t="str">
        <x:v>Later specialized</x:v>
      </x:c>
      <x:c r="I2648" s="28" t="str">
        <x:v>Direct or strongly ADHD-related record retained for later screening; typically narrower treatment, biomarker, mechanistic, or single-comorbidity focus.</x:v>
      </x:c>
      <x:c r="J2648" s="38" t="e">
        <x:f>HYPERLINK("https://pubmed.ncbi.nlm.nih.gov/"&amp;C2648&amp;"/","Open PubMed")</x:f>
        <x:v>HYPERLINK is not implemented. linkLocation=https://pubmed.ncbi.nlm.nih.gov/41955907/, friendlyName=Open PubMed</x:v>
      </x:c>
    </x:row>
    <x:row r="2649">
      <x:c r="A2649" s="26" t="str">
        <x:v>PUBMED-41951976</x:v>
      </x:c>
      <x:c r="B2649" s="26" t="n">
        <x:v>2026</x:v>
      </x:c>
      <x:c r="C2649" s="26" t="str">
        <x:v>41951976</x:v>
      </x:c>
      <x:c r="D2649" s="28" t="str">
        <x:v>Latent Profiles of Callous Unemotional Traits and Conduct Problems in Clinically Referred Youth.</x:v>
      </x:c>
      <x:c r="E2649" s="28" t="str">
        <x:v>Primary/contextual journal article</x:v>
      </x:c>
      <x:c r="F2649" s="28" t="str">
        <x:v>Development &amp; presentation; Recognition &amp; diagnosis; Social &amp; structural; Treatment &amp; support</x:v>
      </x:c>
      <x:c r="G2649" s="28" t="str">
        <x:v>Childhood; Adolescence</x:v>
      </x:c>
      <x:c r="H2649" s="28" t="str">
        <x:v>Exclude/incidental</x:v>
      </x:c>
      <x:c r="I2649" s="28" t="str">
        <x:v>ADHD appears peripheral or insufficiently aligned with the requested corpus scope based on accessible metadata/abstract.</x:v>
      </x:c>
      <x:c r="J2649" s="38" t="e">
        <x:f>HYPERLINK("https://pubmed.ncbi.nlm.nih.gov/"&amp;C2649&amp;"/","Open PubMed")</x:f>
        <x:v>HYPERLINK is not implemented. linkLocation=https://pubmed.ncbi.nlm.nih.gov/41951976/, friendlyName=Open PubMed</x:v>
      </x:c>
    </x:row>
    <x:row r="2650">
      <x:c r="A2650" s="26" t="str">
        <x:v>PUBMED-41947537</x:v>
      </x:c>
      <x:c r="B2650" s="26" t="n">
        <x:v>2026</x:v>
      </x:c>
      <x:c r="C2650" s="26" t="str">
        <x:v>41947537</x:v>
      </x:c>
      <x:c r="D2650" s="28" t="str">
        <x:v>Convergent genetic pathways linking neuropsychiatric and ocular disorders in children.</x:v>
      </x:c>
      <x:c r="E2650" s="28" t="str">
        <x:v>Primary study - cohort</x:v>
      </x:c>
      <x:c r="F2650" s="28" t="str">
        <x:v>Development &amp; presentation; Social &amp; structural; Environmental &amp; lifestyle; Life outcomes &amp; lived experience</x:v>
      </x:c>
      <x:c r="G2650" s="28" t="str">
        <x:v>Childhood</x:v>
      </x:c>
      <x:c r="H2650" s="28" t="str">
        <x:v>Later specialized</x:v>
      </x:c>
      <x:c r="I2650" s="28" t="str">
        <x:v>Direct or strongly ADHD-related record retained for later screening; typically narrower treatment, biomarker, mechanistic, or single-comorbidity focus.</x:v>
      </x:c>
      <x:c r="J2650" s="38" t="e">
        <x:f>HYPERLINK("https://pubmed.ncbi.nlm.nih.gov/"&amp;C2650&amp;"/","Open PubMed")</x:f>
        <x:v>HYPERLINK is not implemented. linkLocation=https://pubmed.ncbi.nlm.nih.gov/41947537/, friendlyName=Open PubMed</x:v>
      </x:c>
    </x:row>
    <x:row r="2651">
      <x:c r="A2651" s="26" t="str">
        <x:v>PUBMED-41945993</x:v>
      </x:c>
      <x:c r="B2651" s="26" t="n">
        <x:v>2026</x:v>
      </x:c>
      <x:c r="C2651" s="26" t="str">
        <x:v>41945993</x:v>
      </x:c>
      <x:c r="D2651" s="28" t="str">
        <x:v>Parenting stressors, social support, and mental health of mothers of children with attention deficit hyperactivity disorder.</x:v>
      </x:c>
      <x:c r="E2651" s="28" t="str">
        <x:v>Primary study - cross-sectional</x:v>
      </x:c>
      <x:c r="F2651" s="28" t="str">
        <x:v>Development &amp; presentation; Recognition &amp; diagnosis; Family &amp; education; Social &amp; structural; Environmental &amp; lifestyle</x:v>
      </x:c>
      <x:c r="G2651" s="28" t="str">
        <x:v>Childhood; Adolescence; Adulthood</x:v>
      </x:c>
      <x:c r="H2651" s="28" t="str">
        <x:v>Batch 1 core</x:v>
      </x:c>
      <x:c r="I2651" s="28" t="str">
        <x:v>Direct ADHD primary study on diagnosis, family/education, structural conditions, lived experience/outcomes, or environment/lifestyle.</x:v>
      </x:c>
      <x:c r="J2651" s="38" t="e">
        <x:f>HYPERLINK("https://pubmed.ncbi.nlm.nih.gov/"&amp;C2651&amp;"/","Open PubMed")</x:f>
        <x:v>HYPERLINK is not implemented. linkLocation=https://pubmed.ncbi.nlm.nih.gov/41945993/, friendlyName=Open PubMed</x:v>
      </x:c>
    </x:row>
    <x:row r="2652">
      <x:c r="A2652" s="26" t="str">
        <x:v>PUBMED-41942587</x:v>
      </x:c>
      <x:c r="B2652" s="26" t="n">
        <x:v>2026</x:v>
      </x:c>
      <x:c r="C2652" s="26" t="str">
        <x:v>41942587</x:v>
      </x:c>
      <x:c r="D2652" s="28" t="str">
        <x:v>Pharmacological Microcontroversies and Civilizational Grammars Around ADHD in Chile.</x:v>
      </x:c>
      <x:c r="E2652" s="28" t="str">
        <x:v>Primary/contextual journal article</x:v>
      </x:c>
      <x:c r="F2652" s="28" t="str">
        <x:v>Development &amp; presentation; Recognition &amp; diagnosis; Family &amp; education; Social &amp; structural; Treatment &amp; support; Life outcomes &amp; lived experience</x:v>
      </x:c>
      <x:c r="G2652" s="28" t="str">
        <x:v>Childhood</x:v>
      </x:c>
      <x:c r="H2652" s="28" t="str">
        <x:v>Later specialized</x:v>
      </x:c>
      <x:c r="I2652" s="28" t="str">
        <x:v>Direct or strongly ADHD-related record retained for later screening; typically narrower treatment, biomarker, mechanistic, or single-comorbidity focus.</x:v>
      </x:c>
      <x:c r="J2652" s="38" t="e">
        <x:f>HYPERLINK("https://pubmed.ncbi.nlm.nih.gov/"&amp;C2652&amp;"/","Open PubMed")</x:f>
        <x:v>HYPERLINK is not implemented. linkLocation=https://pubmed.ncbi.nlm.nih.gov/41942587/, friendlyName=Open PubMed</x:v>
      </x:c>
    </x:row>
    <x:row r="2653">
      <x:c r="A2653" s="26" t="str">
        <x:v>PUBMED-41941021</x:v>
      </x:c>
      <x:c r="B2653" s="26" t="n">
        <x:v>2026</x:v>
      </x:c>
      <x:c r="C2653" s="26" t="str">
        <x:v>41941021</x:v>
      </x:c>
      <x:c r="D2653" s="28" t="str">
        <x:v>Examination of Peer Interactions During Cooperative and Competitive Board Games Among Children with Attention-Deficit/Hyperactivity Disorder on and off Methylphenidate.</x:v>
      </x:c>
      <x:c r="E2653" s="28" t="str">
        <x:v>Primary/contextual journal article</x:v>
      </x:c>
      <x:c r="F2653" s="28" t="str">
        <x:v>Development &amp; presentation; Family &amp; education; Social &amp; structural; Treatment &amp; support; Life outcomes &amp; lived experience</x:v>
      </x:c>
      <x:c r="G2653" s="28" t="str">
        <x:v>Childhood</x:v>
      </x:c>
      <x:c r="H2653" s="28" t="str">
        <x:v>Later specialized</x:v>
      </x:c>
      <x:c r="I2653" s="28" t="str">
        <x:v>Direct or strongly ADHD-related record retained for later screening; typically narrower treatment, biomarker, mechanistic, or single-comorbidity focus.</x:v>
      </x:c>
      <x:c r="J2653" s="38" t="e">
        <x:f>HYPERLINK("https://pubmed.ncbi.nlm.nih.gov/"&amp;C2653&amp;"/","Open PubMed")</x:f>
        <x:v>HYPERLINK is not implemented. linkLocation=https://pubmed.ncbi.nlm.nih.gov/41941021/, friendlyName=Open PubMed</x:v>
      </x:c>
    </x:row>
    <x:row r="2654">
      <x:c r="A2654" s="26" t="str">
        <x:v>PUBMED-41933746</x:v>
      </x:c>
      <x:c r="B2654" s="26" t="n">
        <x:v>2026</x:v>
      </x:c>
      <x:c r="C2654" s="26" t="str">
        <x:v>41933746</x:v>
      </x:c>
      <x:c r="D2654" s="28" t="str">
        <x:v>Aucubin exerts neuroprotective effects against ADHD-like behaviors by suppressing astrocytic NLRP3 inflammasome activation.</x:v>
      </x:c>
      <x:c r="E2654" s="28" t="str">
        <x:v>Primary/contextual journal article</x:v>
      </x:c>
      <x:c r="F2654" s="28" t="str">
        <x:v>Development &amp; presentation; Recognition &amp; diagnosis; Family &amp; education; Social &amp; structural; Environmental &amp; lifestyle; Treatment &amp; support</x:v>
      </x:c>
      <x:c r="G2654" s="28" t="str">
        <x:v>Not specified</x:v>
      </x:c>
      <x:c r="H2654" s="28" t="str">
        <x:v>Exclude/incidental</x:v>
      </x:c>
      <x:c r="I2654" s="28" t="str">
        <x:v>Animal-only record; retained outside the human-focused core corpus.</x:v>
      </x:c>
      <x:c r="J2654" s="38" t="e">
        <x:f>HYPERLINK("https://pubmed.ncbi.nlm.nih.gov/"&amp;C2654&amp;"/","Open PubMed")</x:f>
        <x:v>HYPERLINK is not implemented. linkLocation=https://pubmed.ncbi.nlm.nih.gov/41933746/, friendlyName=Open PubMed</x:v>
      </x:c>
    </x:row>
    <x:row r="2655">
      <x:c r="A2655" s="26" t="str">
        <x:v>PUBMED-41928433</x:v>
      </x:c>
      <x:c r="B2655" s="26" t="n">
        <x:v>2026</x:v>
      </x:c>
      <x:c r="C2655" s="26" t="str">
        <x:v>41928433</x:v>
      </x:c>
      <x:c r="D2655" s="28" t="str">
        <x:v>The Effects of Physical Activity Timing and Adherence to Physical Activity Guidelines on Sleep in Children With ADHD.</x:v>
      </x:c>
      <x:c r="E2655" s="28" t="str">
        <x:v>Primary study - cross-sectional</x:v>
      </x:c>
      <x:c r="F2655" s="28" t="str">
        <x:v>Development &amp; presentation; Social &amp; structural; Environmental &amp; lifestyle; Treatment &amp; support; Life outcomes &amp; lived experience</x:v>
      </x:c>
      <x:c r="G2655" s="28" t="str">
        <x:v>Childhood</x:v>
      </x:c>
      <x:c r="H2655" s="28" t="str">
        <x:v>Batch 1 core</x:v>
      </x:c>
      <x:c r="I2655" s="28" t="str">
        <x:v>Direct ADHD primary study on diagnosis, family/education, structural conditions, lived experience/outcomes, or environment/lifestyle.</x:v>
      </x:c>
      <x:c r="J2655" s="38" t="e">
        <x:f>HYPERLINK("https://pubmed.ncbi.nlm.nih.gov/"&amp;C2655&amp;"/","Open PubMed")</x:f>
        <x:v>HYPERLINK is not implemented. linkLocation=https://pubmed.ncbi.nlm.nih.gov/41928433/, friendlyName=Open PubMed</x:v>
      </x:c>
    </x:row>
    <x:row r="2656">
      <x:c r="A2656" s="26" t="str">
        <x:v>PUBMED-41928428</x:v>
      </x:c>
      <x:c r="B2656" s="26" t="n">
        <x:v>2026</x:v>
      </x:c>
      <x:c r="C2656" s="26" t="str">
        <x:v>41928428</x:v>
      </x:c>
      <x:c r="D2656" s="28" t="str">
        <x:v>d-Amphetamine Transdermal System in Treatment of Children and Adolescents With ADHD: SKAMP Subscale Analysis and Subgroup Analysis from a Pivotal Trial.</x:v>
      </x:c>
      <x:c r="E2656" s="28" t="str">
        <x:v>Primary study - randomized controlled trial</x:v>
      </x:c>
      <x:c r="F2656" s="28" t="str">
        <x:v>Development &amp; presentation; Social &amp; structural; Treatment &amp; support; Life outcomes &amp; lived experience</x:v>
      </x:c>
      <x:c r="G2656" s="28" t="str">
        <x:v>Childhood; Adolescence; Adulthood</x:v>
      </x:c>
      <x:c r="H2656" s="28" t="str">
        <x:v>Later specialized</x:v>
      </x:c>
      <x:c r="I2656" s="28" t="str">
        <x:v>Direct or strongly ADHD-related record retained for later screening; typically narrower treatment, biomarker, mechanistic, or single-comorbidity focus.</x:v>
      </x:c>
      <x:c r="J2656" s="38" t="e">
        <x:f>HYPERLINK("https://pubmed.ncbi.nlm.nih.gov/"&amp;C2656&amp;"/","Open PubMed")</x:f>
        <x:v>HYPERLINK is not implemented. linkLocation=https://pubmed.ncbi.nlm.nih.gov/41928428/, friendlyName=Open PubMed</x:v>
      </x:c>
    </x:row>
    <x:row r="2657">
      <x:c r="A2657" s="26" t="str">
        <x:v>PUBMED-41922390</x:v>
      </x:c>
      <x:c r="B2657" s="26" t="n">
        <x:v>2026</x:v>
      </x:c>
      <x:c r="C2657" s="26" t="str">
        <x:v>41922390</x:v>
      </x:c>
      <x:c r="D2657" s="28" t="str">
        <x:v>Neurodiversity and mental health in adulthood: exploring the unique contributions of autism and ADHD to internalising problems.</x:v>
      </x:c>
      <x:c r="E2657" s="28" t="str">
        <x:v>Primary study - case-control</x:v>
      </x:c>
      <x:c r="F2657" s="28" t="str">
        <x:v>Development &amp; presentation; Recognition &amp; diagnosis; Social &amp; structural; Life outcomes &amp; lived experience; Historical &amp; contemporary context</x:v>
      </x:c>
      <x:c r="G2657" s="28" t="str">
        <x:v>Adulthood</x:v>
      </x:c>
      <x:c r="H2657" s="28" t="str">
        <x:v>Later specialized</x:v>
      </x:c>
      <x:c r="I2657" s="28" t="str">
        <x:v>Direct or strongly ADHD-related record retained for later screening; typically narrower treatment, biomarker, mechanistic, or single-comorbidity focus.</x:v>
      </x:c>
      <x:c r="J2657" s="38" t="e">
        <x:f>HYPERLINK("https://pubmed.ncbi.nlm.nih.gov/"&amp;C2657&amp;"/","Open PubMed")</x:f>
        <x:v>HYPERLINK is not implemented. linkLocation=https://pubmed.ncbi.nlm.nih.gov/41922390/, friendlyName=Open PubMed</x:v>
      </x:c>
    </x:row>
    <x:row r="2658">
      <x:c r="A2658" s="26" t="str">
        <x:v>PUBMED-41921485</x:v>
      </x:c>
      <x:c r="B2658" s="26" t="n">
        <x:v>2026</x:v>
      </x:c>
      <x:c r="C2658" s="26" t="str">
        <x:v>41921485</x:v>
      </x:c>
      <x:c r="D2658" s="28" t="str">
        <x:v>Grit mediates social success across attention deficit/hyperactivity disorder tendencies.</x:v>
      </x:c>
      <x:c r="E2658" s="28" t="str">
        <x:v>Primary/contextual journal article</x:v>
      </x:c>
      <x:c r="F2658" s="28" t="str">
        <x:v>Development &amp; presentation; Social &amp; structural; Life outcomes &amp; lived experience; Historical &amp; contemporary context</x:v>
      </x:c>
      <x:c r="G2658" s="28" t="str">
        <x:v>Adulthood</x:v>
      </x:c>
      <x:c r="H2658" s="28" t="str">
        <x:v>Later specialized</x:v>
      </x:c>
      <x:c r="I2658" s="28" t="str">
        <x:v>Direct or strongly ADHD-related record retained for later screening; typically narrower treatment, biomarker, mechanistic, or single-comorbidity focus.</x:v>
      </x:c>
      <x:c r="J2658" s="38" t="e">
        <x:f>HYPERLINK("https://pubmed.ncbi.nlm.nih.gov/"&amp;C2658&amp;"/","Open PubMed")</x:f>
        <x:v>HYPERLINK is not implemented. linkLocation=https://pubmed.ncbi.nlm.nih.gov/41921485/, friendlyName=Open PubMed</x:v>
      </x:c>
    </x:row>
    <x:row r="2659">
      <x:c r="A2659" s="26" t="str">
        <x:v>PUBMED-41919828</x:v>
      </x:c>
      <x:c r="B2659" s="26" t="n">
        <x:v>2026</x:v>
      </x:c>
      <x:c r="C2659" s="26" t="str">
        <x:v>41919828</x:v>
      </x:c>
      <x:c r="D2659" s="28" t="str">
        <x:v>The use of the Auditory Processing Domains Questionnaire (APDQ) in Brazilian Portuguese with caregivers of children and adolescents with diverse neurodevelopmental conditions.</x:v>
      </x:c>
      <x:c r="E2659" s="28" t="str">
        <x:v>Primary study - case-control</x:v>
      </x:c>
      <x:c r="F2659" s="28" t="str">
        <x:v>Development &amp; presentation; Recognition &amp; diagnosis; Family &amp; education; Social &amp; structural; Life outcomes &amp; lived experience</x:v>
      </x:c>
      <x:c r="G2659" s="28" t="str">
        <x:v>Childhood; Adolescence</x:v>
      </x:c>
      <x:c r="H2659" s="28" t="str">
        <x:v>Exclude/incidental</x:v>
      </x:c>
      <x:c r="I2659" s="28" t="str">
        <x:v>ADHD appears peripheral or insufficiently aligned with the requested corpus scope based on accessible metadata/abstract.</x:v>
      </x:c>
      <x:c r="J2659" s="38" t="e">
        <x:f>HYPERLINK("https://pubmed.ncbi.nlm.nih.gov/"&amp;C2659&amp;"/","Open PubMed")</x:f>
        <x:v>HYPERLINK is not implemented. linkLocation=https://pubmed.ncbi.nlm.nih.gov/41919828/, friendlyName=Open PubMed</x:v>
      </x:c>
    </x:row>
    <x:row r="2660">
      <x:c r="A2660" s="26" t="str">
        <x:v>PUBMED-41914889</x:v>
      </x:c>
      <x:c r="B2660" s="26" t="n">
        <x:v>2026</x:v>
      </x:c>
      <x:c r="C2660" s="26" t="str">
        <x:v>41914889</x:v>
      </x:c>
      <x:c r="D2660" s="28" t="str">
        <x:v>Stimulant Usage in Attention-Deficit/Hyperactivity Disorder Is Associated With Decreased Rates of Arthrofibrosis and Postoperative Complications Following Anterior Cruciate Ligament Reconstruction.</x:v>
      </x:c>
      <x:c r="E2660" s="28" t="str">
        <x:v>Primary study - cohort</x:v>
      </x:c>
      <x:c r="F2660" s="28" t="str">
        <x:v>Development &amp; presentation; Social &amp; structural; Treatment &amp; support; Life outcomes &amp; lived experience</x:v>
      </x:c>
      <x:c r="G2660" s="28" t="str">
        <x:v>Adolescence; Adulthood</x:v>
      </x:c>
      <x:c r="H2660" s="28" t="str">
        <x:v>Later specialized</x:v>
      </x:c>
      <x:c r="I2660" s="28" t="str">
        <x:v>Direct or strongly ADHD-related record retained for later screening; typically narrower treatment, biomarker, mechanistic, or single-comorbidity focus.</x:v>
      </x:c>
      <x:c r="J2660" s="38" t="e">
        <x:f>HYPERLINK("https://pubmed.ncbi.nlm.nih.gov/"&amp;C2660&amp;"/","Open PubMed")</x:f>
        <x:v>HYPERLINK is not implemented. linkLocation=https://pubmed.ncbi.nlm.nih.gov/41914889/, friendlyName=Open PubMed</x:v>
      </x:c>
    </x:row>
    <x:row r="2661">
      <x:c r="A2661" s="26" t="str">
        <x:v>PUBMED-41910989</x:v>
      </x:c>
      <x:c r="B2661" s="26" t="n">
        <x:v>2026</x:v>
      </x:c>
      <x:c r="C2661" s="26" t="str">
        <x:v>41910989</x:v>
      </x:c>
      <x:c r="D2661" s="28" t="str">
        <x:v>Providers of ADHD Care for Children: Factors Associated With Coordination of ADHD Services With Schools.</x:v>
      </x:c>
      <x:c r="E2661" s="28" t="str">
        <x:v>Primary/contextual journal article</x:v>
      </x:c>
      <x:c r="F2661" s="28" t="str">
        <x:v>Development &amp; presentation; Recognition &amp; diagnosis; Family &amp; education; Social &amp; structural; Treatment &amp; support</x:v>
      </x:c>
      <x:c r="G2661" s="28" t="str">
        <x:v>Childhood</x:v>
      </x:c>
      <x:c r="H2661" s="28" t="str">
        <x:v>Later specialized</x:v>
      </x:c>
      <x:c r="I2661" s="28" t="str">
        <x:v>Direct or strongly ADHD-related record retained for later screening; typically narrower treatment, biomarker, mechanistic, or single-comorbidity focus.</x:v>
      </x:c>
      <x:c r="J2661" s="38" t="e">
        <x:f>HYPERLINK("https://pubmed.ncbi.nlm.nih.gov/"&amp;C2661&amp;"/","Open PubMed")</x:f>
        <x:v>HYPERLINK is not implemented. linkLocation=https://pubmed.ncbi.nlm.nih.gov/41910989/, friendlyName=Open PubMed</x:v>
      </x:c>
    </x:row>
    <x:row r="2662">
      <x:c r="A2662" s="26" t="str">
        <x:v>PUBMED-41910758</x:v>
      </x:c>
      <x:c r="B2662" s="26" t="n">
        <x:v>2026</x:v>
      </x:c>
      <x:c r="C2662" s="26" t="str">
        <x:v>41910758</x:v>
      </x:c>
      <x:c r="D2662" s="28" t="str">
        <x:v>[ADHS in transition: how can continuity in treatment succeed?].</x:v>
      </x:c>
      <x:c r="E2662" s="28" t="str">
        <x:v>Evidence synthesis - review</x:v>
      </x:c>
      <x:c r="F2662" s="28" t="str">
        <x:v>Development &amp; presentation; Recognition &amp; diagnosis; Family &amp; education; Social &amp; structural; Treatment &amp; support; Life outcomes &amp; lived experience</x:v>
      </x:c>
      <x:c r="G2662" s="28" t="str">
        <x:v>Childhood; Adolescence; Adulthood</x:v>
      </x:c>
      <x:c r="H2662" s="28" t="str">
        <x:v>Later specialized</x:v>
      </x:c>
      <x:c r="I2662" s="28" t="str">
        <x:v>Direct or strongly ADHD-related record retained for later screening; typically narrower treatment, biomarker, mechanistic, or single-comorbidity focus.</x:v>
      </x:c>
      <x:c r="J2662" s="38" t="e">
        <x:f>HYPERLINK("https://pubmed.ncbi.nlm.nih.gov/"&amp;C2662&amp;"/","Open PubMed")</x:f>
        <x:v>HYPERLINK is not implemented. linkLocation=https://pubmed.ncbi.nlm.nih.gov/41910758/, friendlyName=Open PubMed</x:v>
      </x:c>
    </x:row>
    <x:row r="2663">
      <x:c r="A2663" s="26" t="str">
        <x:v>PUBMED-41906980</x:v>
      </x:c>
      <x:c r="B2663" s="26" t="n">
        <x:v>2026</x:v>
      </x:c>
      <x:c r="C2663" s="26" t="str">
        <x:v>41906980</x:v>
      </x:c>
      <x:c r="D2663" s="28" t="str">
        <x:v>Profile of Th1/Th2/Th17/Treg Signature Cytokines and Microglia Regulatory Cytokines in ADHD and Healthy Controls: A Neuroimmunological Approach.</x:v>
      </x:c>
      <x:c r="E2663" s="28" t="str">
        <x:v>Primary study - cross-sectional</x:v>
      </x:c>
      <x:c r="F2663" s="28" t="str">
        <x:v>Development &amp; presentation; Recognition &amp; diagnosis; Social &amp; structural; Treatment &amp; support</x:v>
      </x:c>
      <x:c r="G2663" s="28" t="str">
        <x:v>Childhood; Adolescence</x:v>
      </x:c>
      <x:c r="H2663" s="28" t="str">
        <x:v>Later specialized</x:v>
      </x:c>
      <x:c r="I2663" s="28" t="str">
        <x:v>Direct or strongly ADHD-related record retained for later screening; typically narrower treatment, biomarker, mechanistic, or single-comorbidity focus.</x:v>
      </x:c>
      <x:c r="J2663" s="38" t="e">
        <x:f>HYPERLINK("https://pubmed.ncbi.nlm.nih.gov/"&amp;C2663&amp;"/","Open PubMed")</x:f>
        <x:v>HYPERLINK is not implemented. linkLocation=https://pubmed.ncbi.nlm.nih.gov/41906980/, friendlyName=Open PubMed</x:v>
      </x:c>
    </x:row>
    <x:row r="2664">
      <x:c r="A2664" s="26" t="str">
        <x:v>PUBMED-41906547</x:v>
      </x:c>
      <x:c r="B2664" s="26" t="n">
        <x:v>2026</x:v>
      </x:c>
      <x:c r="C2664" s="26" t="str">
        <x:v>41906547</x:v>
      </x:c>
      <x:c r="D2664" s="28" t="str">
        <x:v>Effect of appetite hormone dysregulation on symptom trajectory in adolescents with attention deficit hyperactivity disorder: an exploratory prospective study.</x:v>
      </x:c>
      <x:c r="E2664" s="28" t="str">
        <x:v>Primary study - cross-sectional</x:v>
      </x:c>
      <x:c r="F2664" s="28" t="str">
        <x:v>Development &amp; presentation; Social &amp; structural; Treatment &amp; support</x:v>
      </x:c>
      <x:c r="G2664" s="28" t="str">
        <x:v>Childhood; Adolescence</x:v>
      </x:c>
      <x:c r="H2664" s="28" t="str">
        <x:v>Later specialized</x:v>
      </x:c>
      <x:c r="I2664" s="28" t="str">
        <x:v>Direct or strongly ADHD-related record retained for later screening; typically narrower treatment, biomarker, mechanistic, or single-comorbidity focus.</x:v>
      </x:c>
      <x:c r="J2664" s="38" t="e">
        <x:f>HYPERLINK("https://pubmed.ncbi.nlm.nih.gov/"&amp;C2664&amp;"/","Open PubMed")</x:f>
        <x:v>HYPERLINK is not implemented. linkLocation=https://pubmed.ncbi.nlm.nih.gov/41906547/, friendlyName=Open PubMed</x:v>
      </x:c>
    </x:row>
    <x:row r="2665">
      <x:c r="A2665" s="26" t="str">
        <x:v>PUBMED-41903823</x:v>
      </x:c>
      <x:c r="B2665" s="26" t="n">
        <x:v>2026</x:v>
      </x:c>
      <x:c r="C2665" s="26" t="str">
        <x:v>41903823</x:v>
      </x:c>
      <x:c r="D2665" s="28" t="str">
        <x:v>Physical exercise and body awareness/movement quality in adults with attention deficit/hyperactivity disorder (ADHD): Results from the START randomized controlled trial.</x:v>
      </x:c>
      <x:c r="E2665" s="28" t="str">
        <x:v>Primary study - randomized controlled trial</x:v>
      </x:c>
      <x:c r="F2665" s="28" t="str">
        <x:v>Development &amp; presentation; Social &amp; structural; Environmental &amp; lifestyle; Treatment &amp; support; Life outcomes &amp; lived experience; Historical &amp; contemporary context</x:v>
      </x:c>
      <x:c r="G2665" s="28" t="str">
        <x:v>Adulthood</x:v>
      </x:c>
      <x:c r="H2665" s="28" t="str">
        <x:v>Later specialized</x:v>
      </x:c>
      <x:c r="I2665" s="28" t="str">
        <x:v>Direct or strongly ADHD-related record retained for later screening; typically narrower treatment, biomarker, mechanistic, or single-comorbidity focus.</x:v>
      </x:c>
      <x:c r="J2665" s="38" t="e">
        <x:f>HYPERLINK("https://pubmed.ncbi.nlm.nih.gov/"&amp;C2665&amp;"/","Open PubMed")</x:f>
        <x:v>HYPERLINK is not implemented. linkLocation=https://pubmed.ncbi.nlm.nih.gov/41903823/, friendlyName=Open PubMed</x:v>
      </x:c>
    </x:row>
    <x:row r="2666">
      <x:c r="A2666" s="26" t="str">
        <x:v>PUBMED-41894188</x:v>
      </x:c>
      <x:c r="B2666" s="26" t="n">
        <x:v>2026</x:v>
      </x:c>
      <x:c r="C2666" s="26" t="str">
        <x:v>41894188</x:v>
      </x:c>
      <x:c r="D2666" s="28" t="str">
        <x:v>Perceived Stress Is Associated With Lifetime ADHD Symptom Reporting Over and Above Anxiety and Depression: Implications for Psychiatric Evaluation and Treatment.</x:v>
      </x:c>
      <x:c r="E2666" s="28" t="str">
        <x:v>Primary study - cross-sectional</x:v>
      </x:c>
      <x:c r="F2666" s="28" t="str">
        <x:v>Development &amp; presentation; Recognition &amp; diagnosis; Social &amp; structural; Environmental &amp; lifestyle; Treatment &amp; support</x:v>
      </x:c>
      <x:c r="G2666" s="28" t="str">
        <x:v>Childhood; Adolescence; Adulthood</x:v>
      </x:c>
      <x:c r="H2666" s="28" t="str">
        <x:v>Later specialized</x:v>
      </x:c>
      <x:c r="I2666" s="28" t="str">
        <x:v>Direct or strongly ADHD-related record retained for later screening; typically narrower treatment, biomarker, mechanistic, or single-comorbidity focus.</x:v>
      </x:c>
      <x:c r="J2666" s="38" t="e">
        <x:f>HYPERLINK("https://pubmed.ncbi.nlm.nih.gov/"&amp;C2666&amp;"/","Open PubMed")</x:f>
        <x:v>HYPERLINK is not implemented. linkLocation=https://pubmed.ncbi.nlm.nih.gov/41894188/, friendlyName=Open PubMed</x:v>
      </x:c>
    </x:row>
    <x:row r="2667">
      <x:c r="A2667" s="26" t="str">
        <x:v>PUBMED-41891157</x:v>
      </x:c>
      <x:c r="B2667" s="26" t="n">
        <x:v>2026</x:v>
      </x:c>
      <x:c r="C2667" s="26" t="str">
        <x:v>41891157</x:v>
      </x:c>
      <x:c r="D2667" s="28" t="str">
        <x:v>Association Between Healthy Lifestyle Behaviors and Mental Health Symptoms in Children With Autism and ADHD: A Latent Profile Analysis.</x:v>
      </x:c>
      <x:c r="E2667" s="28" t="str">
        <x:v>Primary/contextual journal article</x:v>
      </x:c>
      <x:c r="F2667" s="28" t="str">
        <x:v>Development &amp; presentation; Recognition &amp; diagnosis; Family &amp; education; Social &amp; structural; Environmental &amp; lifestyle; Life outcomes &amp; lived experience</x:v>
      </x:c>
      <x:c r="G2667" s="28" t="str">
        <x:v>Childhood</x:v>
      </x:c>
      <x:c r="H2667" s="28" t="str">
        <x:v>Later specialized</x:v>
      </x:c>
      <x:c r="I2667" s="28" t="str">
        <x:v>Direct or strongly ADHD-related record retained for later screening; typically narrower treatment, biomarker, mechanistic, or single-comorbidity focus.</x:v>
      </x:c>
      <x:c r="J2667" s="38" t="e">
        <x:f>HYPERLINK("https://pubmed.ncbi.nlm.nih.gov/"&amp;C2667&amp;"/","Open PubMed")</x:f>
        <x:v>HYPERLINK is not implemented. linkLocation=https://pubmed.ncbi.nlm.nih.gov/41891157/, friendlyName=Open PubMed</x:v>
      </x:c>
    </x:row>
    <x:row r="2668">
      <x:c r="A2668" s="26" t="str">
        <x:v>PUBMED-41889016</x:v>
      </x:c>
      <x:c r="B2668" s="26" t="n">
        <x:v>2026</x:v>
      </x:c>
      <x:c r="C2668" s="26" t="str">
        <x:v>41889016</x:v>
      </x:c>
      <x:c r="D2668" s="28" t="str">
        <x:v>Differences in Social Anxiety and Friendship Quality Among Adolescents With ADHD and Their Typically Developing Peers.</x:v>
      </x:c>
      <x:c r="E2668" s="28" t="str">
        <x:v>Primary/contextual journal article</x:v>
      </x:c>
      <x:c r="F2668" s="28" t="str">
        <x:v>Development &amp; presentation; Recognition &amp; diagnosis; Social &amp; structural; Treatment &amp; support; Life outcomes &amp; lived experience</x:v>
      </x:c>
      <x:c r="G2668" s="28" t="str">
        <x:v>Adolescence</x:v>
      </x:c>
      <x:c r="H2668" s="28" t="str">
        <x:v>Later specialized</x:v>
      </x:c>
      <x:c r="I2668" s="28" t="str">
        <x:v>Direct or strongly ADHD-related record retained for later screening; typically narrower treatment, biomarker, mechanistic, or single-comorbidity focus.</x:v>
      </x:c>
      <x:c r="J2668" s="38" t="e">
        <x:f>HYPERLINK("https://pubmed.ncbi.nlm.nih.gov/"&amp;C2668&amp;"/","Open PubMed")</x:f>
        <x:v>HYPERLINK is not implemented. linkLocation=https://pubmed.ncbi.nlm.nih.gov/41889016/, friendlyName=Open PubMed</x:v>
      </x:c>
    </x:row>
    <x:row r="2669">
      <x:c r="A2669" s="26" t="str">
        <x:v>PUBMED-41879751</x:v>
      </x:c>
      <x:c r="B2669" s="26" t="n">
        <x:v>2026</x:v>
      </x:c>
      <x:c r="C2669" s="26" t="str">
        <x:v>41879751</x:v>
      </x:c>
      <x:c r="D2669" s="28" t="str">
        <x:v>Methylphenidate Treatment and Risk of Psychotic Disorder.</x:v>
      </x:c>
      <x:c r="E2669" s="28" t="str">
        <x:v>Primary study - cohort</x:v>
      </x:c>
      <x:c r="F2669" s="28" t="str">
        <x:v>Development &amp; presentation; Recognition &amp; diagnosis; Social &amp; structural; Environmental &amp; lifestyle; Treatment &amp; support; Life outcomes &amp; lived experience</x:v>
      </x:c>
      <x:c r="G2669" s="28" t="str">
        <x:v>Childhood; Adolescence; Adulthood</x:v>
      </x:c>
      <x:c r="H2669" s="28" t="str">
        <x:v>Later specialized</x:v>
      </x:c>
      <x:c r="I2669" s="28" t="str">
        <x:v>Direct or strongly ADHD-related record retained for later screening; typically narrower treatment, biomarker, mechanistic, or single-comorbidity focus.</x:v>
      </x:c>
      <x:c r="J2669" s="38" t="e">
        <x:f>HYPERLINK("https://pubmed.ncbi.nlm.nih.gov/"&amp;C2669&amp;"/","Open PubMed")</x:f>
        <x:v>HYPERLINK is not implemented. linkLocation=https://pubmed.ncbi.nlm.nih.gov/41879751/, friendlyName=Open PubMed</x:v>
      </x:c>
    </x:row>
    <x:row r="2670">
      <x:c r="A2670" s="26" t="str">
        <x:v>PUBMED-41877116</x:v>
      </x:c>
      <x:c r="B2670" s="26" t="n">
        <x:v>2026</x:v>
      </x:c>
      <x:c r="C2670" s="26" t="str">
        <x:v>41877116</x:v>
      </x:c>
      <x:c r="D2670" s="28" t="str">
        <x:v>The effects of stimulant medications on the sleepiness curve of young men with Attention-Deficit Hyperactivity Disorder (ADHD).</x:v>
      </x:c>
      <x:c r="E2670" s="28" t="str">
        <x:v>Primary/contextual journal article</x:v>
      </x:c>
      <x:c r="F2670" s="28" t="str">
        <x:v>Development &amp; presentation; Recognition &amp; diagnosis; Social &amp; structural; Environmental &amp; lifestyle; Treatment &amp; support</x:v>
      </x:c>
      <x:c r="G2670" s="28" t="str">
        <x:v>Adolescence; Adulthood</x:v>
      </x:c>
      <x:c r="H2670" s="28" t="str">
        <x:v>Later specialized</x:v>
      </x:c>
      <x:c r="I2670" s="28" t="str">
        <x:v>Direct or strongly ADHD-related record retained for later screening; typically narrower treatment, biomarker, mechanistic, or single-comorbidity focus.</x:v>
      </x:c>
      <x:c r="J2670" s="38" t="e">
        <x:f>HYPERLINK("https://pubmed.ncbi.nlm.nih.gov/"&amp;C2670&amp;"/","Open PubMed")</x:f>
        <x:v>HYPERLINK is not implemented. linkLocation=https://pubmed.ncbi.nlm.nih.gov/41877116/, friendlyName=Open PubMed</x:v>
      </x:c>
    </x:row>
    <x:row r="2671">
      <x:c r="A2671" s="26" t="str">
        <x:v>PUBMED-41871884</x:v>
      </x:c>
      <x:c r="B2671" s="26" t="n">
        <x:v>2026</x:v>
      </x:c>
      <x:c r="C2671" s="26" t="str">
        <x:v>41871884</x:v>
      </x:c>
      <x:c r="D2671" s="28" t="str">
        <x:v>Discontinuation and reinitiation of pharmacological treatment for ADHD among individuals with ADHD and substance use disorder.</x:v>
      </x:c>
      <x:c r="E2671" s="28" t="str">
        <x:v>Primary study - cohort</x:v>
      </x:c>
      <x:c r="F2671" s="28" t="str">
        <x:v>Development &amp; presentation; Social &amp; structural; Environmental &amp; lifestyle; Treatment &amp; support; Life outcomes &amp; lived experience</x:v>
      </x:c>
      <x:c r="G2671" s="28" t="str">
        <x:v>Adolescence; Adulthood</x:v>
      </x:c>
      <x:c r="H2671" s="28" t="str">
        <x:v>Later specialized</x:v>
      </x:c>
      <x:c r="I2671" s="28" t="str">
        <x:v>Direct or strongly ADHD-related record retained for later screening; typically narrower treatment, biomarker, mechanistic, or single-comorbidity focus.</x:v>
      </x:c>
      <x:c r="J2671" s="38" t="e">
        <x:f>HYPERLINK("https://pubmed.ncbi.nlm.nih.gov/"&amp;C2671&amp;"/","Open PubMed")</x:f>
        <x:v>HYPERLINK is not implemented. linkLocation=https://pubmed.ncbi.nlm.nih.gov/41871884/, friendlyName=Open PubMed</x:v>
      </x:c>
    </x:row>
    <x:row r="2672">
      <x:c r="A2672" s="26" t="str">
        <x:v>PUBMED-41864973</x:v>
      </x:c>
      <x:c r="B2672" s="26" t="n">
        <x:v>2026</x:v>
      </x:c>
      <x:c r="C2672" s="26" t="str">
        <x:v>41864973</x:v>
      </x:c>
      <x:c r="D2672" s="28" t="str">
        <x:v>Exploratory study of plasma GFAP and GAD65-Ab levels in children with ADHD.</x:v>
      </x:c>
      <x:c r="E2672" s="28" t="str">
        <x:v>Primary/contextual journal article</x:v>
      </x:c>
      <x:c r="F2672" s="28" t="str">
        <x:v>Development &amp; presentation; Recognition &amp; diagnosis; Family &amp; education; Social &amp; structural</x:v>
      </x:c>
      <x:c r="G2672" s="28" t="str">
        <x:v>Childhood</x:v>
      </x:c>
      <x:c r="H2672" s="28" t="str">
        <x:v>Later specialized</x:v>
      </x:c>
      <x:c r="I2672" s="28" t="str">
        <x:v>Direct or strongly ADHD-related record retained for later screening; typically narrower treatment, biomarker, mechanistic, or single-comorbidity focus.</x:v>
      </x:c>
      <x:c r="J2672" s="38" t="e">
        <x:f>HYPERLINK("https://pubmed.ncbi.nlm.nih.gov/"&amp;C2672&amp;"/","Open PubMed")</x:f>
        <x:v>HYPERLINK is not implemented. linkLocation=https://pubmed.ncbi.nlm.nih.gov/41864973/, friendlyName=Open PubMed</x:v>
      </x:c>
    </x:row>
    <x:row r="2673">
      <x:c r="A2673" s="26" t="str">
        <x:v>PUBMED-41864689</x:v>
      </x:c>
      <x:c r="B2673" s="26" t="n">
        <x:v>2026</x:v>
      </x:c>
      <x:c r="C2673" s="26" t="str">
        <x:v>41864689</x:v>
      </x:c>
      <x:c r="D2673" s="28" t="str">
        <x:v>Videoconferencing group parent training program for caregivers of children with ADHD: A preliminary study.</x:v>
      </x:c>
      <x:c r="E2673" s="28" t="str">
        <x:v>Primary/contextual journal article</x:v>
      </x:c>
      <x:c r="F2673" s="28" t="str">
        <x:v>Development &amp; presentation; Recognition &amp; diagnosis; Family &amp; education; Social &amp; structural; Environmental &amp; lifestyle; Treatment &amp; support; Life outcomes &amp; lived experience</x:v>
      </x:c>
      <x:c r="G2673" s="28" t="str">
        <x:v>Childhood; Adulthood</x:v>
      </x:c>
      <x:c r="H2673" s="28" t="str">
        <x:v>Later specialized</x:v>
      </x:c>
      <x:c r="I2673" s="28" t="str">
        <x:v>Direct or strongly ADHD-related record retained for later screening; typically narrower treatment, biomarker, mechanistic, or single-comorbidity focus.</x:v>
      </x:c>
      <x:c r="J2673" s="38" t="e">
        <x:f>HYPERLINK("https://pubmed.ncbi.nlm.nih.gov/"&amp;C2673&amp;"/","Open PubMed")</x:f>
        <x:v>HYPERLINK is not implemented. linkLocation=https://pubmed.ncbi.nlm.nih.gov/41864689/, friendlyName=Open PubMed</x:v>
      </x:c>
    </x:row>
    <x:row r="2674">
      <x:c r="A2674" s="26" t="str">
        <x:v>PUBMED-41861619</x:v>
      </x:c>
      <x:c r="B2674" s="26" t="n">
        <x:v>2026</x:v>
      </x:c>
      <x:c r="C2674" s="26" t="str">
        <x:v>41861619</x:v>
      </x:c>
      <x:c r="D2674" s="28" t="str">
        <x:v>Association of neuroimaging markers with clinical and neuropsychological profiles in pediatric ADHD: A cross-sectional study.</x:v>
      </x:c>
      <x:c r="E2674" s="28" t="str">
        <x:v>Primary study - case-control</x:v>
      </x:c>
      <x:c r="F2674" s="28" t="str">
        <x:v>Development &amp; presentation; Recognition &amp; diagnosis; Social &amp; structural; Treatment &amp; support</x:v>
      </x:c>
      <x:c r="G2674" s="28" t="str">
        <x:v>Childhood; Adolescence</x:v>
      </x:c>
      <x:c r="H2674" s="28" t="str">
        <x:v>Later specialized</x:v>
      </x:c>
      <x:c r="I2674" s="28" t="str">
        <x:v>Direct or strongly ADHD-related record retained for later screening; typically narrower treatment, biomarker, mechanistic, or single-comorbidity focus.</x:v>
      </x:c>
      <x:c r="J2674" s="38" t="e">
        <x:f>HYPERLINK("https://pubmed.ncbi.nlm.nih.gov/"&amp;C2674&amp;"/","Open PubMed")</x:f>
        <x:v>HYPERLINK is not implemented. linkLocation=https://pubmed.ncbi.nlm.nih.gov/41861619/, friendlyName=Open PubMed</x:v>
      </x:c>
    </x:row>
    <x:row r="2675">
      <x:c r="A2675" s="26" t="str">
        <x:v>PUBMED-41856665</x:v>
      </x:c>
      <x:c r="B2675" s="26" t="n">
        <x:v>2026</x:v>
      </x:c>
      <x:c r="C2675" s="26" t="str">
        <x:v>41856665</x:v>
      </x:c>
      <x:c r="D2675" s="28" t="str">
        <x:v>Reduced risk of cause-specific hospitalisations and all-cause hospitalisation/mortality during treatment with attention-deficit/hyperactivity disorder medications in the course of bipolar disorder: a Swedish registry-based within-subject cohort study.</x:v>
      </x:c>
      <x:c r="E2675" s="28" t="str">
        <x:v>Primary study - cohort</x:v>
      </x:c>
      <x:c r="F2675" s="28" t="str">
        <x:v>Development &amp; presentation; Social &amp; structural; Treatment &amp; support; Life outcomes &amp; lived experience</x:v>
      </x:c>
      <x:c r="G2675" s="28" t="str">
        <x:v>Adulthood</x:v>
      </x:c>
      <x:c r="H2675" s="28" t="str">
        <x:v>Later specialized</x:v>
      </x:c>
      <x:c r="I2675" s="28" t="str">
        <x:v>Direct or strongly ADHD-related record retained for later screening; typically narrower treatment, biomarker, mechanistic, or single-comorbidity focus.</x:v>
      </x:c>
      <x:c r="J2675" s="38" t="e">
        <x:f>HYPERLINK("https://pubmed.ncbi.nlm.nih.gov/"&amp;C2675&amp;"/","Open PubMed")</x:f>
        <x:v>HYPERLINK is not implemented. linkLocation=https://pubmed.ncbi.nlm.nih.gov/41856665/, friendlyName=Open PubMed</x:v>
      </x:c>
    </x:row>
    <x:row r="2676">
      <x:c r="A2676" s="26" t="str">
        <x:v>PUBMED-41845881</x:v>
      </x:c>
      <x:c r="B2676" s="26" t="n">
        <x:v>2026</x:v>
      </x:c>
      <x:c r="C2676" s="26" t="str">
        <x:v>41845881</x:v>
      </x:c>
      <x:c r="D2676" s="28" t="str">
        <x:v>Abnormal Behavior of Dopamine Transporter Knockout Rats During Early Ontogeny.</x:v>
      </x:c>
      <x:c r="E2676" s="28" t="str">
        <x:v>Primary/contextual journal article</x:v>
      </x:c>
      <x:c r="F2676" s="28" t="str">
        <x:v>Development &amp; presentation; Social &amp; structural; Treatment &amp; support</x:v>
      </x:c>
      <x:c r="G2676" s="28" t="str">
        <x:v>Not specified</x:v>
      </x:c>
      <x:c r="H2676" s="28" t="str">
        <x:v>Exclude/incidental</x:v>
      </x:c>
      <x:c r="I2676" s="28" t="str">
        <x:v>Animal-only record; retained outside the human-focused core corpus.</x:v>
      </x:c>
      <x:c r="J2676" s="38" t="e">
        <x:f>HYPERLINK("https://pubmed.ncbi.nlm.nih.gov/"&amp;C2676&amp;"/","Open PubMed")</x:f>
        <x:v>HYPERLINK is not implemented. linkLocation=https://pubmed.ncbi.nlm.nih.gov/41845881/, friendlyName=Open PubMed</x:v>
      </x:c>
    </x:row>
    <x:row r="2677">
      <x:c r="A2677" s="26" t="str">
        <x:v>PUBMED-41844271</x:v>
      </x:c>
      <x:c r="B2677" s="26" t="n">
        <x:v>2026</x:v>
      </x:c>
      <x:c r="C2677" s="26" t="str">
        <x:v>41844271</x:v>
      </x:c>
      <x:c r="D2677" s="28" t="str">
        <x:v>Editorial: ADHD persistence - the interplay of genes, socioeconomic context, and symptom domains over development.</x:v>
      </x:c>
      <x:c r="E2677" s="28" t="str">
        <x:v>Primary study - cross-sectional</x:v>
      </x:c>
      <x:c r="F2677" s="28" t="str">
        <x:v>Development &amp; presentation; Social &amp; structural; Environmental &amp; lifestyle</x:v>
      </x:c>
      <x:c r="G2677" s="28" t="str">
        <x:v>Childhood; Adolescence; Adulthood</x:v>
      </x:c>
      <x:c r="H2677" s="28" t="str">
        <x:v>Batch 1 core</x:v>
      </x:c>
      <x:c r="I2677" s="28" t="str">
        <x:v>Direct ADHD primary study on diagnosis, family/education, structural conditions, lived experience/outcomes, or environment/lifestyle.</x:v>
      </x:c>
      <x:c r="J2677" s="38" t="e">
        <x:f>HYPERLINK("https://pubmed.ncbi.nlm.nih.gov/"&amp;C2677&amp;"/","Open PubMed")</x:f>
        <x:v>HYPERLINK is not implemented. linkLocation=https://pubmed.ncbi.nlm.nih.gov/41844271/, friendlyName=Open PubMed</x:v>
      </x:c>
    </x:row>
    <x:row r="2678">
      <x:c r="A2678" s="26" t="str">
        <x:v>PUBMED-41824308</x:v>
      </x:c>
      <x:c r="B2678" s="26" t="n">
        <x:v>2026</x:v>
      </x:c>
      <x:c r="C2678" s="26" t="str">
        <x:v>41824308</x:v>
      </x:c>
      <x:c r="D2678" s="28" t="str">
        <x:v>Reply to "Beyond the 'overdiagnosis' narrative: understanding adult ADHD through DSM-5".</x:v>
      </x:c>
      <x:c r="E2678" s="28" t="str">
        <x:v>Contextual - editorial/comment</x:v>
      </x:c>
      <x:c r="F2678" s="28" t="str">
        <x:v>Development &amp; presentation; Recognition &amp; diagnosis; Social &amp; structural; Treatment &amp; support</x:v>
      </x:c>
      <x:c r="G2678" s="28" t="str">
        <x:v>Adulthood</x:v>
      </x:c>
      <x:c r="H2678" s="28" t="str">
        <x:v>Later specialized</x:v>
      </x:c>
      <x:c r="I2678" s="28" t="str">
        <x:v>Direct or strongly ADHD-related record retained for later screening; typically narrower treatment, biomarker, mechanistic, or single-comorbidity focus.</x:v>
      </x:c>
      <x:c r="J2678" s="38" t="e">
        <x:f>HYPERLINK("https://pubmed.ncbi.nlm.nih.gov/"&amp;C2678&amp;"/","Open PubMed")</x:f>
        <x:v>HYPERLINK is not implemented. linkLocation=https://pubmed.ncbi.nlm.nih.gov/41824308/, friendlyName=Open PubMed</x:v>
      </x:c>
    </x:row>
    <x:row r="2679">
      <x:c r="A2679" s="26" t="str">
        <x:v>PUBMED-41823121</x:v>
      </x:c>
      <x:c r="B2679" s="26" t="n">
        <x:v>2026</x:v>
      </x:c>
      <x:c r="C2679" s="26" t="str">
        <x:v>41823121</x:v>
      </x:c>
      <x:c r="D2679" s="28" t="str">
        <x:v>Screen time, social jetlag, future hope, and ADHD symptoms in university students.</x:v>
      </x:c>
      <x:c r="E2679" s="28" t="str">
        <x:v>Primary study - cross-sectional</x:v>
      </x:c>
      <x:c r="F2679" s="28" t="str">
        <x:v>Development &amp; presentation; Recognition &amp; diagnosis; Family &amp; education; Social &amp; structural; Environmental &amp; lifestyle; Treatment &amp; support</x:v>
      </x:c>
      <x:c r="G2679" s="28" t="str">
        <x:v>Adolescence; Adulthood</x:v>
      </x:c>
      <x:c r="H2679" s="28" t="str">
        <x:v>Batch 1 core</x:v>
      </x:c>
      <x:c r="I2679" s="28" t="str">
        <x:v>Direct ADHD primary study on diagnosis, family/education, structural conditions, lived experience/outcomes, or environment/lifestyle.</x:v>
      </x:c>
      <x:c r="J2679" s="38" t="e">
        <x:f>HYPERLINK("https://pubmed.ncbi.nlm.nih.gov/"&amp;C2679&amp;"/","Open PubMed")</x:f>
        <x:v>HYPERLINK is not implemented. linkLocation=https://pubmed.ncbi.nlm.nih.gov/41823121/, friendlyName=Open PubMed</x:v>
      </x:c>
    </x:row>
    <x:row r="2680">
      <x:c r="A2680" s="26" t="str">
        <x:v>PUBMED-41820895</x:v>
      </x:c>
      <x:c r="B2680" s="26" t="n">
        <x:v>2026</x:v>
      </x:c>
      <x:c r="C2680" s="26" t="str">
        <x:v>41820895</x:v>
      </x:c>
      <x:c r="D2680" s="28" t="str">
        <x:v>Association between craniosynostosis and neurodevelopmental disorders: a nationwide claims database.</x:v>
      </x:c>
      <x:c r="E2680" s="28" t="str">
        <x:v>Primary study - cohort</x:v>
      </x:c>
      <x:c r="F2680" s="28" t="str">
        <x:v>Development &amp; presentation; Recognition &amp; diagnosis; Family &amp; education; Social &amp; structural; Environmental &amp; lifestyle; Life outcomes &amp; lived experience; Historical &amp; contemporary context</x:v>
      </x:c>
      <x:c r="G2680" s="28" t="str">
        <x:v>Childhood</x:v>
      </x:c>
      <x:c r="H2680" s="28" t="str">
        <x:v>Later specialized</x:v>
      </x:c>
      <x:c r="I2680" s="28" t="str">
        <x:v>Direct or strongly ADHD-related record retained for later screening; typically narrower treatment, biomarker, mechanistic, or single-comorbidity focus.</x:v>
      </x:c>
      <x:c r="J2680" s="38" t="e">
        <x:f>HYPERLINK("https://pubmed.ncbi.nlm.nih.gov/"&amp;C2680&amp;"/","Open PubMed")</x:f>
        <x:v>HYPERLINK is not implemented. linkLocation=https://pubmed.ncbi.nlm.nih.gov/41820895/, friendlyName=Open PubMed</x:v>
      </x:c>
    </x:row>
    <x:row r="2681">
      <x:c r="A2681" s="26" t="str">
        <x:v>PUBMED-41820777</x:v>
      </x:c>
      <x:c r="B2681" s="26" t="n">
        <x:v>2026</x:v>
      </x:c>
      <x:c r="C2681" s="26" t="str">
        <x:v>41820777</x:v>
      </x:c>
      <x:c r="D2681" s="28" t="str">
        <x:v>Safety and Effectiveness of Lisdexamfetamine Dimesylate in Children and Adolescents with ADHD in Japan: An Interim Analysis of Post-Marketing Surveillance.</x:v>
      </x:c>
      <x:c r="E2681" s="28" t="str">
        <x:v>Primary/contextual journal article</x:v>
      </x:c>
      <x:c r="F2681" s="28" t="str">
        <x:v>Development &amp; presentation; Recognition &amp; diagnosis; Social &amp; structural; Treatment &amp; support; Life outcomes &amp; lived experience</x:v>
      </x:c>
      <x:c r="G2681" s="28" t="str">
        <x:v>Childhood; Adolescence</x:v>
      </x:c>
      <x:c r="H2681" s="28" t="str">
        <x:v>Later specialized</x:v>
      </x:c>
      <x:c r="I2681" s="28" t="str">
        <x:v>Direct or strongly ADHD-related record retained for later screening; typically narrower treatment, biomarker, mechanistic, or single-comorbidity focus.</x:v>
      </x:c>
      <x:c r="J2681" s="38" t="e">
        <x:f>HYPERLINK("https://pubmed.ncbi.nlm.nih.gov/"&amp;C2681&amp;"/","Open PubMed")</x:f>
        <x:v>HYPERLINK is not implemented. linkLocation=https://pubmed.ncbi.nlm.nih.gov/41820777/, friendlyName=Open PubMed</x:v>
      </x:c>
    </x:row>
    <x:row r="2682">
      <x:c r="A2682" s="26" t="str">
        <x:v>PUBMED-41820756</x:v>
      </x:c>
      <x:c r="B2682" s="26" t="n">
        <x:v>2026</x:v>
      </x:c>
      <x:c r="C2682" s="26" t="str">
        <x:v>41820756</x:v>
      </x:c>
      <x:c r="D2682" s="28" t="str">
        <x:v>It's Not You, "It's Me": Sexual Experiences and Sexual Satisfaction in an ADHD Sample.</x:v>
      </x:c>
      <x:c r="E2682" s="28" t="str">
        <x:v>Primary study - qualitative</x:v>
      </x:c>
      <x:c r="F2682" s="28" t="str">
        <x:v>Development &amp; presentation; Recognition &amp; diagnosis; Social &amp; structural; Treatment &amp; support; Life outcomes &amp; lived experience; Historical &amp; contemporary context</x:v>
      </x:c>
      <x:c r="G2682" s="28" t="str">
        <x:v>Adulthood</x:v>
      </x:c>
      <x:c r="H2682" s="28" t="str">
        <x:v>Later specialized</x:v>
      </x:c>
      <x:c r="I2682" s="28" t="str">
        <x:v>Direct or strongly ADHD-related record retained for later screening; typically narrower treatment, biomarker, mechanistic, or single-comorbidity focus.</x:v>
      </x:c>
      <x:c r="J2682" s="38" t="e">
        <x:f>HYPERLINK("https://pubmed.ncbi.nlm.nih.gov/"&amp;C2682&amp;"/","Open PubMed")</x:f>
        <x:v>HYPERLINK is not implemented. linkLocation=https://pubmed.ncbi.nlm.nih.gov/41820756/, friendlyName=Open PubMed</x:v>
      </x:c>
    </x:row>
    <x:row r="2683">
      <x:c r="A2683" s="26" t="str">
        <x:v>PUBMED-41820476</x:v>
      </x:c>
      <x:c r="B2683" s="26" t="n">
        <x:v>2026</x:v>
      </x:c>
      <x:c r="C2683" s="26" t="str">
        <x:v>41820476</x:v>
      </x:c>
      <x:c r="D2683" s="28" t="str">
        <x:v>Sleep awake detection from leg-worn wearables using deep sensor fusion.</x:v>
      </x:c>
      <x:c r="E2683" s="28" t="str">
        <x:v>Primary/contextual journal article</x:v>
      </x:c>
      <x:c r="F2683" s="28" t="str">
        <x:v>Development &amp; presentation; Recognition &amp; diagnosis; Social &amp; structural; Environmental &amp; lifestyle</x:v>
      </x:c>
      <x:c r="G2683" s="28" t="str">
        <x:v>Childhood</x:v>
      </x:c>
      <x:c r="H2683" s="28" t="str">
        <x:v>Later specialized</x:v>
      </x:c>
      <x:c r="I2683" s="28" t="str">
        <x:v>Direct or strongly ADHD-related record retained for later screening; typically narrower treatment, biomarker, mechanistic, or single-comorbidity focus.</x:v>
      </x:c>
      <x:c r="J2683" s="38" t="e">
        <x:f>HYPERLINK("https://pubmed.ncbi.nlm.nih.gov/"&amp;C2683&amp;"/","Open PubMed")</x:f>
        <x:v>HYPERLINK is not implemented. linkLocation=https://pubmed.ncbi.nlm.nih.gov/41820476/, friendlyName=Open PubMed</x:v>
      </x:c>
    </x:row>
    <x:row r="2684">
      <x:c r="A2684" s="26" t="str">
        <x:v>PUBMED-41814597</x:v>
      </x:c>
      <x:c r="B2684" s="26" t="n">
        <x:v>2026</x:v>
      </x:c>
      <x:c r="C2684" s="26" t="str">
        <x:v>41814597</x:v>
      </x:c>
      <x:c r="D2684" s="28" t="str">
        <x:v>Mind the Gap! Sleep Problems in Children With ADHD-A Qualitative Analysis of Clinician Training Needs.</x:v>
      </x:c>
      <x:c r="E2684" s="28" t="str">
        <x:v>Primary study - qualitative</x:v>
      </x:c>
      <x:c r="F2684" s="28" t="str">
        <x:v>Development &amp; presentation; Family &amp; education; Social &amp; structural; Environmental &amp; lifestyle; Treatment &amp; support; Life outcomes &amp; lived experience; Historical &amp; contemporary context</x:v>
      </x:c>
      <x:c r="G2684" s="28" t="str">
        <x:v>Childhood</x:v>
      </x:c>
      <x:c r="H2684" s="28" t="str">
        <x:v>Batch 1 core</x:v>
      </x:c>
      <x:c r="I2684" s="28" t="str">
        <x:v>Direct ADHD primary study on diagnosis, family/education, structural conditions, lived experience/outcomes, or environment/lifestyle.</x:v>
      </x:c>
      <x:c r="J2684" s="38" t="e">
        <x:f>HYPERLINK("https://pubmed.ncbi.nlm.nih.gov/"&amp;C2684&amp;"/","Open PubMed")</x:f>
        <x:v>HYPERLINK is not implemented. linkLocation=https://pubmed.ncbi.nlm.nih.gov/41814597/, friendlyName=Open PubMed</x:v>
      </x:c>
    </x:row>
    <x:row r="2685">
      <x:c r="A2685" s="26" t="str">
        <x:v>PUBMED-41814369</x:v>
      </x:c>
      <x:c r="B2685" s="26" t="n">
        <x:v>2026</x:v>
      </x:c>
      <x:c r="C2685" s="26" t="str">
        <x:v>41814369</x:v>
      </x:c>
      <x:c r="D2685" s="28" t="str">
        <x:v>Neuropsychological profile and clinical benefits of multimodal interventions in a child with ADHD, Generalized Anxiety Disorder, and Social (Pragmatic) Communication Disorder within the context of intellectual giftedness: a case report.</x:v>
      </x:c>
      <x:c r="E2685" s="28" t="str">
        <x:v>Primary/contextual journal article</x:v>
      </x:c>
      <x:c r="F2685" s="28" t="str">
        <x:v>Development &amp; presentation; Recognition &amp; diagnosis; Family &amp; education; Social &amp; structural; Environmental &amp; lifestyle; Treatment &amp; support; Life outcomes &amp; lived experience; Historical &amp; contemporary context</x:v>
      </x:c>
      <x:c r="G2685" s="28" t="str">
        <x:v>Childhood</x:v>
      </x:c>
      <x:c r="H2685" s="28" t="str">
        <x:v>Later specialized</x:v>
      </x:c>
      <x:c r="I2685" s="28" t="str">
        <x:v>Direct or strongly ADHD-related record retained for later screening; typically narrower treatment, biomarker, mechanistic, or single-comorbidity focus.</x:v>
      </x:c>
      <x:c r="J2685" s="38" t="e">
        <x:f>HYPERLINK("https://pubmed.ncbi.nlm.nih.gov/"&amp;C2685&amp;"/","Open PubMed")</x:f>
        <x:v>HYPERLINK is not implemented. linkLocation=https://pubmed.ncbi.nlm.nih.gov/41814369/, friendlyName=Open PubMed</x:v>
      </x:c>
    </x:row>
    <x:row r="2686">
      <x:c r="A2686" s="26" t="str">
        <x:v>PUBMED-41812463</x:v>
      </x:c>
      <x:c r="B2686" s="26" t="n">
        <x:v>2026</x:v>
      </x:c>
      <x:c r="C2686" s="26" t="str">
        <x:v>41812463</x:v>
      </x:c>
      <x:c r="D2686" s="28" t="str">
        <x:v>Machine learning approaches to identifying neurodevelopmental disorders using social media data: a systematic review.</x:v>
      </x:c>
      <x:c r="E2686" s="28" t="str">
        <x:v>Evidence synthesis - systematic review</x:v>
      </x:c>
      <x:c r="F2686" s="28" t="str">
        <x:v>Development &amp; presentation; Recognition &amp; diagnosis; Family &amp; education; Social &amp; structural; Environmental &amp; lifestyle; Treatment &amp; support; Life outcomes &amp; lived experience; Historical &amp; contemporary context</x:v>
      </x:c>
      <x:c r="G2686" s="28" t="str">
        <x:v>Childhood</x:v>
      </x:c>
      <x:c r="H2686" s="28" t="str">
        <x:v>Later specialized</x:v>
      </x:c>
      <x:c r="I2686" s="28" t="str">
        <x:v>Direct or strongly ADHD-related record retained for later screening; typically narrower treatment, biomarker, mechanistic, or single-comorbidity focus.</x:v>
      </x:c>
      <x:c r="J2686" s="38" t="e">
        <x:f>HYPERLINK("https://pubmed.ncbi.nlm.nih.gov/"&amp;C2686&amp;"/","Open PubMed")</x:f>
        <x:v>HYPERLINK is not implemented. linkLocation=https://pubmed.ncbi.nlm.nih.gov/41812463/, friendlyName=Open PubMed</x:v>
      </x:c>
    </x:row>
    <x:row r="2687">
      <x:c r="A2687" s="26" t="str">
        <x:v>PUBMED-41805407</x:v>
      </x:c>
      <x:c r="B2687" s="26" t="n">
        <x:v>2026</x:v>
      </x:c>
      <x:c r="C2687" s="26" t="str">
        <x:v>41805407</x:v>
      </x:c>
      <x:c r="D2687" s="28" t="str">
        <x:v>Neurocognitive overlap across DSM-5-TR presentations in pediatric ADHD under digital assessment.</x:v>
      </x:c>
      <x:c r="E2687" s="28" t="str">
        <x:v>Primary/contextual journal article</x:v>
      </x:c>
      <x:c r="F2687" s="28" t="str">
        <x:v>Development &amp; presentation; Recognition &amp; diagnosis; Family &amp; education; Social &amp; structural; Treatment &amp; support</x:v>
      </x:c>
      <x:c r="G2687" s="28" t="str">
        <x:v>Childhood</x:v>
      </x:c>
      <x:c r="H2687" s="28" t="str">
        <x:v>Later specialized</x:v>
      </x:c>
      <x:c r="I2687" s="28" t="str">
        <x:v>Direct or strongly ADHD-related record retained for later screening; typically narrower treatment, biomarker, mechanistic, or single-comorbidity focus.</x:v>
      </x:c>
      <x:c r="J2687" s="38" t="e">
        <x:f>HYPERLINK("https://pubmed.ncbi.nlm.nih.gov/"&amp;C2687&amp;"/","Open PubMed")</x:f>
        <x:v>HYPERLINK is not implemented. linkLocation=https://pubmed.ncbi.nlm.nih.gov/41805407/, friendlyName=Open PubMed</x:v>
      </x:c>
    </x:row>
    <x:row r="2688">
      <x:c r="A2688" s="26" t="str">
        <x:v>PUBMED-41804986</x:v>
      </x:c>
      <x:c r="B2688" s="26" t="n">
        <x:v>2026</x:v>
      </x:c>
      <x:c r="C2688" s="26" t="str">
        <x:v>41804986</x:v>
      </x:c>
      <x:c r="D2688" s="28" t="str">
        <x:v>ADHD With and Without Comorbid Specific Learning Disorder: Comparisons of WISC-R Profiles, Cognitive Disengagement and Psychiatric Symptoms.</x:v>
      </x:c>
      <x:c r="E2688" s="28" t="str">
        <x:v>Primary study - cross-sectional</x:v>
      </x:c>
      <x:c r="F2688" s="28" t="str">
        <x:v>Development &amp; presentation; Recognition &amp; diagnosis; Family &amp; education; Social &amp; structural; Life outcomes &amp; lived experience</x:v>
      </x:c>
      <x:c r="G2688" s="28" t="str">
        <x:v>Childhood; Adolescence</x:v>
      </x:c>
      <x:c r="H2688" s="28" t="str">
        <x:v>Later specialized</x:v>
      </x:c>
      <x:c r="I2688" s="28" t="str">
        <x:v>Direct or strongly ADHD-related record retained for later screening; typically narrower treatment, biomarker, mechanistic, or single-comorbidity focus.</x:v>
      </x:c>
      <x:c r="J2688" s="38" t="e">
        <x:f>HYPERLINK("https://pubmed.ncbi.nlm.nih.gov/"&amp;C2688&amp;"/","Open PubMed")</x:f>
        <x:v>HYPERLINK is not implemented. linkLocation=https://pubmed.ncbi.nlm.nih.gov/41804986/, friendlyName=Open PubMed</x:v>
      </x:c>
    </x:row>
    <x:row r="2689">
      <x:c r="A2689" s="26" t="str">
        <x:v>PUBMED-41804951</x:v>
      </x:c>
      <x:c r="B2689" s="26" t="n">
        <x:v>2026</x:v>
      </x:c>
      <x:c r="C2689" s="26" t="str">
        <x:v>41804951</x:v>
      </x:c>
      <x:c r="D2689" s="28" t="str">
        <x:v>Disruptive Mood Dysregulation Disorder and Its Association with Treatment Trajectories and Outcomes in Youth with Attention-Deficit/Hyperactivity Disorder and Internalizing Disorders.</x:v>
      </x:c>
      <x:c r="E2689" s="28" t="str">
        <x:v>Primary study - cohort</x:v>
      </x:c>
      <x:c r="F2689" s="28" t="str">
        <x:v>Development &amp; presentation; Social &amp; structural; Treatment &amp; support; Life outcomes &amp; lived experience</x:v>
      </x:c>
      <x:c r="G2689" s="28" t="str">
        <x:v>Childhood; Adolescence</x:v>
      </x:c>
      <x:c r="H2689" s="28" t="str">
        <x:v>Later specialized</x:v>
      </x:c>
      <x:c r="I2689" s="28" t="str">
        <x:v>Direct or strongly ADHD-related record retained for later screening; typically narrower treatment, biomarker, mechanistic, or single-comorbidity focus.</x:v>
      </x:c>
      <x:c r="J2689" s="38" t="e">
        <x:f>HYPERLINK("https://pubmed.ncbi.nlm.nih.gov/"&amp;C2689&amp;"/","Open PubMed")</x:f>
        <x:v>HYPERLINK is not implemented. linkLocation=https://pubmed.ncbi.nlm.nih.gov/41804951/, friendlyName=Open PubMed</x:v>
      </x:c>
    </x:row>
    <x:row r="2690">
      <x:c r="A2690" s="26" t="str">
        <x:v>PUBMED-41803832</x:v>
      </x:c>
      <x:c r="B2690" s="26" t="n">
        <x:v>2026</x:v>
      </x:c>
      <x:c r="C2690" s="26" t="str">
        <x:v>41803832</x:v>
      </x:c>
      <x:c r="D2690" s="28" t="str">
        <x:v>Adiposity and attention deficit hyperactivity disorder comorbidity in Chinese children and adolescents: the role of adiposity duration and screen time.</x:v>
      </x:c>
      <x:c r="E2690" s="28" t="str">
        <x:v>Primary study - case-control</x:v>
      </x:c>
      <x:c r="F2690" s="28" t="str">
        <x:v>Development &amp; presentation; Recognition &amp; diagnosis; Social &amp; structural; Environmental &amp; lifestyle; Treatment &amp; support</x:v>
      </x:c>
      <x:c r="G2690" s="28" t="str">
        <x:v>Childhood; Adolescence</x:v>
      </x:c>
      <x:c r="H2690" s="28" t="str">
        <x:v>Batch 1 core</x:v>
      </x:c>
      <x:c r="I2690" s="28" t="str">
        <x:v>Direct ADHD primary study on diagnosis, family/education, structural conditions, lived experience/outcomes, or environment/lifestyle.</x:v>
      </x:c>
      <x:c r="J2690" s="38" t="e">
        <x:f>HYPERLINK("https://pubmed.ncbi.nlm.nih.gov/"&amp;C2690&amp;"/","Open PubMed")</x:f>
        <x:v>HYPERLINK is not implemented. linkLocation=https://pubmed.ncbi.nlm.nih.gov/41803832/, friendlyName=Open PubMed</x:v>
      </x:c>
    </x:row>
    <x:row r="2691">
      <x:c r="A2691" s="26" t="str">
        <x:v>PUBMED-41792840</x:v>
      </x:c>
      <x:c r="B2691" s="26" t="n">
        <x:v>2026</x:v>
      </x:c>
      <x:c r="C2691" s="26" t="str">
        <x:v>41792840</x:v>
      </x:c>
      <x:c r="D2691" s="28" t="str">
        <x:v>Executive and motivational pathways to ADHD traits in the general population: a structural equation model of working memory, attention, delay discounting, and decision-making.</x:v>
      </x:c>
      <x:c r="E2691" s="28" t="str">
        <x:v>Primary/contextual journal article</x:v>
      </x:c>
      <x:c r="F2691" s="28" t="str">
        <x:v>Development &amp; presentation; Recognition &amp; diagnosis; Social &amp; structural; Treatment &amp; support; Life outcomes &amp; lived experience</x:v>
      </x:c>
      <x:c r="G2691" s="28" t="str">
        <x:v>Adolescence; Adulthood</x:v>
      </x:c>
      <x:c r="H2691" s="28" t="str">
        <x:v>Later specialized</x:v>
      </x:c>
      <x:c r="I2691" s="28" t="str">
        <x:v>Direct or strongly ADHD-related record retained for later screening; typically narrower treatment, biomarker, mechanistic, or single-comorbidity focus.</x:v>
      </x:c>
      <x:c r="J2691" s="38" t="e">
        <x:f>HYPERLINK("https://pubmed.ncbi.nlm.nih.gov/"&amp;C2691&amp;"/","Open PubMed")</x:f>
        <x:v>HYPERLINK is not implemented. linkLocation=https://pubmed.ncbi.nlm.nih.gov/41792840/, friendlyName=Open PubMed</x:v>
      </x:c>
    </x:row>
    <x:row r="2692">
      <x:c r="A2692" s="26" t="str">
        <x:v>PUBMED-41792457</x:v>
      </x:c>
      <x:c r="B2692" s="26" t="n">
        <x:v>2026</x:v>
      </x:c>
      <x:c r="C2692" s="26" t="str">
        <x:v>41792457</x:v>
      </x:c>
      <x:c r="D2692" s="28" t="str">
        <x:v>Transcriptome-informed brain cartography of polygenic risk and association with brain structure in major psychiatric disorders.</x:v>
      </x:c>
      <x:c r="E2692" s="28" t="str">
        <x:v>Primary/contextual journal article</x:v>
      </x:c>
      <x:c r="F2692" s="28" t="str">
        <x:v>Development &amp; presentation; Social &amp; structural; Environmental &amp; lifestyle</x:v>
      </x:c>
      <x:c r="G2692" s="28" t="str">
        <x:v>Not specified</x:v>
      </x:c>
      <x:c r="H2692" s="28" t="str">
        <x:v>Later specialized</x:v>
      </x:c>
      <x:c r="I2692" s="28" t="str">
        <x:v>Direct or strongly ADHD-related record retained for later screening; typically narrower treatment, biomarker, mechanistic, or single-comorbidity focus.</x:v>
      </x:c>
      <x:c r="J2692" s="38" t="e">
        <x:f>HYPERLINK("https://pubmed.ncbi.nlm.nih.gov/"&amp;C2692&amp;"/","Open PubMed")</x:f>
        <x:v>HYPERLINK is not implemented. linkLocation=https://pubmed.ncbi.nlm.nih.gov/41792457/, friendlyName=Open PubMed</x:v>
      </x:c>
    </x:row>
    <x:row r="2693">
      <x:c r="A2693" s="26" t="str">
        <x:v>PUBMED-41791596</x:v>
      </x:c>
      <x:c r="B2693" s="26" t="n">
        <x:v>2026</x:v>
      </x:c>
      <x:c r="C2693" s="26" t="str">
        <x:v>41791596</x:v>
      </x:c>
      <x:c r="D2693" s="28" t="str">
        <x:v>Self-esteem, inflammatory cytokines, and cognitive function in adolescents with emotional dysregulation.</x:v>
      </x:c>
      <x:c r="E2693" s="28" t="str">
        <x:v>Primary/contextual journal article</x:v>
      </x:c>
      <x:c r="F2693" s="28" t="str">
        <x:v>Development &amp; presentation; Recognition &amp; diagnosis; Social &amp; structural; Treatment &amp; support</x:v>
      </x:c>
      <x:c r="G2693" s="28" t="str">
        <x:v>Adolescence</x:v>
      </x:c>
      <x:c r="H2693" s="28" t="str">
        <x:v>Exclude/incidental</x:v>
      </x:c>
      <x:c r="I2693" s="28" t="str">
        <x:v>ADHD appears peripheral or insufficiently aligned with the requested corpus scope based on accessible metadata/abstract.</x:v>
      </x:c>
      <x:c r="J2693" s="38" t="e">
        <x:f>HYPERLINK("https://pubmed.ncbi.nlm.nih.gov/"&amp;C2693&amp;"/","Open PubMed")</x:f>
        <x:v>HYPERLINK is not implemented. linkLocation=https://pubmed.ncbi.nlm.nih.gov/41791596/, friendlyName=Open PubMed</x:v>
      </x:c>
    </x:row>
    <x:row r="2694">
      <x:c r="A2694" s="26" t="str">
        <x:v>PUBMED-41787382</x:v>
      </x:c>
      <x:c r="B2694" s="26" t="n">
        <x:v>2026</x:v>
      </x:c>
      <x:c r="C2694" s="26" t="str">
        <x:v>41787382</x:v>
      </x:c>
      <x:c r="D2694" s="28" t="str">
        <x:v>Integrating single-channel EEG neurofeedback into video game-based digital therapeutics for ADHD.</x:v>
      </x:c>
      <x:c r="E2694" s="28" t="str">
        <x:v>Primary/contextual journal article</x:v>
      </x:c>
      <x:c r="F2694" s="28" t="str">
        <x:v>Development &amp; presentation; Family &amp; education; Social &amp; structural; Environmental &amp; lifestyle; Treatment &amp; support</x:v>
      </x:c>
      <x:c r="G2694" s="28" t="str">
        <x:v>Childhood</x:v>
      </x:c>
      <x:c r="H2694" s="28" t="str">
        <x:v>Later specialized</x:v>
      </x:c>
      <x:c r="I2694" s="28" t="str">
        <x:v>Direct or strongly ADHD-related record retained for later screening; typically narrower treatment, biomarker, mechanistic, or single-comorbidity focus.</x:v>
      </x:c>
      <x:c r="J2694" s="38" t="e">
        <x:f>HYPERLINK("https://pubmed.ncbi.nlm.nih.gov/"&amp;C2694&amp;"/","Open PubMed")</x:f>
        <x:v>HYPERLINK is not implemented. linkLocation=https://pubmed.ncbi.nlm.nih.gov/41787382/, friendlyName=Open PubMed</x:v>
      </x:c>
    </x:row>
    <x:row r="2695">
      <x:c r="A2695" s="26" t="str">
        <x:v>PUBMED-41780800</x:v>
      </x:c>
      <x:c r="B2695" s="26" t="n">
        <x:v>2026</x:v>
      </x:c>
      <x:c r="C2695" s="26" t="str">
        <x:v>41780800</x:v>
      </x:c>
      <x:c r="D2695" s="28" t="str">
        <x:v>Safety of acetaminophen use in pregnancy: review of existing evidence.</x:v>
      </x:c>
      <x:c r="E2695" s="28" t="str">
        <x:v>Evidence synthesis - systematic review</x:v>
      </x:c>
      <x:c r="F2695" s="28" t="str">
        <x:v>Development &amp; presentation; Social &amp; structural; Environmental &amp; lifestyle; Treatment &amp; support; Life outcomes &amp; lived experience</x:v>
      </x:c>
      <x:c r="G2695" s="28" t="str">
        <x:v>Not specified</x:v>
      </x:c>
      <x:c r="H2695" s="28" t="str">
        <x:v>Later specialized</x:v>
      </x:c>
      <x:c r="I2695" s="28" t="str">
        <x:v>Direct or strongly ADHD-related record retained for later screening; typically narrower treatment, biomarker, mechanistic, or single-comorbidity focus.</x:v>
      </x:c>
      <x:c r="J2695" s="38" t="e">
        <x:f>HYPERLINK("https://pubmed.ncbi.nlm.nih.gov/"&amp;C2695&amp;"/","Open PubMed")</x:f>
        <x:v>HYPERLINK is not implemented. linkLocation=https://pubmed.ncbi.nlm.nih.gov/41780800/, friendlyName=Open PubMed</x:v>
      </x:c>
    </x:row>
    <x:row r="2696">
      <x:c r="A2696" s="26" t="str">
        <x:v>PUBMED-41780791</x:v>
      </x:c>
      <x:c r="B2696" s="26" t="n">
        <x:v>2026</x:v>
      </x:c>
      <x:c r="C2696" s="26" t="str">
        <x:v>41780791</x:v>
      </x:c>
      <x:c r="D2696" s="28" t="str">
        <x:v>Halogenated flame retardants, thyroid function biomarkers, attention-deficit/hyperactivity disorder-related traits and neurodevelopment in children: Recent evidence from a Canadian prospective birth cohort study.</x:v>
      </x:c>
      <x:c r="E2696" s="28" t="str">
        <x:v>Primary study - cohort</x:v>
      </x:c>
      <x:c r="F2696" s="28" t="str">
        <x:v>Development &amp; presentation; Recognition &amp; diagnosis; Family &amp; education; Social &amp; structural; Environmental &amp; lifestyle; Life outcomes &amp; lived experience</x:v>
      </x:c>
      <x:c r="G2696" s="28" t="str">
        <x:v>Childhood</x:v>
      </x:c>
      <x:c r="H2696" s="28" t="str">
        <x:v>Later specialized</x:v>
      </x:c>
      <x:c r="I2696" s="28" t="str">
        <x:v>Direct or strongly ADHD-related record retained for later screening; typically narrower treatment, biomarker, mechanistic, or single-comorbidity focus.</x:v>
      </x:c>
      <x:c r="J2696" s="38" t="e">
        <x:f>HYPERLINK("https://pubmed.ncbi.nlm.nih.gov/"&amp;C2696&amp;"/","Open PubMed")</x:f>
        <x:v>HYPERLINK is not implemented. linkLocation=https://pubmed.ncbi.nlm.nih.gov/41780791/, friendlyName=Open PubMed</x:v>
      </x:c>
    </x:row>
    <x:row r="2697">
      <x:c r="A2697" s="26" t="str">
        <x:v>PUBMED-41774611</x:v>
      </x:c>
      <x:c r="B2697" s="26" t="n">
        <x:v>2026</x:v>
      </x:c>
      <x:c r="C2697" s="26" t="str">
        <x:v>41774611</x:v>
      </x:c>
      <x:c r="D2697" s="28" t="str">
        <x:v>Investigation of &lt;italic&gt;CLDN5&lt;/italic&gt; Gene 3' Untranslated Region rs10314 Polymorphism and Protein Levels in Children and Adolescents with Attention-Deficit Hyperactivity Disorder: A Molecular and Clinical Correlation Study.</x:v>
      </x:c>
      <x:c r="E2697" s="28" t="str">
        <x:v>Primary study - case-control</x:v>
      </x:c>
      <x:c r="F2697" s="28" t="str">
        <x:v>Development &amp; presentation; Recognition &amp; diagnosis</x:v>
      </x:c>
      <x:c r="G2697" s="28" t="str">
        <x:v>Childhood; Adolescence</x:v>
      </x:c>
      <x:c r="H2697" s="28" t="str">
        <x:v>Later specialized</x:v>
      </x:c>
      <x:c r="I2697" s="28" t="str">
        <x:v>Direct or strongly ADHD-related record retained for later screening; typically narrower treatment, biomarker, mechanistic, or single-comorbidity focus.</x:v>
      </x:c>
      <x:c r="J2697" s="38" t="e">
        <x:f>HYPERLINK("https://pubmed.ncbi.nlm.nih.gov/"&amp;C2697&amp;"/","Open PubMed")</x:f>
        <x:v>HYPERLINK is not implemented. linkLocation=https://pubmed.ncbi.nlm.nih.gov/41774611/, friendlyName=Open PubMed</x:v>
      </x:c>
    </x:row>
    <x:row r="2698">
      <x:c r="A2698" s="26" t="str">
        <x:v>PUBMED-41772057</x:v>
      </x:c>
      <x:c r="B2698" s="26" t="n">
        <x:v>2026</x:v>
      </x:c>
      <x:c r="C2698" s="26" t="str">
        <x:v>41772057</x:v>
      </x:c>
      <x:c r="D2698" s="28" t="str">
        <x:v>The conceptual landscape of self-regulation in neurodevelopmental conditions: an overview of reviews.</x:v>
      </x:c>
      <x:c r="E2698" s="28" t="str">
        <x:v>Evidence synthesis - review</x:v>
      </x:c>
      <x:c r="F2698" s="28" t="str">
        <x:v>Development &amp; presentation; Recognition &amp; diagnosis; Family &amp; education; Social &amp; structural; Environmental &amp; lifestyle</x:v>
      </x:c>
      <x:c r="G2698" s="28" t="str">
        <x:v>Not specified</x:v>
      </x:c>
      <x:c r="H2698" s="28" t="str">
        <x:v>Exclude/incidental</x:v>
      </x:c>
      <x:c r="I2698" s="28" t="str">
        <x:v>ADHD appears peripheral or insufficiently aligned with the requested corpus scope based on accessible metadata/abstract.</x:v>
      </x:c>
      <x:c r="J2698" s="38" t="e">
        <x:f>HYPERLINK("https://pubmed.ncbi.nlm.nih.gov/"&amp;C2698&amp;"/","Open PubMed")</x:f>
        <x:v>HYPERLINK is not implemented. linkLocation=https://pubmed.ncbi.nlm.nih.gov/41772057/, friendlyName=Open PubMed</x:v>
      </x:c>
    </x:row>
    <x:row r="2699">
      <x:c r="A2699" s="26" t="str">
        <x:v>PUBMED-41771813</x:v>
      </x:c>
      <x:c r="B2699" s="26" t="n">
        <x:v>2026</x:v>
      </x:c>
      <x:c r="C2699" s="26" t="str">
        <x:v>41771813</x:v>
      </x:c>
      <x:c r="D2699" s="28" t="str">
        <x:v>High rainfall at birth is associated with raised inattention scores on the Conners adult ADHD rating scale among healthy participants in Japan.</x:v>
      </x:c>
      <x:c r="E2699" s="28" t="str">
        <x:v>Primary/contextual journal article</x:v>
      </x:c>
      <x:c r="F2699" s="28" t="str">
        <x:v>Development &amp; presentation; Recognition &amp; diagnosis; Family &amp; education; Environmental &amp; lifestyle</x:v>
      </x:c>
      <x:c r="G2699" s="28" t="str">
        <x:v>Adulthood</x:v>
      </x:c>
      <x:c r="H2699" s="28" t="str">
        <x:v>Later specialized</x:v>
      </x:c>
      <x:c r="I2699" s="28" t="str">
        <x:v>Direct or strongly ADHD-related record retained for later screening; typically narrower treatment, biomarker, mechanistic, or single-comorbidity focus.</x:v>
      </x:c>
      <x:c r="J2699" s="38" t="e">
        <x:f>HYPERLINK("https://pubmed.ncbi.nlm.nih.gov/"&amp;C2699&amp;"/","Open PubMed")</x:f>
        <x:v>HYPERLINK is not implemented. linkLocation=https://pubmed.ncbi.nlm.nih.gov/41771813/, friendlyName=Open PubMed</x:v>
      </x:c>
    </x:row>
    <x:row r="2700">
      <x:c r="A2700" s="26" t="str">
        <x:v>PUBMED-41764167</x:v>
      </x:c>
      <x:c r="B2700" s="26" t="n">
        <x:v>2026</x:v>
      </x:c>
      <x:c r="C2700" s="26" t="str">
        <x:v>41764167</x:v>
      </x:c>
      <x:c r="D2700" s="28" t="str">
        <x:v>Common and rare variant contributions to discontinuation of stimulant treatment in ADHD.</x:v>
      </x:c>
      <x:c r="E2700" s="28" t="str">
        <x:v>Primary study - cohort</x:v>
      </x:c>
      <x:c r="F2700" s="28" t="str">
        <x:v>Development &amp; presentation; Family &amp; education; Social &amp; structural; Treatment &amp; support; Life outcomes &amp; lived experience</x:v>
      </x:c>
      <x:c r="G2700" s="28" t="str">
        <x:v>Childhood; Adolescence; Adulthood</x:v>
      </x:c>
      <x:c r="H2700" s="28" t="str">
        <x:v>Later specialized</x:v>
      </x:c>
      <x:c r="I2700" s="28" t="str">
        <x:v>Direct or strongly ADHD-related record retained for later screening; typically narrower treatment, biomarker, mechanistic, or single-comorbidity focus.</x:v>
      </x:c>
      <x:c r="J2700" s="38" t="e">
        <x:f>HYPERLINK("https://pubmed.ncbi.nlm.nih.gov/"&amp;C2700&amp;"/","Open PubMed")</x:f>
        <x:v>HYPERLINK is not implemented. linkLocation=https://pubmed.ncbi.nlm.nih.gov/41764167/, friendlyName=Open PubMed</x:v>
      </x:c>
    </x:row>
    <x:row r="2701">
      <x:c r="A2701" s="26" t="str">
        <x:v>PUBMED-41758830</x:v>
      </x:c>
      <x:c r="B2701" s="26" t="n">
        <x:v>2026</x:v>
      </x:c>
      <x:c r="C2701" s="26" t="str">
        <x:v>41758830</x:v>
      </x:c>
      <x:c r="D2701" s="28" t="str">
        <x:v>Child training in the Child ViReal Support Program: Combining iVR-based cognitive training and CBT techniques in a pilot study.</x:v>
      </x:c>
      <x:c r="E2701" s="28" t="str">
        <x:v>Primary study - randomized controlled trial</x:v>
      </x:c>
      <x:c r="F2701" s="28" t="str">
        <x:v>Development &amp; presentation; Family &amp; education; Social &amp; structural; Treatment &amp; support; Life outcomes &amp; lived experience</x:v>
      </x:c>
      <x:c r="G2701" s="28" t="str">
        <x:v>Childhood</x:v>
      </x:c>
      <x:c r="H2701" s="28" t="str">
        <x:v>Exclude/incidental</x:v>
      </x:c>
      <x:c r="I2701" s="28" t="str">
        <x:v>ADHD appears peripheral or insufficiently aligned with the requested corpus scope based on accessible metadata/abstract.</x:v>
      </x:c>
      <x:c r="J2701" s="38" t="e">
        <x:f>HYPERLINK("https://pubmed.ncbi.nlm.nih.gov/"&amp;C2701&amp;"/","Open PubMed")</x:f>
        <x:v>HYPERLINK is not implemented. linkLocation=https://pubmed.ncbi.nlm.nih.gov/41758830/, friendlyName=Open PubMed</x:v>
      </x:c>
    </x:row>
    <x:row r="2702">
      <x:c r="A2702" s="26" t="str">
        <x:v>PUBMED-41742378</x:v>
      </x:c>
      <x:c r="B2702" s="26" t="n">
        <x:v>2026</x:v>
      </x:c>
      <x:c r="C2702" s="26" t="str">
        <x:v>41742378</x:v>
      </x:c>
      <x:c r="D2702" s="28" t="str">
        <x:v>Accessibility of ADHD Assessments in Australia: A Secret Shopper Study.</x:v>
      </x:c>
      <x:c r="E2702" s="28" t="str">
        <x:v>Primary/contextual journal article</x:v>
      </x:c>
      <x:c r="F2702" s="28" t="str">
        <x:v>Development &amp; presentation; Recognition &amp; diagnosis; Social &amp; structural</x:v>
      </x:c>
      <x:c r="G2702" s="28" t="str">
        <x:v>Childhood; Adulthood</x:v>
      </x:c>
      <x:c r="H2702" s="28" t="str">
        <x:v>Later specialized</x:v>
      </x:c>
      <x:c r="I2702" s="28" t="str">
        <x:v>Direct or strongly ADHD-related record retained for later screening; typically narrower treatment, biomarker, mechanistic, or single-comorbidity focus.</x:v>
      </x:c>
      <x:c r="J2702" s="38" t="e">
        <x:f>HYPERLINK("https://pubmed.ncbi.nlm.nih.gov/"&amp;C2702&amp;"/","Open PubMed")</x:f>
        <x:v>HYPERLINK is not implemented. linkLocation=https://pubmed.ncbi.nlm.nih.gov/41742378/, friendlyName=Open PubMed</x:v>
      </x:c>
    </x:row>
    <x:row r="2703">
      <x:c r="A2703" s="26" t="str">
        <x:v>PUBMED-41739150</x:v>
      </x:c>
      <x:c r="B2703" s="26" t="n">
        <x:v>2026</x:v>
      </x:c>
      <x:c r="C2703" s="26" t="str">
        <x:v>41739150</x:v>
      </x:c>
      <x:c r="D2703" s="28" t="str">
        <x:v>"It has tentacles into every single aspect of me" a qualitative evidence synthesis of the lived experiences and perceptions of ADHD youth.</x:v>
      </x:c>
      <x:c r="E2703" s="28" t="str">
        <x:v>Evidence synthesis - review</x:v>
      </x:c>
      <x:c r="F2703" s="28" t="str">
        <x:v>Development &amp; presentation; Recognition &amp; diagnosis; Family &amp; education; Social &amp; structural; Life outcomes &amp; lived experience</x:v>
      </x:c>
      <x:c r="G2703" s="28" t="str">
        <x:v>Childhood; Adolescence; Adulthood</x:v>
      </x:c>
      <x:c r="H2703" s="28" t="str">
        <x:v>Later specialized</x:v>
      </x:c>
      <x:c r="I2703" s="28" t="str">
        <x:v>Direct or strongly ADHD-related record retained for later screening; typically narrower treatment, biomarker, mechanistic, or single-comorbidity focus.</x:v>
      </x:c>
      <x:c r="J2703" s="38" t="e">
        <x:f>HYPERLINK("https://pubmed.ncbi.nlm.nih.gov/"&amp;C2703&amp;"/","Open PubMed")</x:f>
        <x:v>HYPERLINK is not implemented. linkLocation=https://pubmed.ncbi.nlm.nih.gov/41739150/, friendlyName=Open PubMed</x:v>
      </x:c>
    </x:row>
    <x:row r="2704">
      <x:c r="A2704" s="26" t="str">
        <x:v>PUBMED-41729841</x:v>
      </x:c>
      <x:c r="B2704" s="26" t="n">
        <x:v>2026</x:v>
      </x:c>
      <x:c r="C2704" s="26" t="str">
        <x:v>41729841</x:v>
      </x:c>
      <x:c r="D2704" s="28" t="str">
        <x:v>Children with autism spectrum disorder and attention deficit hyperactivity disorder have evidence of sensory nerve degeneration.</x:v>
      </x:c>
      <x:c r="E2704" s="28" t="str">
        <x:v>Primary study - case-control</x:v>
      </x:c>
      <x:c r="F2704" s="28" t="str">
        <x:v>Development &amp; presentation; Recognition &amp; diagnosis; Social &amp; structural</x:v>
      </x:c>
      <x:c r="G2704" s="28" t="str">
        <x:v>Childhood; Adolescence</x:v>
      </x:c>
      <x:c r="H2704" s="28" t="str">
        <x:v>Later specialized</x:v>
      </x:c>
      <x:c r="I2704" s="28" t="str">
        <x:v>Direct or strongly ADHD-related record retained for later screening; typically narrower treatment, biomarker, mechanistic, or single-comorbidity focus.</x:v>
      </x:c>
      <x:c r="J2704" s="38" t="e">
        <x:f>HYPERLINK("https://pubmed.ncbi.nlm.nih.gov/"&amp;C2704&amp;"/","Open PubMed")</x:f>
        <x:v>HYPERLINK is not implemented. linkLocation=https://pubmed.ncbi.nlm.nih.gov/41729841/, friendlyName=Open PubMed</x:v>
      </x:c>
    </x:row>
    <x:row r="2705">
      <x:c r="A2705" s="26" t="str">
        <x:v>PUBMED-41725173</x:v>
      </x:c>
      <x:c r="B2705" s="26" t="n">
        <x:v>2026</x:v>
      </x:c>
      <x:c r="C2705" s="26" t="str">
        <x:v>41725173</x:v>
      </x:c>
      <x:c r="D2705" s="28" t="str">
        <x:v>ADHD: real-world consequences of missed diagnosis and mistreatment.</x:v>
      </x:c>
      <x:c r="E2705" s="28" t="str">
        <x:v>Contextual - editorial/comment</x:v>
      </x:c>
      <x:c r="F2705" s="28" t="str">
        <x:v>Development &amp; presentation; Recognition &amp; diagnosis; Social &amp; structural; Treatment &amp; support; Life outcomes &amp; lived experience</x:v>
      </x:c>
      <x:c r="G2705" s="28" t="str">
        <x:v>Adulthood</x:v>
      </x:c>
      <x:c r="H2705" s="28" t="str">
        <x:v>Later specialized</x:v>
      </x:c>
      <x:c r="I2705" s="28" t="str">
        <x:v>Direct or strongly ADHD-related record retained for later screening; typically narrower treatment, biomarker, mechanistic, or single-comorbidity focus.</x:v>
      </x:c>
      <x:c r="J2705" s="38" t="e">
        <x:f>HYPERLINK("https://pubmed.ncbi.nlm.nih.gov/"&amp;C2705&amp;"/","Open PubMed")</x:f>
        <x:v>HYPERLINK is not implemented. linkLocation=https://pubmed.ncbi.nlm.nih.gov/41725173/, friendlyName=Open PubMed</x:v>
      </x:c>
    </x:row>
    <x:row r="2706">
      <x:c r="A2706" s="26" t="str">
        <x:v>PUBMED-41721825</x:v>
      </x:c>
      <x:c r="B2706" s="26" t="n">
        <x:v>2026</x:v>
      </x:c>
      <x:c r="C2706" s="26" t="str">
        <x:v>41721825</x:v>
      </x:c>
      <x:c r="D2706" s="28" t="str">
        <x:v>Cognitive profiles of Autism, ADHD, and co-occurring presentations in childhood: insights from an online working memory task.</x:v>
      </x:c>
      <x:c r="E2706" s="28" t="str">
        <x:v>Primary/contextual journal article</x:v>
      </x:c>
      <x:c r="F2706" s="28" t="str">
        <x:v>Development &amp; presentation; Recognition &amp; diagnosis; Social &amp; structural; Historical &amp; contemporary context</x:v>
      </x:c>
      <x:c r="G2706" s="28" t="str">
        <x:v>Childhood; Adolescence</x:v>
      </x:c>
      <x:c r="H2706" s="28" t="str">
        <x:v>Later specialized</x:v>
      </x:c>
      <x:c r="I2706" s="28" t="str">
        <x:v>Direct or strongly ADHD-related record retained for later screening; typically narrower treatment, biomarker, mechanistic, or single-comorbidity focus.</x:v>
      </x:c>
      <x:c r="J2706" s="38" t="e">
        <x:f>HYPERLINK("https://pubmed.ncbi.nlm.nih.gov/"&amp;C2706&amp;"/","Open PubMed")</x:f>
        <x:v>HYPERLINK is not implemented. linkLocation=https://pubmed.ncbi.nlm.nih.gov/41721825/, friendlyName=Open PubMed</x:v>
      </x:c>
    </x:row>
    <x:row r="2707">
      <x:c r="A2707" s="26" t="str">
        <x:v>PUBMED-41721200</x:v>
      </x:c>
      <x:c r="B2707" s="26" t="n">
        <x:v>2026</x:v>
      </x:c>
      <x:c r="C2707" s="26" t="str">
        <x:v>41721200</x:v>
      </x:c>
      <x:c r="D2707" s="28" t="str">
        <x:v>A Study on the Validity and Reliability of the Turkish Translation of the Self-Report Wender-Reimherr Adult Attention Deficit Disorder Scale.</x:v>
      </x:c>
      <x:c r="E2707" s="28" t="str">
        <x:v>Primary/contextual journal article</x:v>
      </x:c>
      <x:c r="F2707" s="28" t="str">
        <x:v>Development &amp; presentation; Recognition &amp; diagnosis; Social &amp; structural</x:v>
      </x:c>
      <x:c r="G2707" s="28" t="str">
        <x:v>Adulthood</x:v>
      </x:c>
      <x:c r="H2707" s="28" t="str">
        <x:v>Later specialized</x:v>
      </x:c>
      <x:c r="I2707" s="28" t="str">
        <x:v>Direct or strongly ADHD-related record retained for later screening; typically narrower treatment, biomarker, mechanistic, or single-comorbidity focus.</x:v>
      </x:c>
      <x:c r="J2707" s="38" t="e">
        <x:f>HYPERLINK("https://pubmed.ncbi.nlm.nih.gov/"&amp;C2707&amp;"/","Open PubMed")</x:f>
        <x:v>HYPERLINK is not implemented. linkLocation=https://pubmed.ncbi.nlm.nih.gov/41721200/, friendlyName=Open PubMed</x:v>
      </x:c>
    </x:row>
    <x:row r="2708">
      <x:c r="A2708" s="26" t="str">
        <x:v>PUBMED-41703702</x:v>
      </x:c>
      <x:c r="B2708" s="26" t="n">
        <x:v>2026</x:v>
      </x:c>
      <x:c r="C2708" s="26" t="str">
        <x:v>41703702</x:v>
      </x:c>
      <x:c r="D2708" s="28" t="str">
        <x:v>Functional Disability Among Disadvantaged Mexican Children With Mental Disorders Seeking Treatment: Differences by Gender and Diagnosis.</x:v>
      </x:c>
      <x:c r="E2708" s="28" t="str">
        <x:v>Primary study - cross-sectional</x:v>
      </x:c>
      <x:c r="F2708" s="28" t="str">
        <x:v>Development &amp; presentation; Recognition &amp; diagnosis; Family &amp; education; Social &amp; structural; Treatment &amp; support; Life outcomes &amp; lived experience</x:v>
      </x:c>
      <x:c r="G2708" s="28" t="str">
        <x:v>Childhood; Adolescence</x:v>
      </x:c>
      <x:c r="H2708" s="28" t="str">
        <x:v>Exclude/incidental</x:v>
      </x:c>
      <x:c r="I2708" s="28" t="str">
        <x:v>ADHD appears peripheral or insufficiently aligned with the requested corpus scope based on accessible metadata/abstract.</x:v>
      </x:c>
      <x:c r="J2708" s="38" t="e">
        <x:f>HYPERLINK("https://pubmed.ncbi.nlm.nih.gov/"&amp;C2708&amp;"/","Open PubMed")</x:f>
        <x:v>HYPERLINK is not implemented. linkLocation=https://pubmed.ncbi.nlm.nih.gov/41703702/, friendlyName=Open PubMed</x:v>
      </x:c>
    </x:row>
    <x:row r="2709">
      <x:c r="A2709" s="26" t="str">
        <x:v>PUBMED-41703267</x:v>
      </x:c>
      <x:c r="B2709" s="26" t="n">
        <x:v>2026</x:v>
      </x:c>
      <x:c r="C2709" s="26" t="str">
        <x:v>41703267</x:v>
      </x:c>
      <x:c r="D2709" s="28" t="str">
        <x:v>Distinct neurobiological alterations during hedonic experience of rewards in attention deficit hyperactivity disorder and autism spectrum disorder: Multimodal evidence from neuroimaging meta-analyses.</x:v>
      </x:c>
      <x:c r="E2709" s="28" t="str">
        <x:v>Evidence synthesis - meta-analysis</x:v>
      </x:c>
      <x:c r="F2709" s="28" t="str">
        <x:v>Development &amp; presentation; Recognition &amp; diagnosis; Social &amp; structural; Treatment &amp; support</x:v>
      </x:c>
      <x:c r="G2709" s="28" t="str">
        <x:v>Childhood</x:v>
      </x:c>
      <x:c r="H2709" s="28" t="str">
        <x:v>Later specialized</x:v>
      </x:c>
      <x:c r="I2709" s="28" t="str">
        <x:v>Direct or strongly ADHD-related record retained for later screening; typically narrower treatment, biomarker, mechanistic, or single-comorbidity focus.</x:v>
      </x:c>
      <x:c r="J2709" s="38" t="e">
        <x:f>HYPERLINK("https://pubmed.ncbi.nlm.nih.gov/"&amp;C2709&amp;"/","Open PubMed")</x:f>
        <x:v>HYPERLINK is not implemented. linkLocation=https://pubmed.ncbi.nlm.nih.gov/41703267/, friendlyName=Open PubMed</x:v>
      </x:c>
    </x:row>
    <x:row r="2710">
      <x:c r="A2710" s="26" t="str">
        <x:v>PUBMED-41687439</x:v>
      </x:c>
      <x:c r="B2710" s="26" t="n">
        <x:v>2026</x:v>
      </x:c>
      <x:c r="C2710" s="26" t="str">
        <x:v>41687439</x:v>
      </x:c>
      <x:c r="D2710" s="28" t="str">
        <x:v>Intact sleep-dependent memory consolidation of auditory statistical learning among young adults with ADHD.</x:v>
      </x:c>
      <x:c r="E2710" s="28" t="str">
        <x:v>Primary/contextual journal article</x:v>
      </x:c>
      <x:c r="F2710" s="28" t="str">
        <x:v>Development &amp; presentation; Recognition &amp; diagnosis; Social &amp; structural; Environmental &amp; lifestyle</x:v>
      </x:c>
      <x:c r="G2710" s="28" t="str">
        <x:v>Adolescence; Adulthood</x:v>
      </x:c>
      <x:c r="H2710" s="28" t="str">
        <x:v>Later specialized</x:v>
      </x:c>
      <x:c r="I2710" s="28" t="str">
        <x:v>Direct or strongly ADHD-related record retained for later screening; typically narrower treatment, biomarker, mechanistic, or single-comorbidity focus.</x:v>
      </x:c>
      <x:c r="J2710" s="38" t="e">
        <x:f>HYPERLINK("https://pubmed.ncbi.nlm.nih.gov/"&amp;C2710&amp;"/","Open PubMed")</x:f>
        <x:v>HYPERLINK is not implemented. linkLocation=https://pubmed.ncbi.nlm.nih.gov/41687439/, friendlyName=Open PubMed</x:v>
      </x:c>
    </x:row>
    <x:row r="2711">
      <x:c r="A2711" s="26" t="str">
        <x:v>PUBMED-41687204</x:v>
      </x:c>
      <x:c r="B2711" s="26" t="n">
        <x:v>2026</x:v>
      </x:c>
      <x:c r="C2711" s="26" t="str">
        <x:v>41687204</x:v>
      </x:c>
      <x:c r="D2711" s="28" t="str">
        <x:v>Transferability of cognitive training in children with ADHD: Comparison of remediation and compensation approaches.</x:v>
      </x:c>
      <x:c r="E2711" s="28" t="str">
        <x:v>Primary study - randomized controlled trial</x:v>
      </x:c>
      <x:c r="F2711" s="28" t="str">
        <x:v>Development &amp; presentation; Family &amp; education; Social &amp; structural; Treatment &amp; support; Life outcomes &amp; lived experience</x:v>
      </x:c>
      <x:c r="G2711" s="28" t="str">
        <x:v>Childhood</x:v>
      </x:c>
      <x:c r="H2711" s="28" t="str">
        <x:v>Later specialized</x:v>
      </x:c>
      <x:c r="I2711" s="28" t="str">
        <x:v>Direct or strongly ADHD-related record retained for later screening; typically narrower treatment, biomarker, mechanistic, or single-comorbidity focus.</x:v>
      </x:c>
      <x:c r="J2711" s="38" t="e">
        <x:f>HYPERLINK("https://pubmed.ncbi.nlm.nih.gov/"&amp;C2711&amp;"/","Open PubMed")</x:f>
        <x:v>HYPERLINK is not implemented. linkLocation=https://pubmed.ncbi.nlm.nih.gov/41687204/, friendlyName=Open PubMed</x:v>
      </x:c>
    </x:row>
    <x:row r="2712">
      <x:c r="A2712" s="26" t="str">
        <x:v>PUBMED-41686140</x:v>
      </x:c>
      <x:c r="B2712" s="26" t="n">
        <x:v>2026</x:v>
      </x:c>
      <x:c r="C2712" s="26" t="str">
        <x:v>41686140</x:v>
      </x:c>
      <x:c r="D2712" s="28" t="str">
        <x:v>Trends in Parent-Reported ADHD Diagnosis and Treatment Among U.S. Children, 2016-2023.</x:v>
      </x:c>
      <x:c r="E2712" s="28" t="str">
        <x:v>Primary/contextual journal article</x:v>
      </x:c>
      <x:c r="F2712" s="28" t="str">
        <x:v>Development &amp; presentation; Recognition &amp; diagnosis; Family &amp; education; Social &amp; structural; Treatment &amp; support</x:v>
      </x:c>
      <x:c r="G2712" s="28" t="str">
        <x:v>Childhood; Adolescence; Adulthood</x:v>
      </x:c>
      <x:c r="H2712" s="28" t="str">
        <x:v>Later specialized</x:v>
      </x:c>
      <x:c r="I2712" s="28" t="str">
        <x:v>Direct or strongly ADHD-related record retained for later screening; typically narrower treatment, biomarker, mechanistic, or single-comorbidity focus.</x:v>
      </x:c>
      <x:c r="J2712" s="38" t="e">
        <x:f>HYPERLINK("https://pubmed.ncbi.nlm.nih.gov/"&amp;C2712&amp;"/","Open PubMed")</x:f>
        <x:v>HYPERLINK is not implemented. linkLocation=https://pubmed.ncbi.nlm.nih.gov/41686140/, friendlyName=Open PubMed</x:v>
      </x:c>
    </x:row>
    <x:row r="2713">
      <x:c r="A2713" s="26" t="str">
        <x:v>PUBMED-41685882</x:v>
      </x:c>
      <x:c r="B2713" s="26" t="n">
        <x:v>2026</x:v>
      </x:c>
      <x:c r="C2713" s="26" t="str">
        <x:v>41685882</x:v>
      </x:c>
      <x:c r="D2713" s="28" t="str">
        <x:v>Interictal epileptiform discharges are involved in momentary lapses of attention in children with epilepsy.</x:v>
      </x:c>
      <x:c r="E2713" s="28" t="str">
        <x:v>Primary/contextual journal article</x:v>
      </x:c>
      <x:c r="F2713" s="28" t="str">
        <x:v>Development &amp; presentation; Family &amp; education; Social &amp; structural; Treatment &amp; support; Life outcomes &amp; lived experience</x:v>
      </x:c>
      <x:c r="G2713" s="28" t="str">
        <x:v>Childhood; Adolescence</x:v>
      </x:c>
      <x:c r="H2713" s="28" t="str">
        <x:v>Exclude/incidental</x:v>
      </x:c>
      <x:c r="I2713" s="28" t="str">
        <x:v>ADHD appears peripheral or insufficiently aligned with the requested corpus scope based on accessible metadata/abstract.</x:v>
      </x:c>
      <x:c r="J2713" s="38" t="e">
        <x:f>HYPERLINK("https://pubmed.ncbi.nlm.nih.gov/"&amp;C2713&amp;"/","Open PubMed")</x:f>
        <x:v>HYPERLINK is not implemented. linkLocation=https://pubmed.ncbi.nlm.nih.gov/41685882/, friendlyName=Open PubMed</x:v>
      </x:c>
    </x:row>
    <x:row r="2714">
      <x:c r="A2714" s="26" t="str">
        <x:v>PUBMED-41682533</x:v>
      </x:c>
      <x:c r="B2714" s="26" t="n">
        <x:v>2026</x:v>
      </x:c>
      <x:c r="C2714" s="26" t="str">
        <x:v>41682533</x:v>
      </x:c>
      <x:c r="D2714" s="28" t="str">
        <x:v>Integrating EEG Sensors with Virtual Reality to Support Students with ADHD.</x:v>
      </x:c>
      <x:c r="E2714" s="28" t="str">
        <x:v>Primary/contextual journal article</x:v>
      </x:c>
      <x:c r="F2714" s="28" t="str">
        <x:v>Development &amp; presentation; Recognition &amp; diagnosis; Family &amp; education; Social &amp; structural; Environmental &amp; lifestyle; Historical &amp; contemporary context</x:v>
      </x:c>
      <x:c r="G2714" s="28" t="str">
        <x:v>Adolescence</x:v>
      </x:c>
      <x:c r="H2714" s="28" t="str">
        <x:v>Later specialized</x:v>
      </x:c>
      <x:c r="I2714" s="28" t="str">
        <x:v>Direct or strongly ADHD-related record retained for later screening; typically narrower treatment, biomarker, mechanistic, or single-comorbidity focus.</x:v>
      </x:c>
      <x:c r="J2714" s="38" t="e">
        <x:f>HYPERLINK("https://pubmed.ncbi.nlm.nih.gov/"&amp;C2714&amp;"/","Open PubMed")</x:f>
        <x:v>HYPERLINK is not implemented. linkLocation=https://pubmed.ncbi.nlm.nih.gov/41682533/, friendlyName=Open PubMed</x:v>
      </x:c>
    </x:row>
    <x:row r="2715">
      <x:c r="A2715" s="26" t="str">
        <x:v>PUBMED-41662982</x:v>
      </x:c>
      <x:c r="B2715" s="26" t="n">
        <x:v>2026</x:v>
      </x:c>
      <x:c r="C2715" s="26" t="str">
        <x:v>41662982</x:v>
      </x:c>
      <x:c r="D2715" s="28" t="str">
        <x:v>Common multimodal neuroimaging mechanism of attention deficit hyperactivity disorder and sleep initiation difficulty in the developing brain.</x:v>
      </x:c>
      <x:c r="E2715" s="28" t="str">
        <x:v>Primary/contextual journal article</x:v>
      </x:c>
      <x:c r="F2715" s="28" t="str">
        <x:v>Development &amp; presentation; Recognition &amp; diagnosis; Social &amp; structural; Environmental &amp; lifestyle; Life outcomes &amp; lived experience</x:v>
      </x:c>
      <x:c r="G2715" s="28" t="str">
        <x:v>Childhood; Adolescence</x:v>
      </x:c>
      <x:c r="H2715" s="28" t="str">
        <x:v>Later specialized</x:v>
      </x:c>
      <x:c r="I2715" s="28" t="str">
        <x:v>Direct or strongly ADHD-related record retained for later screening; typically narrower treatment, biomarker, mechanistic, or single-comorbidity focus.</x:v>
      </x:c>
      <x:c r="J2715" s="38" t="e">
        <x:f>HYPERLINK("https://pubmed.ncbi.nlm.nih.gov/"&amp;C2715&amp;"/","Open PubMed")</x:f>
        <x:v>HYPERLINK is not implemented. linkLocation=https://pubmed.ncbi.nlm.nih.gov/41662982/, friendlyName=Open PubMed</x:v>
      </x:c>
    </x:row>
    <x:row r="2716">
      <x:c r="A2716" s="26" t="str">
        <x:v>PUBMED-41662318</x:v>
      </x:c>
      <x:c r="B2716" s="26" t="n">
        <x:v>2026</x:v>
      </x:c>
      <x:c r="C2716" s="26" t="str">
        <x:v>41662318</x:v>
      </x:c>
      <x:c r="D2716" s="28" t="str">
        <x:v>Revealing Gaps: Analysis of Nursing Faculty's Awareness of Neurodiverse Diagnoses.</x:v>
      </x:c>
      <x:c r="E2716" s="28" t="str">
        <x:v>Primary/contextual journal article</x:v>
      </x:c>
      <x:c r="F2716" s="28" t="str">
        <x:v>Development &amp; presentation; Recognition &amp; diagnosis; Family &amp; education; Social &amp; structural; Historical &amp; contemporary context</x:v>
      </x:c>
      <x:c r="G2716" s="28" t="str">
        <x:v>Not specified</x:v>
      </x:c>
      <x:c r="H2716" s="28" t="str">
        <x:v>Exclude/incidental</x:v>
      </x:c>
      <x:c r="I2716" s="28" t="str">
        <x:v>ADHD appears peripheral or insufficiently aligned with the requested corpus scope based on accessible metadata/abstract.</x:v>
      </x:c>
      <x:c r="J2716" s="38" t="e">
        <x:f>HYPERLINK("https://pubmed.ncbi.nlm.nih.gov/"&amp;C2716&amp;"/","Open PubMed")</x:f>
        <x:v>HYPERLINK is not implemented. linkLocation=https://pubmed.ncbi.nlm.nih.gov/41662318/, friendlyName=Open PubMed</x:v>
      </x:c>
    </x:row>
    <x:row r="2717">
      <x:c r="A2717" s="26" t="str">
        <x:v>PUBMED-41656572</x:v>
      </x:c>
      <x:c r="B2717" s="26" t="n">
        <x:v>2026</x:v>
      </x:c>
      <x:c r="C2717" s="26" t="str">
        <x:v>41656572</x:v>
      </x:c>
      <x:c r="D2717" s="28" t="str">
        <x:v>Unveiling Molecular Mechanisms and Salient Targets in Phthalates-Induced Neurodevelopmental Disorders Through Comprehensive Network Toxicology and Molecular Docking Strategy.</x:v>
      </x:c>
      <x:c r="E2717" s="28" t="str">
        <x:v>Primary/contextual journal article</x:v>
      </x:c>
      <x:c r="F2717" s="28" t="str">
        <x:v>Development &amp; presentation; Social &amp; structural; Environmental &amp; lifestyle; Treatment &amp; support</x:v>
      </x:c>
      <x:c r="G2717" s="28" t="str">
        <x:v>Not specified</x:v>
      </x:c>
      <x:c r="H2717" s="28" t="str">
        <x:v>Later specialized</x:v>
      </x:c>
      <x:c r="I2717" s="28" t="str">
        <x:v>Direct or strongly ADHD-related record retained for later screening; typically narrower treatment, biomarker, mechanistic, or single-comorbidity focus.</x:v>
      </x:c>
      <x:c r="J2717" s="38" t="e">
        <x:f>HYPERLINK("https://pubmed.ncbi.nlm.nih.gov/"&amp;C2717&amp;"/","Open PubMed")</x:f>
        <x:v>HYPERLINK is not implemented. linkLocation=https://pubmed.ncbi.nlm.nih.gov/41656572/, friendlyName=Open PubMed</x:v>
      </x:c>
    </x:row>
    <x:row r="2718">
      <x:c r="A2718" s="26" t="str">
        <x:v>PUBMED-41653654</x:v>
      </x:c>
      <x:c r="B2718" s="26" t="n">
        <x:v>2026</x:v>
      </x:c>
      <x:c r="C2718" s="26" t="str">
        <x:v>41653654</x:v>
      </x:c>
      <x:c r="D2718" s="28" t="str">
        <x:v>Predictors of treatment success in patients with substance use disorder (SUD) and co-morbid attention deficit/hyperactivity disorder (ADHD): Results from the International Naturalistic Cohort Study of ADHD and SUD (INCAS).</x:v>
      </x:c>
      <x:c r="E2718" s="28" t="str">
        <x:v>Primary study - cohort</x:v>
      </x:c>
      <x:c r="F2718" s="28" t="str">
        <x:v>Development &amp; presentation; Recognition &amp; diagnosis; Social &amp; structural; Treatment &amp; support; Life outcomes &amp; lived experience</x:v>
      </x:c>
      <x:c r="G2718" s="28" t="str">
        <x:v>Adulthood</x:v>
      </x:c>
      <x:c r="H2718" s="28" t="str">
        <x:v>Later specialized</x:v>
      </x:c>
      <x:c r="I2718" s="28" t="str">
        <x:v>Direct or strongly ADHD-related record retained for later screening; typically narrower treatment, biomarker, mechanistic, or single-comorbidity focus.</x:v>
      </x:c>
      <x:c r="J2718" s="38" t="e">
        <x:f>HYPERLINK("https://pubmed.ncbi.nlm.nih.gov/"&amp;C2718&amp;"/","Open PubMed")</x:f>
        <x:v>HYPERLINK is not implemented. linkLocation=https://pubmed.ncbi.nlm.nih.gov/41653654/, friendlyName=Open PubMed</x:v>
      </x:c>
    </x:row>
    <x:row r="2719">
      <x:c r="A2719" s="26" t="str">
        <x:v>PUBMED-41652519</x:v>
      </x:c>
      <x:c r="B2719" s="26" t="n">
        <x:v>2026</x:v>
      </x:c>
      <x:c r="C2719" s="26" t="str">
        <x:v>41652519</x:v>
      </x:c>
      <x:c r="D2719" s="28" t="str">
        <x:v>The effects of cognitive behavioral therapy-based psychoeducation on quality of life, anxiety, and depression in children with attention deficit hyperactivity disorder.</x:v>
      </x:c>
      <x:c r="E2719" s="28" t="str">
        <x:v>Primary study - clinical trial</x:v>
      </x:c>
      <x:c r="F2719" s="28" t="str">
        <x:v>Development &amp; presentation; Recognition &amp; diagnosis; Family &amp; education; Social &amp; structural; Treatment &amp; support; Life outcomes &amp; lived experience</x:v>
      </x:c>
      <x:c r="G2719" s="28" t="str">
        <x:v>Childhood</x:v>
      </x:c>
      <x:c r="H2719" s="28" t="str">
        <x:v>Later specialized</x:v>
      </x:c>
      <x:c r="I2719" s="28" t="str">
        <x:v>Direct or strongly ADHD-related record retained for later screening; typically narrower treatment, biomarker, mechanistic, or single-comorbidity focus.</x:v>
      </x:c>
      <x:c r="J2719" s="38" t="e">
        <x:f>HYPERLINK("https://pubmed.ncbi.nlm.nih.gov/"&amp;C2719&amp;"/","Open PubMed")</x:f>
        <x:v>HYPERLINK is not implemented. linkLocation=https://pubmed.ncbi.nlm.nih.gov/41652519/, friendlyName=Open PubMed</x:v>
      </x:c>
    </x:row>
    <x:row r="2720">
      <x:c r="A2720" s="26" t="str">
        <x:v>PUBMED-41650538</x:v>
      </x:c>
      <x:c r="B2720" s="26" t="n">
        <x:v>2026</x:v>
      </x:c>
      <x:c r="C2720" s="26" t="str">
        <x:v>41650538</x:v>
      </x:c>
      <x:c r="D2720" s="28" t="str">
        <x:v>Game on but pay the price: Hyperfocus, flow, escapism, self-efficacy, and burnout among video gamers with ADHD traits.</x:v>
      </x:c>
      <x:c r="E2720" s="28" t="str">
        <x:v>Primary study - qualitative</x:v>
      </x:c>
      <x:c r="F2720" s="28" t="str">
        <x:v>Development &amp; presentation; Recognition &amp; diagnosis; Life outcomes &amp; lived experience</x:v>
      </x:c>
      <x:c r="G2720" s="28" t="str">
        <x:v>Adulthood</x:v>
      </x:c>
      <x:c r="H2720" s="28" t="str">
        <x:v>Later specialized</x:v>
      </x:c>
      <x:c r="I2720" s="28" t="str">
        <x:v>Direct or strongly ADHD-related record retained for later screening; typically narrower treatment, biomarker, mechanistic, or single-comorbidity focus.</x:v>
      </x:c>
      <x:c r="J2720" s="38" t="e">
        <x:f>HYPERLINK("https://pubmed.ncbi.nlm.nih.gov/"&amp;C2720&amp;"/","Open PubMed")</x:f>
        <x:v>HYPERLINK is not implemented. linkLocation=https://pubmed.ncbi.nlm.nih.gov/41650538/, friendlyName=Open PubMed</x:v>
      </x:c>
    </x:row>
    <x:row r="2721">
      <x:c r="A2721" s="26" t="str">
        <x:v>PUBMED-41649353</x:v>
      </x:c>
      <x:c r="B2721" s="26" t="n">
        <x:v>2026</x:v>
      </x:c>
      <x:c r="C2721" s="26" t="str">
        <x:v>41649353</x:v>
      </x:c>
      <x:c r="D2721" s="28" t="str">
        <x:v>How Often do Youth ask Their Providers the Questions They Checked on an Attention-Deficit Hyperactivity Disorder Question Prompt List?</x:v>
      </x:c>
      <x:c r="E2721" s="28" t="str">
        <x:v>Primary/contextual journal article</x:v>
      </x:c>
      <x:c r="F2721" s="28" t="str">
        <x:v>Development &amp; presentation; Recognition &amp; diagnosis; Family &amp; education; Social &amp; structural; Environmental &amp; lifestyle; Treatment &amp; support</x:v>
      </x:c>
      <x:c r="G2721" s="28" t="str">
        <x:v>Childhood; Adolescence</x:v>
      </x:c>
      <x:c r="H2721" s="28" t="str">
        <x:v>Later specialized</x:v>
      </x:c>
      <x:c r="I2721" s="28" t="str">
        <x:v>Direct or strongly ADHD-related record retained for later screening; typically narrower treatment, biomarker, mechanistic, or single-comorbidity focus.</x:v>
      </x:c>
      <x:c r="J2721" s="38" t="e">
        <x:f>HYPERLINK("https://pubmed.ncbi.nlm.nih.gov/"&amp;C2721&amp;"/","Open PubMed")</x:f>
        <x:v>HYPERLINK is not implemented. linkLocation=https://pubmed.ncbi.nlm.nih.gov/41649353/, friendlyName=Open PubMed</x:v>
      </x:c>
    </x:row>
    <x:row r="2722">
      <x:c r="A2722" s="26" t="str">
        <x:v>PUBMED-41638598</x:v>
      </x:c>
      <x:c r="B2722" s="26" t="n">
        <x:v>2026</x:v>
      </x:c>
      <x:c r="C2722" s="26" t="str">
        <x:v>41638598</x:v>
      </x:c>
      <x:c r="D2722" s="28" t="str">
        <x:v>Neurodevelopmental Outcomes 12 Years After Extremely Preterm Birth in Sweden.</x:v>
      </x:c>
      <x:c r="E2722" s="28" t="str">
        <x:v>Primary study - cohort</x:v>
      </x:c>
      <x:c r="F2722" s="28" t="str">
        <x:v>Development &amp; presentation; Recognition &amp; diagnosis; Family &amp; education; Social &amp; structural; Environmental &amp; lifestyle; Treatment &amp; support; Life outcomes &amp; lived experience</x:v>
      </x:c>
      <x:c r="G2722" s="28" t="str">
        <x:v>Childhood; Adolescence</x:v>
      </x:c>
      <x:c r="H2722" s="28" t="str">
        <x:v>Later specialized</x:v>
      </x:c>
      <x:c r="I2722" s="28" t="str">
        <x:v>Direct or strongly ADHD-related record retained for later screening; typically narrower treatment, biomarker, mechanistic, or single-comorbidity focus.</x:v>
      </x:c>
      <x:c r="J2722" s="38" t="e">
        <x:f>HYPERLINK("https://pubmed.ncbi.nlm.nih.gov/"&amp;C2722&amp;"/","Open PubMed")</x:f>
        <x:v>HYPERLINK is not implemented. linkLocation=https://pubmed.ncbi.nlm.nih.gov/41638598/, friendlyName=Open PubMed</x:v>
      </x:c>
    </x:row>
    <x:row r="2723">
      <x:c r="A2723" s="26" t="str">
        <x:v>PUBMED-41638541</x:v>
      </x:c>
      <x:c r="B2723" s="26" t="n">
        <x:v>2026</x:v>
      </x:c>
      <x:c r="C2723" s="26" t="str">
        <x:v>41638541</x:v>
      </x:c>
      <x:c r="D2723" s="28" t="str">
        <x:v>The effects of acute and chronic exercise on executive functions and core symptoms in adults with ADHD: A systematic review and meta-analysis.</x:v>
      </x:c>
      <x:c r="E2723" s="28" t="str">
        <x:v>Evidence synthesis - meta-analysis</x:v>
      </x:c>
      <x:c r="F2723" s="28" t="str">
        <x:v>Development &amp; presentation; Recognition &amp; diagnosis; Social &amp; structural; Environmental &amp; lifestyle; Treatment &amp; support; Life outcomes &amp; lived experience</x:v>
      </x:c>
      <x:c r="G2723" s="28" t="str">
        <x:v>Adulthood</x:v>
      </x:c>
      <x:c r="H2723" s="28" t="str">
        <x:v>Batch 1 core</x:v>
      </x:c>
      <x:c r="I2723" s="28" t="str">
        <x:v>Direct ADHD evidence synthesis/guideline with broad multi-topic relevance.</x:v>
      </x:c>
      <x:c r="J2723" s="38" t="e">
        <x:f>HYPERLINK("https://pubmed.ncbi.nlm.nih.gov/"&amp;C2723&amp;"/","Open PubMed")</x:f>
        <x:v>HYPERLINK is not implemented. linkLocation=https://pubmed.ncbi.nlm.nih.gov/41638541/, friendlyName=Open PubMed</x:v>
      </x:c>
    </x:row>
    <x:row r="2724">
      <x:c r="A2724" s="26" t="str">
        <x:v>PUBMED-41629939</x:v>
      </x:c>
      <x:c r="B2724" s="26" t="n">
        <x:v>2026</x:v>
      </x:c>
      <x:c r="C2724" s="26" t="str">
        <x:v>41629939</x:v>
      </x:c>
      <x:c r="D2724" s="28" t="str">
        <x:v>Mandibular bone changes in children with ADHD: evaluation using fractal analysis and mandibular indices.</x:v>
      </x:c>
      <x:c r="E2724" s="28" t="str">
        <x:v>Primary study - case-control</x:v>
      </x:c>
      <x:c r="F2724" s="28" t="str">
        <x:v>Development &amp; presentation; Recognition &amp; diagnosis; Family &amp; education; Social &amp; structural; Treatment &amp; support</x:v>
      </x:c>
      <x:c r="G2724" s="28" t="str">
        <x:v>Childhood; Adolescence</x:v>
      </x:c>
      <x:c r="H2724" s="28" t="str">
        <x:v>Later specialized</x:v>
      </x:c>
      <x:c r="I2724" s="28" t="str">
        <x:v>Direct or strongly ADHD-related record retained for later screening; typically narrower treatment, biomarker, mechanistic, or single-comorbidity focus.</x:v>
      </x:c>
      <x:c r="J2724" s="38" t="e">
        <x:f>HYPERLINK("https://pubmed.ncbi.nlm.nih.gov/"&amp;C2724&amp;"/","Open PubMed")</x:f>
        <x:v>HYPERLINK is not implemented. linkLocation=https://pubmed.ncbi.nlm.nih.gov/41629939/, friendlyName=Open PubMed</x:v>
      </x:c>
    </x:row>
    <x:row r="2725">
      <x:c r="A2725" s="26" t="str">
        <x:v>PUBMED-41628530</x:v>
      </x:c>
      <x:c r="B2725" s="26" t="n">
        <x:v>2026</x:v>
      </x:c>
      <x:c r="C2725" s="26" t="str">
        <x:v>41628530</x:v>
      </x:c>
      <x:c r="D2725" s="28" t="str">
        <x:v>Exploring the relationship between ADHD symptoms and suicide risk through the lens of the Integrated Motivational-Volitional Model of suicidal behaviour.</x:v>
      </x:c>
      <x:c r="E2725" s="28" t="str">
        <x:v>Primary/contextual journal article</x:v>
      </x:c>
      <x:c r="F2725" s="28" t="str">
        <x:v>Development &amp; presentation; Recognition &amp; diagnosis; Social &amp; structural; Life outcomes &amp; lived experience; Historical &amp; contemporary context</x:v>
      </x:c>
      <x:c r="G2725" s="28" t="str">
        <x:v>Adolescence; Adulthood</x:v>
      </x:c>
      <x:c r="H2725" s="28" t="str">
        <x:v>Later specialized</x:v>
      </x:c>
      <x:c r="I2725" s="28" t="str">
        <x:v>Direct or strongly ADHD-related record retained for later screening; typically narrower treatment, biomarker, mechanistic, or single-comorbidity focus.</x:v>
      </x:c>
      <x:c r="J2725" s="38" t="e">
        <x:f>HYPERLINK("https://pubmed.ncbi.nlm.nih.gov/"&amp;C2725&amp;"/","Open PubMed")</x:f>
        <x:v>HYPERLINK is not implemented. linkLocation=https://pubmed.ncbi.nlm.nih.gov/41628530/, friendlyName=Open PubMed</x:v>
      </x:c>
    </x:row>
    <x:row r="2726">
      <x:c r="A2726" s="26" t="str">
        <x:v>PUBMED-41621526</x:v>
      </x:c>
      <x:c r="B2726" s="26" t="n">
        <x:v>2026</x:v>
      </x:c>
      <x:c r="C2726" s="26" t="str">
        <x:v>41621526</x:v>
      </x:c>
      <x:c r="D2726" s="28" t="str">
        <x:v>Causal relationships between ADHD, ASD and brain structure: A mendelian randomization study.</x:v>
      </x:c>
      <x:c r="E2726" s="28" t="str">
        <x:v>Primary/contextual journal article</x:v>
      </x:c>
      <x:c r="F2726" s="28" t="str">
        <x:v>Development &amp; presentation; Recognition &amp; diagnosis; Social &amp; structural; Life outcomes &amp; lived experience</x:v>
      </x:c>
      <x:c r="G2726" s="28" t="str">
        <x:v>Childhood</x:v>
      </x:c>
      <x:c r="H2726" s="28" t="str">
        <x:v>Later specialized</x:v>
      </x:c>
      <x:c r="I2726" s="28" t="str">
        <x:v>Direct or strongly ADHD-related record retained for later screening; typically narrower treatment, biomarker, mechanistic, or single-comorbidity focus.</x:v>
      </x:c>
      <x:c r="J2726" s="38" t="e">
        <x:f>HYPERLINK("https://pubmed.ncbi.nlm.nih.gov/"&amp;C2726&amp;"/","Open PubMed")</x:f>
        <x:v>HYPERLINK is not implemented. linkLocation=https://pubmed.ncbi.nlm.nih.gov/41621526/, friendlyName=Open PubMed</x:v>
      </x:c>
    </x:row>
    <x:row r="2727">
      <x:c r="A2727" s="26" t="str">
        <x:v>PUBMED-41621448</x:v>
      </x:c>
      <x:c r="B2727" s="26" t="n">
        <x:v>2026</x:v>
      </x:c>
      <x:c r="C2727" s="26" t="str">
        <x:v>41621448</x:v>
      </x:c>
      <x:c r="D2727" s="28" t="str">
        <x:v>Classification and discrimination of emotion dysregulation disorders using machine learning.</x:v>
      </x:c>
      <x:c r="E2727" s="28" t="str">
        <x:v>Primary study - case-control</x:v>
      </x:c>
      <x:c r="F2727" s="28" t="str">
        <x:v>Development &amp; presentation; Recognition &amp; diagnosis; Family &amp; education; Social &amp; structural; Environmental &amp; lifestyle</x:v>
      </x:c>
      <x:c r="G2727" s="28" t="str">
        <x:v>Childhood; Adulthood</x:v>
      </x:c>
      <x:c r="H2727" s="28" t="str">
        <x:v>Later specialized</x:v>
      </x:c>
      <x:c r="I2727" s="28" t="str">
        <x:v>Direct or strongly ADHD-related record retained for later screening; typically narrower treatment, biomarker, mechanistic, or single-comorbidity focus.</x:v>
      </x:c>
      <x:c r="J2727" s="38" t="e">
        <x:f>HYPERLINK("https://pubmed.ncbi.nlm.nih.gov/"&amp;C2727&amp;"/","Open PubMed")</x:f>
        <x:v>HYPERLINK is not implemented. linkLocation=https://pubmed.ncbi.nlm.nih.gov/41621448/, friendlyName=Open PubMed</x:v>
      </x:c>
    </x:row>
    <x:row r="2728">
      <x:c r="A2728" s="26" t="str">
        <x:v>PUBMED-41617557</x:v>
      </x:c>
      <x:c r="B2728" s="26" t="n">
        <x:v>2026</x:v>
      </x:c>
      <x:c r="C2728" s="26" t="str">
        <x:v>41617557</x:v>
      </x:c>
      <x:c r="D2728" s="28" t="str">
        <x:v>Attention-deficit/hyperactivity disorder and short sleep duration among U.S. school-aged children.</x:v>
      </x:c>
      <x:c r="E2728" s="28" t="str">
        <x:v>Primary/contextual journal article</x:v>
      </x:c>
      <x:c r="F2728" s="28" t="str">
        <x:v>Development &amp; presentation; Recognition &amp; diagnosis; Family &amp; education; Social &amp; structural; Environmental &amp; lifestyle; Treatment &amp; support</x:v>
      </x:c>
      <x:c r="G2728" s="28" t="str">
        <x:v>Childhood</x:v>
      </x:c>
      <x:c r="H2728" s="28" t="str">
        <x:v>Later specialized</x:v>
      </x:c>
      <x:c r="I2728" s="28" t="str">
        <x:v>Direct or strongly ADHD-related record retained for later screening; typically narrower treatment, biomarker, mechanistic, or single-comorbidity focus.</x:v>
      </x:c>
      <x:c r="J2728" s="38" t="e">
        <x:f>HYPERLINK("https://pubmed.ncbi.nlm.nih.gov/"&amp;C2728&amp;"/","Open PubMed")</x:f>
        <x:v>HYPERLINK is not implemented. linkLocation=https://pubmed.ncbi.nlm.nih.gov/41617557/, friendlyName=Open PubMed</x:v>
      </x:c>
    </x:row>
    <x:row r="2729">
      <x:c r="A2729" s="26" t="str">
        <x:v>PUBMED-41616599</x:v>
      </x:c>
      <x:c r="B2729" s="26" t="n">
        <x:v>2026</x:v>
      </x:c>
      <x:c r="C2729" s="26" t="str">
        <x:v>41616599</x:v>
      </x:c>
      <x:c r="D2729" s="28" t="str">
        <x:v>The relationship between social media use and adolescent inattention and impulsivity: A systematic review.</x:v>
      </x:c>
      <x:c r="E2729" s="28" t="str">
        <x:v>Evidence synthesis - systematic review</x:v>
      </x:c>
      <x:c r="F2729" s="28" t="str">
        <x:v>Development &amp; presentation; Recognition &amp; diagnosis; Social &amp; structural; Environmental &amp; lifestyle; Life outcomes &amp; lived experience; Historical &amp; contemporary context</x:v>
      </x:c>
      <x:c r="G2729" s="28" t="str">
        <x:v>Childhood; Adolescence</x:v>
      </x:c>
      <x:c r="H2729" s="28" t="str">
        <x:v>Later specialized</x:v>
      </x:c>
      <x:c r="I2729" s="28" t="str">
        <x:v>Direct or strongly ADHD-related record retained for later screening; typically narrower treatment, biomarker, mechanistic, or single-comorbidity focus.</x:v>
      </x:c>
      <x:c r="J2729" s="38" t="e">
        <x:f>HYPERLINK("https://pubmed.ncbi.nlm.nih.gov/"&amp;C2729&amp;"/","Open PubMed")</x:f>
        <x:v>HYPERLINK is not implemented. linkLocation=https://pubmed.ncbi.nlm.nih.gov/41616599/, friendlyName=Open PubMed</x:v>
      </x:c>
    </x:row>
    <x:row r="2730">
      <x:c r="A2730" s="26" t="str">
        <x:v>PUBMED-41611009</x:v>
      </x:c>
      <x:c r="B2730" s="26" t="n">
        <x:v>2026</x:v>
      </x:c>
      <x:c r="C2730" s="26" t="str">
        <x:v>41611009</x:v>
      </x:c>
      <x:c r="D2730" s="28" t="str">
        <x:v>Impulsivity and attentional dysfunction in DAT-AAA knock-in mice.</x:v>
      </x:c>
      <x:c r="E2730" s="28" t="str">
        <x:v>Primary/contextual journal article</x:v>
      </x:c>
      <x:c r="F2730" s="28" t="str">
        <x:v>Development &amp; presentation; Social &amp; structural; Treatment &amp; support</x:v>
      </x:c>
      <x:c r="G2730" s="28" t="str">
        <x:v>Not specified</x:v>
      </x:c>
      <x:c r="H2730" s="28" t="str">
        <x:v>Exclude/incidental</x:v>
      </x:c>
      <x:c r="I2730" s="28" t="str">
        <x:v>Animal-only record; retained outside the human-focused core corpus.</x:v>
      </x:c>
      <x:c r="J2730" s="38" t="e">
        <x:f>HYPERLINK("https://pubmed.ncbi.nlm.nih.gov/"&amp;C2730&amp;"/","Open PubMed")</x:f>
        <x:v>HYPERLINK is not implemented. linkLocation=https://pubmed.ncbi.nlm.nih.gov/41611009/, friendlyName=Open PubMed</x:v>
      </x:c>
    </x:row>
    <x:row r="2731">
      <x:c r="A2731" s="26" t="str">
        <x:v>PUBMED-41610829</x:v>
      </x:c>
      <x:c r="B2731" s="26" t="n">
        <x:v>2026</x:v>
      </x:c>
      <x:c r="C2731" s="26" t="str">
        <x:v>41610829</x:v>
      </x:c>
      <x:c r="D2731" s="28" t="str">
        <x:v>Providing choice boosts immediate force production in adolescents with ADHD.</x:v>
      </x:c>
      <x:c r="E2731" s="28" t="str">
        <x:v>Primary/contextual journal article</x:v>
      </x:c>
      <x:c r="F2731" s="28" t="str">
        <x:v>Development &amp; presentation; Social &amp; structural; Environmental &amp; lifestyle</x:v>
      </x:c>
      <x:c r="G2731" s="28" t="str">
        <x:v>Childhood; Adolescence</x:v>
      </x:c>
      <x:c r="H2731" s="28" t="str">
        <x:v>Later specialized</x:v>
      </x:c>
      <x:c r="I2731" s="28" t="str">
        <x:v>Direct or strongly ADHD-related record retained for later screening; typically narrower treatment, biomarker, mechanistic, or single-comorbidity focus.</x:v>
      </x:c>
      <x:c r="J2731" s="38" t="e">
        <x:f>HYPERLINK("https://pubmed.ncbi.nlm.nih.gov/"&amp;C2731&amp;"/","Open PubMed")</x:f>
        <x:v>HYPERLINK is not implemented. linkLocation=https://pubmed.ncbi.nlm.nih.gov/41610829/, friendlyName=Open PubMed</x:v>
      </x:c>
    </x:row>
    <x:row r="2732">
      <x:c r="A2732" s="26" t="str">
        <x:v>PUBMED-41609190</x:v>
      </x:c>
      <x:c r="B2732" s="26" t="n">
        <x:v>2026</x:v>
      </x:c>
      <x:c r="C2732" s="26" t="str">
        <x:v>41609190</x:v>
      </x:c>
      <x:c r="D2732" s="28" t="str">
        <x:v>Sex-Specific Effects of Relative Fat Mass on Attention-Deficit/Hyperactivity Disorder: Insights from the 1999-2004 National Health and Nutrition Examination Survey.</x:v>
      </x:c>
      <x:c r="E2732" s="28" t="str">
        <x:v>Primary/contextual journal article</x:v>
      </x:c>
      <x:c r="F2732" s="28" t="str">
        <x:v>Development &amp; presentation; Recognition &amp; diagnosis; Social &amp; structural; Environmental &amp; lifestyle; Life outcomes &amp; lived experience</x:v>
      </x:c>
      <x:c r="G2732" s="28" t="str">
        <x:v>Childhood; Adolescence</x:v>
      </x:c>
      <x:c r="H2732" s="28" t="str">
        <x:v>Later specialized</x:v>
      </x:c>
      <x:c r="I2732" s="28" t="str">
        <x:v>Direct or strongly ADHD-related record retained for later screening; typically narrower treatment, biomarker, mechanistic, or single-comorbidity focus.</x:v>
      </x:c>
      <x:c r="J2732" s="38" t="e">
        <x:f>HYPERLINK("https://pubmed.ncbi.nlm.nih.gov/"&amp;C2732&amp;"/","Open PubMed")</x:f>
        <x:v>HYPERLINK is not implemented. linkLocation=https://pubmed.ncbi.nlm.nih.gov/41609190/, friendlyName=Open PubMed</x:v>
      </x:c>
    </x:row>
    <x:row r="2733">
      <x:c r="A2733" s="26" t="str">
        <x:v>PUBMED-41603254</x:v>
      </x:c>
      <x:c r="B2733" s="26" t="n">
        <x:v>2026</x:v>
      </x:c>
      <x:c r="C2733" s="26" t="str">
        <x:v>41603254</x:v>
      </x:c>
      <x:c r="D2733" s="28" t="str">
        <x:v>Psychoactive Medication Use in Pediatric Heart Transplant Recipients: An Assessment of Prevalence, Risk Factors, and Outcomes.</x:v>
      </x:c>
      <x:c r="E2733" s="28" t="str">
        <x:v>Primary/contextual journal article</x:v>
      </x:c>
      <x:c r="F2733" s="28" t="str">
        <x:v>Development &amp; presentation; Recognition &amp; diagnosis; Family &amp; education; Social &amp; structural; Treatment &amp; support; Life outcomes &amp; lived experience</x:v>
      </x:c>
      <x:c r="G2733" s="28" t="str">
        <x:v>Childhood; Adolescence</x:v>
      </x:c>
      <x:c r="H2733" s="28" t="str">
        <x:v>Exclude/incidental</x:v>
      </x:c>
      <x:c r="I2733" s="28" t="str">
        <x:v>ADHD appears peripheral or insufficiently aligned with the requested corpus scope based on accessible metadata/abstract.</x:v>
      </x:c>
      <x:c r="J2733" s="38" t="e">
        <x:f>HYPERLINK("https://pubmed.ncbi.nlm.nih.gov/"&amp;C2733&amp;"/","Open PubMed")</x:f>
        <x:v>HYPERLINK is not implemented. linkLocation=https://pubmed.ncbi.nlm.nih.gov/41603254/, friendlyName=Open PubMed</x:v>
      </x:c>
    </x:row>
    <x:row r="2734">
      <x:c r="A2734" s="26" t="str">
        <x:v>PUBMED-41595917</x:v>
      </x:c>
      <x:c r="B2734" s="26" t="n">
        <x:v>2026</x:v>
      </x:c>
      <x:c r="C2734" s="26" t="str">
        <x:v>41595917</x:v>
      </x:c>
      <x:c r="D2734" s="28" t="str">
        <x:v>Unmet Needs and Service Priorities for ADHD in Australia: AI-Assisted Analysis of Senate Inquiry Submissions.</x:v>
      </x:c>
      <x:c r="E2734" s="28" t="str">
        <x:v>Primary study - qualitative</x:v>
      </x:c>
      <x:c r="F2734" s="28" t="str">
        <x:v>Development &amp; presentation; Recognition &amp; diagnosis; Social &amp; structural; Treatment &amp; support; Life outcomes &amp; lived experience</x:v>
      </x:c>
      <x:c r="G2734" s="28" t="str">
        <x:v>Not specified</x:v>
      </x:c>
      <x:c r="H2734" s="28" t="str">
        <x:v>Later specialized</x:v>
      </x:c>
      <x:c r="I2734" s="28" t="str">
        <x:v>Direct or strongly ADHD-related record retained for later screening; typically narrower treatment, biomarker, mechanistic, or single-comorbidity focus.</x:v>
      </x:c>
      <x:c r="J2734" s="38" t="e">
        <x:f>HYPERLINK("https://pubmed.ncbi.nlm.nih.gov/"&amp;C2734&amp;"/","Open PubMed")</x:f>
        <x:v>HYPERLINK is not implemented. linkLocation=https://pubmed.ncbi.nlm.nih.gov/41595917/, friendlyName=Open PubMed</x:v>
      </x:c>
    </x:row>
    <x:row r="2735">
      <x:c r="A2735" s="26" t="str">
        <x:v>PUBMED-41587052</x:v>
      </x:c>
      <x:c r="B2735" s="26" t="n">
        <x:v>2026</x:v>
      </x:c>
      <x:c r="C2735" s="26" t="str">
        <x:v>41587052</x:v>
      </x:c>
      <x:c r="D2735" s="28" t="str">
        <x:v>Integrative Review of the Effects of Nonprescriptive Methylphenidate Use.</x:v>
      </x:c>
      <x:c r="E2735" s="28" t="str">
        <x:v>Evidence synthesis - meta-analysis</x:v>
      </x:c>
      <x:c r="F2735" s="28" t="str">
        <x:v>Development &amp; presentation; Social &amp; structural; Treatment &amp; support; Life outcomes &amp; lived experience</x:v>
      </x:c>
      <x:c r="G2735" s="28" t="str">
        <x:v>Not specified</x:v>
      </x:c>
      <x:c r="H2735" s="28" t="str">
        <x:v>Later specialized</x:v>
      </x:c>
      <x:c r="I2735" s="28" t="str">
        <x:v>Direct or strongly ADHD-related record retained for later screening; typically narrower treatment, biomarker, mechanistic, or single-comorbidity focus.</x:v>
      </x:c>
      <x:c r="J2735" s="38" t="e">
        <x:f>HYPERLINK("https://pubmed.ncbi.nlm.nih.gov/"&amp;C2735&amp;"/","Open PubMed")</x:f>
        <x:v>HYPERLINK is not implemented. linkLocation=https://pubmed.ncbi.nlm.nih.gov/41587052/, friendlyName=Open PubMed</x:v>
      </x:c>
    </x:row>
    <x:row r="2736">
      <x:c r="A2736" s="26" t="str">
        <x:v>PUBMED-41571598</x:v>
      </x:c>
      <x:c r="B2736" s="26" t="n">
        <x:v>2026</x:v>
      </x:c>
      <x:c r="C2736" s="26" t="str">
        <x:v>41571598</x:v>
      </x:c>
      <x:c r="D2736" s="28" t="str">
        <x:v>Disparities in Adult ADHD Care Delivery Among U.S. Telepsychology Providers.</x:v>
      </x:c>
      <x:c r="E2736" s="28" t="str">
        <x:v>Primary/contextual journal article</x:v>
      </x:c>
      <x:c r="F2736" s="28" t="str">
        <x:v>Development &amp; presentation; Recognition &amp; diagnosis; Social &amp; structural; Treatment &amp; support</x:v>
      </x:c>
      <x:c r="G2736" s="28" t="str">
        <x:v>Adulthood</x:v>
      </x:c>
      <x:c r="H2736" s="28" t="str">
        <x:v>Later specialized</x:v>
      </x:c>
      <x:c r="I2736" s="28" t="str">
        <x:v>Direct or strongly ADHD-related record retained for later screening; typically narrower treatment, biomarker, mechanistic, or single-comorbidity focus.</x:v>
      </x:c>
      <x:c r="J2736" s="38" t="e">
        <x:f>HYPERLINK("https://pubmed.ncbi.nlm.nih.gov/"&amp;C2736&amp;"/","Open PubMed")</x:f>
        <x:v>HYPERLINK is not implemented. linkLocation=https://pubmed.ncbi.nlm.nih.gov/41571598/, friendlyName=Open PubMed</x:v>
      </x:c>
    </x:row>
    <x:row r="2737">
      <x:c r="A2737" s="26" t="str">
        <x:v>PUBMED-41545901</x:v>
      </x:c>
      <x:c r="B2737" s="26" t="n">
        <x:v>2026</x:v>
      </x:c>
      <x:c r="C2737" s="26" t="str">
        <x:v>41545901</x:v>
      </x:c>
      <x:c r="D2737" s="28" t="str">
        <x:v>Cognitive Pathways in Atypical Development: Executive Functions in Children With Attention-Deficit/Hyperactivity Disorder and Specific Learning Disorders.</x:v>
      </x:c>
      <x:c r="E2737" s="28" t="str">
        <x:v>Evidence synthesis - review</x:v>
      </x:c>
      <x:c r="F2737" s="28" t="str">
        <x:v>Development &amp; presentation; Recognition &amp; diagnosis; Family &amp; education; Social &amp; structural; Life outcomes &amp; lived experience</x:v>
      </x:c>
      <x:c r="G2737" s="28" t="str">
        <x:v>Childhood</x:v>
      </x:c>
      <x:c r="H2737" s="28" t="str">
        <x:v>Later specialized</x:v>
      </x:c>
      <x:c r="I2737" s="28" t="str">
        <x:v>Direct or strongly ADHD-related record retained for later screening; typically narrower treatment, biomarker, mechanistic, or single-comorbidity focus.</x:v>
      </x:c>
      <x:c r="J2737" s="38" t="e">
        <x:f>HYPERLINK("https://pubmed.ncbi.nlm.nih.gov/"&amp;C2737&amp;"/","Open PubMed")</x:f>
        <x:v>HYPERLINK is not implemented. linkLocation=https://pubmed.ncbi.nlm.nih.gov/41545901/, friendlyName=Open PubMed</x:v>
      </x:c>
    </x:row>
    <x:row r="2738">
      <x:c r="A2738" s="26" t="str">
        <x:v>PUBMED-41545587</x:v>
      </x:c>
      <x:c r="B2738" s="26" t="n">
        <x:v>2026</x:v>
      </x:c>
      <x:c r="C2738" s="26" t="str">
        <x:v>41545587</x:v>
      </x:c>
      <x:c r="D2738" s="28" t="str">
        <x:v>External trigeminal nerve stimulation in youth with ADHD: a randomized, sham-controlled, phase 2b trial.</x:v>
      </x:c>
      <x:c r="E2738" s="28" t="str">
        <x:v>Primary study - randomized controlled trial</x:v>
      </x:c>
      <x:c r="F2738" s="28" t="str">
        <x:v>Development &amp; presentation; Social &amp; structural; Treatment &amp; support; Life outcomes &amp; lived experience</x:v>
      </x:c>
      <x:c r="G2738" s="28" t="str">
        <x:v>Childhood; Adolescence</x:v>
      </x:c>
      <x:c r="H2738" s="28" t="str">
        <x:v>Later specialized</x:v>
      </x:c>
      <x:c r="I2738" s="28" t="str">
        <x:v>Direct or strongly ADHD-related record retained for later screening; typically narrower treatment, biomarker, mechanistic, or single-comorbidity focus.</x:v>
      </x:c>
      <x:c r="J2738" s="38" t="e">
        <x:f>HYPERLINK("https://pubmed.ncbi.nlm.nih.gov/"&amp;C2738&amp;"/","Open PubMed")</x:f>
        <x:v>HYPERLINK is not implemented. linkLocation=https://pubmed.ncbi.nlm.nih.gov/41545587/, friendlyName=Open PubMed</x:v>
      </x:c>
    </x:row>
    <x:row r="2739">
      <x:c r="A2739" s="26" t="str">
        <x:v>PUBMED-41538184</x:v>
      </x:c>
      <x:c r="B2739" s="26" t="n">
        <x:v>2026</x:v>
      </x:c>
      <x:c r="C2739" s="26" t="str">
        <x:v>41538184</x:v>
      </x:c>
      <x:c r="D2739" s="28" t="str">
        <x:v>Demographics, Services, and Practices in Attention-Deficit/Hyperactivity Disorder Coaching in the US.</x:v>
      </x:c>
      <x:c r="E2739" s="28" t="str">
        <x:v>Primary/contextual journal article</x:v>
      </x:c>
      <x:c r="F2739" s="28" t="str">
        <x:v>Development &amp; presentation; Recognition &amp; diagnosis; Family &amp; education; Social &amp; structural; Environmental &amp; lifestyle; Treatment &amp; support; Life outcomes &amp; lived experience; Historical &amp; contemporary context</x:v>
      </x:c>
      <x:c r="G2739" s="28" t="str">
        <x:v>Adulthood</x:v>
      </x:c>
      <x:c r="H2739" s="28" t="str">
        <x:v>Later specialized</x:v>
      </x:c>
      <x:c r="I2739" s="28" t="str">
        <x:v>Direct or strongly ADHD-related record retained for later screening; typically narrower treatment, biomarker, mechanistic, or single-comorbidity focus.</x:v>
      </x:c>
      <x:c r="J2739" s="38" t="e">
        <x:f>HYPERLINK("https://pubmed.ncbi.nlm.nih.gov/"&amp;C2739&amp;"/","Open PubMed")</x:f>
        <x:v>HYPERLINK is not implemented. linkLocation=https://pubmed.ncbi.nlm.nih.gov/41538184/, friendlyName=Open PubMed</x:v>
      </x:c>
    </x:row>
    <x:row r="2740">
      <x:c r="A2740" s="26" t="str">
        <x:v>PUBMED-41532402</x:v>
      </x:c>
      <x:c r="B2740" s="26" t="n">
        <x:v>2026</x:v>
      </x:c>
      <x:c r="C2740" s="26" t="str">
        <x:v>41532402</x:v>
      </x:c>
      <x:c r="D2740" s="28" t="str">
        <x:v>Overlapping symptoms of attention deficit hyperactivity disorder (ADHD), autism, and personality disorder in a community sample.</x:v>
      </x:c>
      <x:c r="E2740" s="28" t="str">
        <x:v>Primary/contextual journal article</x:v>
      </x:c>
      <x:c r="F2740" s="28" t="str">
        <x:v>Development &amp; presentation; Recognition &amp; diagnosis; Social &amp; structural; Treatment &amp; support; Life outcomes &amp; lived experience; Historical &amp; contemporary context</x:v>
      </x:c>
      <x:c r="G2740" s="28" t="str">
        <x:v>Childhood; Adulthood</x:v>
      </x:c>
      <x:c r="H2740" s="28" t="str">
        <x:v>Later specialized</x:v>
      </x:c>
      <x:c r="I2740" s="28" t="str">
        <x:v>Direct or strongly ADHD-related record retained for later screening; typically narrower treatment, biomarker, mechanistic, or single-comorbidity focus.</x:v>
      </x:c>
      <x:c r="J2740" s="38" t="e">
        <x:f>HYPERLINK("https://pubmed.ncbi.nlm.nih.gov/"&amp;C2740&amp;"/","Open PubMed")</x:f>
        <x:v>HYPERLINK is not implemented. linkLocation=https://pubmed.ncbi.nlm.nih.gov/41532402/, friendlyName=Open PubMed</x:v>
      </x:c>
    </x:row>
    <x:row r="2741">
      <x:c r="A2741" s="26" t="str">
        <x:v>PUBMED-41527987</x:v>
      </x:c>
      <x:c r="B2741" s="26" t="n">
        <x:v>2026</x:v>
      </x:c>
      <x:c r="C2741" s="26" t="str">
        <x:v>41527987</x:v>
      </x:c>
      <x:c r="D2741" s="28" t="str">
        <x:v>Effectiveness of a group-based time-management intervention: a pragmatic randomised controlled trial.</x:v>
      </x:c>
      <x:c r="E2741" s="28" t="str">
        <x:v>Primary study - randomized controlled trial</x:v>
      </x:c>
      <x:c r="F2741" s="28" t="str">
        <x:v>Development &amp; presentation; Social &amp; structural; Environmental &amp; lifestyle; Treatment &amp; support; Life outcomes &amp; lived experience</x:v>
      </x:c>
      <x:c r="G2741" s="28" t="str">
        <x:v>Adulthood</x:v>
      </x:c>
      <x:c r="H2741" s="28" t="str">
        <x:v>Later specialized</x:v>
      </x:c>
      <x:c r="I2741" s="28" t="str">
        <x:v>Direct or strongly ADHD-related record retained for later screening; typically narrower treatment, biomarker, mechanistic, or single-comorbidity focus.</x:v>
      </x:c>
      <x:c r="J2741" s="38" t="e">
        <x:f>HYPERLINK("https://pubmed.ncbi.nlm.nih.gov/"&amp;C2741&amp;"/","Open PubMed")</x:f>
        <x:v>HYPERLINK is not implemented. linkLocation=https://pubmed.ncbi.nlm.nih.gov/41527987/, friendlyName=Open PubMed</x:v>
      </x:c>
    </x:row>
    <x:row r="2742">
      <x:c r="A2742" s="26" t="str">
        <x:v>PUBMED-41504022</x:v>
      </x:c>
      <x:c r="B2742" s="26" t="n">
        <x:v>2026</x:v>
      </x:c>
      <x:c r="C2742" s="26" t="str">
        <x:v>41504022</x:v>
      </x:c>
      <x:c r="D2742" s="28" t="str">
        <x:v>Social Skills and Emotion Recognition in Children With Elevated Cognitive Disengagement Syndrome Symptoms: A Comparative Study With Children Diagnosed With ADHD and Typically Developing Peers.</x:v>
      </x:c>
      <x:c r="E2742" s="28" t="str">
        <x:v>Primary/contextual journal article</x:v>
      </x:c>
      <x:c r="F2742" s="28" t="str">
        <x:v>Development &amp; presentation; Recognition &amp; diagnosis; Family &amp; education; Social &amp; structural; Treatment &amp; support; Life outcomes &amp; lived experience</x:v>
      </x:c>
      <x:c r="G2742" s="28" t="str">
        <x:v>Childhood</x:v>
      </x:c>
      <x:c r="H2742" s="28" t="str">
        <x:v>Later specialized</x:v>
      </x:c>
      <x:c r="I2742" s="28" t="str">
        <x:v>Direct or strongly ADHD-related record retained for later screening; typically narrower treatment, biomarker, mechanistic, or single-comorbidity focus.</x:v>
      </x:c>
      <x:c r="J2742" s="38" t="e">
        <x:f>HYPERLINK("https://pubmed.ncbi.nlm.nih.gov/"&amp;C2742&amp;"/","Open PubMed")</x:f>
        <x:v>HYPERLINK is not implemented. linkLocation=https://pubmed.ncbi.nlm.nih.gov/41504022/, friendlyName=Open PubMed</x:v>
      </x:c>
    </x:row>
    <x:row r="2743">
      <x:c r="A2743" s="26" t="str">
        <x:v>PUBMED-41491157</x:v>
      </x:c>
      <x:c r="B2743" s="26" t="n">
        <x:v>2026</x:v>
      </x:c>
      <x:c r="C2743" s="26" t="str">
        <x:v>41491157</x:v>
      </x:c>
      <x:c r="D2743" s="28" t="str">
        <x:v>Autism in children and young people with functional tic-like behaviours: a retrospective cross-sectional study.</x:v>
      </x:c>
      <x:c r="E2743" s="28" t="str">
        <x:v>Primary study - cross-sectional</x:v>
      </x:c>
      <x:c r="F2743" s="28" t="str">
        <x:v>Development &amp; presentation; Recognition &amp; diagnosis; Family &amp; education; Social &amp; structural</x:v>
      </x:c>
      <x:c r="G2743" s="28" t="str">
        <x:v>Childhood; Adolescence</x:v>
      </x:c>
      <x:c r="H2743" s="28" t="str">
        <x:v>Later specialized</x:v>
      </x:c>
      <x:c r="I2743" s="28" t="str">
        <x:v>Direct or strongly ADHD-related record retained for later screening; typically narrower treatment, biomarker, mechanistic, or single-comorbidity focus.</x:v>
      </x:c>
      <x:c r="J2743" s="38" t="e">
        <x:f>HYPERLINK("https://pubmed.ncbi.nlm.nih.gov/"&amp;C2743&amp;"/","Open PubMed")</x:f>
        <x:v>HYPERLINK is not implemented. linkLocation=https://pubmed.ncbi.nlm.nih.gov/41491157/, friendlyName=Open PubMed</x:v>
      </x:c>
    </x:row>
    <x:row r="2744">
      <x:c r="A2744" s="26" t="str">
        <x:v>PUBMED-41489637</x:v>
      </x:c>
      <x:c r="B2744" s="26" t="n">
        <x:v>2026</x:v>
      </x:c>
      <x:c r="C2744" s="26" t="str">
        <x:v>41489637</x:v>
      </x:c>
      <x:c r="D2744" s="28" t="str">
        <x:v>Causal association between lipid profile and mental disorders: evidence from a bidirectional Mendelian randomization study.</x:v>
      </x:c>
      <x:c r="E2744" s="28" t="str">
        <x:v>Primary/contextual journal article</x:v>
      </x:c>
      <x:c r="F2744" s="28" t="str">
        <x:v>Development &amp; presentation; Social &amp; structural; Life outcomes &amp; lived experience</x:v>
      </x:c>
      <x:c r="G2744" s="28" t="str">
        <x:v>Not specified</x:v>
      </x:c>
      <x:c r="H2744" s="28" t="str">
        <x:v>Later specialized</x:v>
      </x:c>
      <x:c r="I2744" s="28" t="str">
        <x:v>Direct or strongly ADHD-related record retained for later screening; typically narrower treatment, biomarker, mechanistic, or single-comorbidity focus.</x:v>
      </x:c>
      <x:c r="J2744" s="38" t="e">
        <x:f>HYPERLINK("https://pubmed.ncbi.nlm.nih.gov/"&amp;C2744&amp;"/","Open PubMed")</x:f>
        <x:v>HYPERLINK is not implemented. linkLocation=https://pubmed.ncbi.nlm.nih.gov/41489637/, friendlyName=Open PubMed</x:v>
      </x:c>
    </x:row>
    <x:row r="2745">
      <x:c r="A2745" s="26" t="str">
        <x:v>PUBMED-41484712</x:v>
      </x:c>
      <x:c r="B2745" s="26" t="n">
        <x:v>2026</x:v>
      </x:c>
      <x:c r="C2745" s="26" t="str">
        <x:v>41484712</x:v>
      </x:c>
      <x:c r="D2745" s="28" t="str">
        <x:v>The effect of Ecological Executive Skills training on emotional problems in children with attention-deficit hyperactivity disorder.</x:v>
      </x:c>
      <x:c r="E2745" s="28" t="str">
        <x:v>Primary/contextual journal article</x:v>
      </x:c>
      <x:c r="F2745" s="28" t="str">
        <x:v>Development &amp; presentation; Recognition &amp; diagnosis; Family &amp; education; Social &amp; structural; Treatment &amp; support; Life outcomes &amp; lived experience</x:v>
      </x:c>
      <x:c r="G2745" s="28" t="str">
        <x:v>Childhood</x:v>
      </x:c>
      <x:c r="H2745" s="28" t="str">
        <x:v>Later specialized</x:v>
      </x:c>
      <x:c r="I2745" s="28" t="str">
        <x:v>Direct or strongly ADHD-related record retained for later screening; typically narrower treatment, biomarker, mechanistic, or single-comorbidity focus.</x:v>
      </x:c>
      <x:c r="J2745" s="38" t="e">
        <x:f>HYPERLINK("https://pubmed.ncbi.nlm.nih.gov/"&amp;C2745&amp;"/","Open PubMed")</x:f>
        <x:v>HYPERLINK is not implemented. linkLocation=https://pubmed.ncbi.nlm.nih.gov/41484712/, friendlyName=Open PubMed</x:v>
      </x:c>
    </x:row>
    <x:row r="2746">
      <x:c r="A2746" s="26" t="str">
        <x:v>PUBMED-41483104</x:v>
      </x:c>
      <x:c r="B2746" s="26" t="n">
        <x:v>2026</x:v>
      </x:c>
      <x:c r="C2746" s="26" t="str">
        <x:v>41483104</x:v>
      </x:c>
      <x:c r="D2746" s="28" t="str">
        <x:v>Kynurenine metabolites unchanged after multinutrient supplementation in children with ADHD: a secondary data analysis from the MADDY study.</x:v>
      </x:c>
      <x:c r="E2746" s="28" t="str">
        <x:v>Primary study - randomized controlled trial</x:v>
      </x:c>
      <x:c r="F2746" s="28" t="str">
        <x:v>Development &amp; presentation; Social &amp; structural; Environmental &amp; lifestyle; Treatment &amp; support</x:v>
      </x:c>
      <x:c r="G2746" s="28" t="str">
        <x:v>Childhood</x:v>
      </x:c>
      <x:c r="H2746" s="28" t="str">
        <x:v>Later specialized</x:v>
      </x:c>
      <x:c r="I2746" s="28" t="str">
        <x:v>Direct or strongly ADHD-related record retained for later screening; typically narrower treatment, biomarker, mechanistic, or single-comorbidity focus.</x:v>
      </x:c>
      <x:c r="J2746" s="38" t="e">
        <x:f>HYPERLINK("https://pubmed.ncbi.nlm.nih.gov/"&amp;C2746&amp;"/","Open PubMed")</x:f>
        <x:v>HYPERLINK is not implemented. linkLocation=https://pubmed.ncbi.nlm.nih.gov/41483104/, friendlyName=Open PubMed</x:v>
      </x:c>
    </x:row>
    <x:row r="2747">
      <x:c r="A2747" s="26" t="str">
        <x:v>PUBMED-41475385</x:v>
      </x:c>
      <x:c r="B2747" s="26" t="n">
        <x:v>2026</x:v>
      </x:c>
      <x:c r="C2747" s="26" t="str">
        <x:v>41475385</x:v>
      </x:c>
      <x:c r="D2747" s="28" t="str">
        <x:v>Pediatric Insomnia.</x:v>
      </x:c>
      <x:c r="E2747" s="28" t="str">
        <x:v>Evidence synthesis - review</x:v>
      </x:c>
      <x:c r="F2747" s="28" t="str">
        <x:v>Development &amp; presentation; Recognition &amp; diagnosis; Social &amp; structural; Environmental &amp; lifestyle; Treatment &amp; support; Life outcomes &amp; lived experience</x:v>
      </x:c>
      <x:c r="G2747" s="28" t="str">
        <x:v>Childhood</x:v>
      </x:c>
      <x:c r="H2747" s="28" t="str">
        <x:v>Exclude/incidental</x:v>
      </x:c>
      <x:c r="I2747" s="28" t="str">
        <x:v>ADHD appears peripheral or insufficiently aligned with the requested corpus scope based on accessible metadata/abstract.</x:v>
      </x:c>
      <x:c r="J2747" s="38" t="e">
        <x:f>HYPERLINK("https://pubmed.ncbi.nlm.nih.gov/"&amp;C2747&amp;"/","Open PubMed")</x:f>
        <x:v>HYPERLINK is not implemented. linkLocation=https://pubmed.ncbi.nlm.nih.gov/41475385/, friendlyName=Open PubMed</x:v>
      </x:c>
    </x:row>
    <x:row r="2748">
      <x:c r="A2748" s="26" t="str">
        <x:v>PUBMED-41451846</x:v>
      </x:c>
      <x:c r="B2748" s="26" t="n">
        <x:v>2026</x:v>
      </x:c>
      <x:c r="C2748" s="26" t="str">
        <x:v>41451846</x:v>
      </x:c>
      <x:c r="D2748" s="28" t="str">
        <x:v>Changes in ADHD Symptoms and Mood Across the Menstrual Cycle in Females Treated With Stimulants: A Pilot Study.</x:v>
      </x:c>
      <x:c r="E2748" s="28" t="str">
        <x:v>Primary/contextual journal article</x:v>
      </x:c>
      <x:c r="F2748" s="28" t="str">
        <x:v>Development &amp; presentation; Social &amp; structural; Treatment &amp; support; Historical &amp; contemporary context</x:v>
      </x:c>
      <x:c r="G2748" s="28" t="str">
        <x:v>Adolescence; Adulthood</x:v>
      </x:c>
      <x:c r="H2748" s="28" t="str">
        <x:v>Later specialized</x:v>
      </x:c>
      <x:c r="I2748" s="28" t="str">
        <x:v>Direct or strongly ADHD-related record retained for later screening; typically narrower treatment, biomarker, mechanistic, or single-comorbidity focus.</x:v>
      </x:c>
      <x:c r="J2748" s="38" t="e">
        <x:f>HYPERLINK("https://pubmed.ncbi.nlm.nih.gov/"&amp;C2748&amp;"/","Open PubMed")</x:f>
        <x:v>HYPERLINK is not implemented. linkLocation=https://pubmed.ncbi.nlm.nih.gov/41451846/, friendlyName=Open PubMed</x:v>
      </x:c>
    </x:row>
    <x:row r="2749">
      <x:c r="A2749" s="26" t="str">
        <x:v>PUBMED-41427841</x:v>
      </x:c>
      <x:c r="B2749" s="26" t="n">
        <x:v>2026</x:v>
      </x:c>
      <x:c r="C2749" s="26" t="str">
        <x:v>41427841</x:v>
      </x:c>
      <x:c r="D2749" s="28" t="str">
        <x:v>Reduction of Loss of Control Eating in Youth With Attention-Deficit/Hyperactivity Disorder Following Initiation of Stimulant Medication: A Prospective Study.</x:v>
      </x:c>
      <x:c r="E2749" s="28" t="str">
        <x:v>Primary/contextual journal article</x:v>
      </x:c>
      <x:c r="F2749" s="28" t="str">
        <x:v>Development &amp; presentation; Recognition &amp; diagnosis; Social &amp; structural; Treatment &amp; support; Life outcomes &amp; lived experience</x:v>
      </x:c>
      <x:c r="G2749" s="28" t="str">
        <x:v>Childhood; Adolescence; Adulthood</x:v>
      </x:c>
      <x:c r="H2749" s="28" t="str">
        <x:v>Later specialized</x:v>
      </x:c>
      <x:c r="I2749" s="28" t="str">
        <x:v>Direct or strongly ADHD-related record retained for later screening; typically narrower treatment, biomarker, mechanistic, or single-comorbidity focus.</x:v>
      </x:c>
      <x:c r="J2749" s="38" t="e">
        <x:f>HYPERLINK("https://pubmed.ncbi.nlm.nih.gov/"&amp;C2749&amp;"/","Open PubMed")</x:f>
        <x:v>HYPERLINK is not implemented. linkLocation=https://pubmed.ncbi.nlm.nih.gov/41427841/, friendlyName=Open PubMed</x:v>
      </x:c>
    </x:row>
    <x:row r="2750">
      <x:c r="A2750" s="26" t="str">
        <x:v>PUBMED-41422611</x:v>
      </x:c>
      <x:c r="B2750" s="26" t="n">
        <x:v>2026</x:v>
      </x:c>
      <x:c r="C2750" s="26" t="str">
        <x:v>41422611</x:v>
      </x:c>
      <x:c r="D2750" s="28" t="str">
        <x:v>Prevalence, trends in, and factors associated with neurodevelopmental disorders (NDDs) in low- and low-middle income countries (LLMICs): A systematic review and meta-analysis.</x:v>
      </x:c>
      <x:c r="E2750" s="28" t="str">
        <x:v>Evidence synthesis - meta-analysis</x:v>
      </x:c>
      <x:c r="F2750" s="28" t="str">
        <x:v>Development &amp; presentation; Recognition &amp; diagnosis; Family &amp; education; Social &amp; structural; Environmental &amp; lifestyle; Historical &amp; contemporary context</x:v>
      </x:c>
      <x:c r="G2750" s="28" t="str">
        <x:v>Childhood</x:v>
      </x:c>
      <x:c r="H2750" s="28" t="str">
        <x:v>Exclude/incidental</x:v>
      </x:c>
      <x:c r="I2750" s="28" t="str">
        <x:v>ADHD appears peripheral or insufficiently aligned with the requested corpus scope based on accessible metadata/abstract.</x:v>
      </x:c>
      <x:c r="J2750" s="38" t="e">
        <x:f>HYPERLINK("https://pubmed.ncbi.nlm.nih.gov/"&amp;C2750&amp;"/","Open PubMed")</x:f>
        <x:v>HYPERLINK is not implemented. linkLocation=https://pubmed.ncbi.nlm.nih.gov/41422611/, friendlyName=Open PubMed</x:v>
      </x:c>
    </x:row>
    <x:row r="2751">
      <x:c r="A2751" s="26" t="str">
        <x:v>PUBMED-41421872</x:v>
      </x:c>
      <x:c r="B2751" s="26" t="n">
        <x:v>2026</x:v>
      </x:c>
      <x:c r="C2751" s="26" t="str">
        <x:v>41421872</x:v>
      </x:c>
      <x:c r="D2751" s="28" t="str">
        <x:v>Abnormal Child Behavior in primary school students: A Bayesian network analysis.</x:v>
      </x:c>
      <x:c r="E2751" s="28" t="str">
        <x:v>Primary/contextual journal article</x:v>
      </x:c>
      <x:c r="F2751" s="28" t="str">
        <x:v>Development &amp; presentation; Recognition &amp; diagnosis; Family &amp; education; Social &amp; structural; Treatment &amp; support</x:v>
      </x:c>
      <x:c r="G2751" s="28" t="str">
        <x:v>Childhood</x:v>
      </x:c>
      <x:c r="H2751" s="28" t="str">
        <x:v>Later specialized</x:v>
      </x:c>
      <x:c r="I2751" s="28" t="str">
        <x:v>Direct or strongly ADHD-related record retained for later screening; typically narrower treatment, biomarker, mechanistic, or single-comorbidity focus.</x:v>
      </x:c>
      <x:c r="J2751" s="38" t="e">
        <x:f>HYPERLINK("https://pubmed.ncbi.nlm.nih.gov/"&amp;C2751&amp;"/","Open PubMed")</x:f>
        <x:v>HYPERLINK is not implemented. linkLocation=https://pubmed.ncbi.nlm.nih.gov/41421872/, friendlyName=Open PubMed</x:v>
      </x:c>
    </x:row>
    <x:row r="2752">
      <x:c r="A2752" s="26" t="str">
        <x:v>PUBMED-41420932</x:v>
      </x:c>
      <x:c r="B2752" s="26" t="n">
        <x:v>2026</x:v>
      </x:c>
      <x:c r="C2752" s="26" t="str">
        <x:v>41420932</x:v>
      </x:c>
      <x:c r="D2752" s="28" t="str">
        <x:v>Efficacy of computer-assisted cognitive flexibility training and the moderating role of neuroticism in children with ADHD: A randomized controlled trial.</x:v>
      </x:c>
      <x:c r="E2752" s="28" t="str">
        <x:v>Primary study - randomized controlled trial</x:v>
      </x:c>
      <x:c r="F2752" s="28" t="str">
        <x:v>Development &amp; presentation; Recognition &amp; diagnosis; Family &amp; education; Social &amp; structural; Treatment &amp; support; Life outcomes &amp; lived experience</x:v>
      </x:c>
      <x:c r="G2752" s="28" t="str">
        <x:v>Childhood</x:v>
      </x:c>
      <x:c r="H2752" s="28" t="str">
        <x:v>Later specialized</x:v>
      </x:c>
      <x:c r="I2752" s="28" t="str">
        <x:v>Direct or strongly ADHD-related record retained for later screening; typically narrower treatment, biomarker, mechanistic, or single-comorbidity focus.</x:v>
      </x:c>
      <x:c r="J2752" s="38" t="e">
        <x:f>HYPERLINK("https://pubmed.ncbi.nlm.nih.gov/"&amp;C2752&amp;"/","Open PubMed")</x:f>
        <x:v>HYPERLINK is not implemented. linkLocation=https://pubmed.ncbi.nlm.nih.gov/41420932/, friendlyName=Open PubMed</x:v>
      </x:c>
    </x:row>
    <x:row r="2753">
      <x:c r="A2753" s="26" t="str">
        <x:v>PUBMED-41410594</x:v>
      </x:c>
      <x:c r="B2753" s="26" t="n">
        <x:v>2026</x:v>
      </x:c>
      <x:c r="C2753" s="26" t="str">
        <x:v>41410594</x:v>
      </x:c>
      <x:c r="D2753" s="28" t="str">
        <x:v>The Efficacy of Methylphenidate Use in Children Diagnosed With Attention Deficit Hyperactivity Disorder With Emotional Impulsivity Symptoms.</x:v>
      </x:c>
      <x:c r="E2753" s="28" t="str">
        <x:v>Primary/contextual journal article</x:v>
      </x:c>
      <x:c r="F2753" s="28" t="str">
        <x:v>Development &amp; presentation; Recognition &amp; diagnosis; Social &amp; structural; Treatment &amp; support; Life outcomes &amp; lived experience</x:v>
      </x:c>
      <x:c r="G2753" s="28" t="str">
        <x:v>Childhood</x:v>
      </x:c>
      <x:c r="H2753" s="28" t="str">
        <x:v>Later specialized</x:v>
      </x:c>
      <x:c r="I2753" s="28" t="str">
        <x:v>Direct or strongly ADHD-related record retained for later screening; typically narrower treatment, biomarker, mechanistic, or single-comorbidity focus.</x:v>
      </x:c>
      <x:c r="J2753" s="38" t="e">
        <x:f>HYPERLINK("https://pubmed.ncbi.nlm.nih.gov/"&amp;C2753&amp;"/","Open PubMed")</x:f>
        <x:v>HYPERLINK is not implemented. linkLocation=https://pubmed.ncbi.nlm.nih.gov/41410594/, friendlyName=Open PubMed</x:v>
      </x:c>
    </x:row>
    <x:row r="2754">
      <x:c r="A2754" s="26" t="str">
        <x:v>PUBMED-41405384</x:v>
      </x:c>
      <x:c r="B2754" s="26" t="n">
        <x:v>2026</x:v>
      </x:c>
      <x:c r="C2754" s="26" t="str">
        <x:v>41405384</x:v>
      </x:c>
      <x:c r="D2754" s="28" t="str">
        <x:v>Parenting Practices in Families of Children With Comorbid ADHD and Anxiety Disorders: A Systematic Review and Meta-Analysis.</x:v>
      </x:c>
      <x:c r="E2754" s="28" t="str">
        <x:v>Evidence synthesis - meta-analysis</x:v>
      </x:c>
      <x:c r="F2754" s="28" t="str">
        <x:v>Development &amp; presentation; Recognition &amp; diagnosis; Family &amp; education; Social &amp; structural</x:v>
      </x:c>
      <x:c r="G2754" s="28" t="str">
        <x:v>Childhood</x:v>
      </x:c>
      <x:c r="H2754" s="28" t="str">
        <x:v>Batch 1 core</x:v>
      </x:c>
      <x:c r="I2754" s="28" t="str">
        <x:v>Direct ADHD evidence synthesis/guideline with broad multi-topic relevance.</x:v>
      </x:c>
      <x:c r="J2754" s="38" t="e">
        <x:f>HYPERLINK("https://pubmed.ncbi.nlm.nih.gov/"&amp;C2754&amp;"/","Open PubMed")</x:f>
        <x:v>HYPERLINK is not implemented. linkLocation=https://pubmed.ncbi.nlm.nih.gov/41405384/, friendlyName=Open PubMed</x:v>
      </x:c>
    </x:row>
    <x:row r="2755">
      <x:c r="A2755" s="26" t="str">
        <x:v>PUBMED-41403109</x:v>
      </x:c>
      <x:c r="B2755" s="26" t="n">
        <x:v>2026</x:v>
      </x:c>
      <x:c r="C2755" s="26" t="str">
        <x:v>41403109</x:v>
      </x:c>
      <x:c r="D2755" s="28" t="str">
        <x:v>Impaired Exogenous Attentional Orienting to Gaze Cues in Children With ADHD: Evidence From Inhibition of Return.</x:v>
      </x:c>
      <x:c r="E2755" s="28" t="str">
        <x:v>Primary/contextual journal article</x:v>
      </x:c>
      <x:c r="F2755" s="28" t="str">
        <x:v>Development &amp; presentation; Recognition &amp; diagnosis; Family &amp; education; Social &amp; structural</x:v>
      </x:c>
      <x:c r="G2755" s="28" t="str">
        <x:v>Childhood; Adolescence</x:v>
      </x:c>
      <x:c r="H2755" s="28" t="str">
        <x:v>Later specialized</x:v>
      </x:c>
      <x:c r="I2755" s="28" t="str">
        <x:v>Direct or strongly ADHD-related record retained for later screening; typically narrower treatment, biomarker, mechanistic, or single-comorbidity focus.</x:v>
      </x:c>
      <x:c r="J2755" s="38" t="e">
        <x:f>HYPERLINK("https://pubmed.ncbi.nlm.nih.gov/"&amp;C2755&amp;"/","Open PubMed")</x:f>
        <x:v>HYPERLINK is not implemented. linkLocation=https://pubmed.ncbi.nlm.nih.gov/41403109/, friendlyName=Open PubMed</x:v>
      </x:c>
    </x:row>
    <x:row r="2756">
      <x:c r="A2756" s="26" t="str">
        <x:v>PUBMED-41398372</x:v>
      </x:c>
      <x:c r="B2756" s="26" t="n">
        <x:v>2026</x:v>
      </x:c>
      <x:c r="C2756" s="26" t="str">
        <x:v>41398372</x:v>
      </x:c>
      <x:c r="D2756" s="28" t="str">
        <x:v>Downregulation of integrin α3 in ADHD mirrored in mutant mouse model by dopamine-dependent hippocampal AMPAR expression.</x:v>
      </x:c>
      <x:c r="E2756" s="28" t="str">
        <x:v>Primary/contextual journal article</x:v>
      </x:c>
      <x:c r="F2756" s="28" t="str">
        <x:v>Development &amp; presentation; Social &amp; structural; Treatment &amp; support</x:v>
      </x:c>
      <x:c r="G2756" s="28" t="str">
        <x:v>Adolescence</x:v>
      </x:c>
      <x:c r="H2756" s="28" t="str">
        <x:v>Exclude/incidental</x:v>
      </x:c>
      <x:c r="I2756" s="28" t="str">
        <x:v>Animal-only record; retained outside the human-focused core corpus.</x:v>
      </x:c>
      <x:c r="J2756" s="38" t="e">
        <x:f>HYPERLINK("https://pubmed.ncbi.nlm.nih.gov/"&amp;C2756&amp;"/","Open PubMed")</x:f>
        <x:v>HYPERLINK is not implemented. linkLocation=https://pubmed.ncbi.nlm.nih.gov/41398372/, friendlyName=Open PubMed</x:v>
      </x:c>
    </x:row>
    <x:row r="2757">
      <x:c r="A2757" s="26" t="str">
        <x:v>PUBMED-41388592</x:v>
      </x:c>
      <x:c r="B2757" s="26" t="n">
        <x:v>2026</x:v>
      </x:c>
      <x:c r="C2757" s="26" t="str">
        <x:v>41388592</x:v>
      </x:c>
      <x:c r="D2757" s="28" t="str">
        <x:v>An update on the comorbidity of attention deficit/hyperactivity disorder (ADHD) and autism spectrum disorder (ASD) and its clinical management.</x:v>
      </x:c>
      <x:c r="E2757" s="28" t="str">
        <x:v>Evidence synthesis - review</x:v>
      </x:c>
      <x:c r="F2757" s="28" t="str">
        <x:v>Development &amp; presentation; Recognition &amp; diagnosis; Social &amp; structural; Treatment &amp; support; Life outcomes &amp; lived experience</x:v>
      </x:c>
      <x:c r="G2757" s="28" t="str">
        <x:v>Not specified</x:v>
      </x:c>
      <x:c r="H2757" s="28" t="str">
        <x:v>Later specialized</x:v>
      </x:c>
      <x:c r="I2757" s="28" t="str">
        <x:v>Direct or strongly ADHD-related record retained for later screening; typically narrower treatment, biomarker, mechanistic, or single-comorbidity focus.</x:v>
      </x:c>
      <x:c r="J2757" s="38" t="e">
        <x:f>HYPERLINK("https://pubmed.ncbi.nlm.nih.gov/"&amp;C2757&amp;"/","Open PubMed")</x:f>
        <x:v>HYPERLINK is not implemented. linkLocation=https://pubmed.ncbi.nlm.nih.gov/41388592/, friendlyName=Open PubMed</x:v>
      </x:c>
    </x:row>
    <x:row r="2758">
      <x:c r="A2758" s="26" t="str">
        <x:v>PUBMED-41384423</x:v>
      </x:c>
      <x:c r="B2758" s="26" t="n">
        <x:v>2026</x:v>
      </x:c>
      <x:c r="C2758" s="26" t="str">
        <x:v>41384423</x:v>
      </x:c>
      <x:c r="D2758" s="28" t="str">
        <x:v>Restricted Supply, Rising Demand: Reimagining Prescription Stimulant Regulation Amid A National Shortage.</x:v>
      </x:c>
      <x:c r="E2758" s="28" t="str">
        <x:v>Primary/contextual journal article</x:v>
      </x:c>
      <x:c r="F2758" s="28" t="str">
        <x:v>Development &amp; presentation; Recognition &amp; diagnosis; Social &amp; structural; Treatment &amp; support; Life outcomes &amp; lived experience</x:v>
      </x:c>
      <x:c r="G2758" s="28" t="str">
        <x:v>Not specified</x:v>
      </x:c>
      <x:c r="H2758" s="28" t="str">
        <x:v>Later specialized</x:v>
      </x:c>
      <x:c r="I2758" s="28" t="str">
        <x:v>Direct or strongly ADHD-related record retained for later screening; typically narrower treatment, biomarker, mechanistic, or single-comorbidity focus.</x:v>
      </x:c>
      <x:c r="J2758" s="38" t="e">
        <x:f>HYPERLINK("https://pubmed.ncbi.nlm.nih.gov/"&amp;C2758&amp;"/","Open PubMed")</x:f>
        <x:v>HYPERLINK is not implemented. linkLocation=https://pubmed.ncbi.nlm.nih.gov/41384423/, friendlyName=Open PubMed</x:v>
      </x:c>
    </x:row>
    <x:row r="2759">
      <x:c r="A2759" s="26" t="str">
        <x:v>PUBMED-41379078</x:v>
      </x:c>
      <x:c r="B2759" s="26" t="n">
        <x:v>2026</x:v>
      </x:c>
      <x:c r="C2759" s="26" t="str">
        <x:v>41379078</x:v>
      </x:c>
      <x:c r="D2759" s="28" t="str">
        <x:v>The relationship between autistic traits and chronotype in individuals diagnosed with Attention Deficit Hyperactivity Disorder.</x:v>
      </x:c>
      <x:c r="E2759" s="28" t="str">
        <x:v>Primary/contextual journal article</x:v>
      </x:c>
      <x:c r="F2759" s="28" t="str">
        <x:v>Development &amp; presentation; Recognition &amp; diagnosis; Family &amp; education; Social &amp; structural; Life outcomes &amp; lived experience</x:v>
      </x:c>
      <x:c r="G2759" s="28" t="str">
        <x:v>Childhood; Adolescence</x:v>
      </x:c>
      <x:c r="H2759" s="28" t="str">
        <x:v>Later specialized</x:v>
      </x:c>
      <x:c r="I2759" s="28" t="str">
        <x:v>Direct or strongly ADHD-related record retained for later screening; typically narrower treatment, biomarker, mechanistic, or single-comorbidity focus.</x:v>
      </x:c>
      <x:c r="J2759" s="38" t="e">
        <x:f>HYPERLINK("https://pubmed.ncbi.nlm.nih.gov/"&amp;C2759&amp;"/","Open PubMed")</x:f>
        <x:v>HYPERLINK is not implemented. linkLocation=https://pubmed.ncbi.nlm.nih.gov/41379078/, friendlyName=Open PubMed</x:v>
      </x:c>
    </x:row>
    <x:row r="2760">
      <x:c r="A2760" s="26" t="str">
        <x:v>PUBMED-41371600</x:v>
      </x:c>
      <x:c r="B2760" s="26" t="n">
        <x:v>2026</x:v>
      </x:c>
      <x:c r="C2760" s="26" t="str">
        <x:v>41371600</x:v>
      </x:c>
      <x:c r="D2760" s="28" t="str">
        <x:v>Insufficient cognitive resources allocation with compensatory sensory enhancement in children with attention difficulties.</x:v>
      </x:c>
      <x:c r="E2760" s="28" t="str">
        <x:v>Primary/contextual journal article</x:v>
      </x:c>
      <x:c r="F2760" s="28" t="str">
        <x:v>Development &amp; presentation; Recognition &amp; diagnosis; Social &amp; structural; Treatment &amp; support</x:v>
      </x:c>
      <x:c r="G2760" s="28" t="str">
        <x:v>Childhood</x:v>
      </x:c>
      <x:c r="H2760" s="28" t="str">
        <x:v>Later specialized</x:v>
      </x:c>
      <x:c r="I2760" s="28" t="str">
        <x:v>Direct or strongly ADHD-related record retained for later screening; typically narrower treatment, biomarker, mechanistic, or single-comorbidity focus.</x:v>
      </x:c>
      <x:c r="J2760" s="38" t="e">
        <x:f>HYPERLINK("https://pubmed.ncbi.nlm.nih.gov/"&amp;C2760&amp;"/","Open PubMed")</x:f>
        <x:v>HYPERLINK is not implemented. linkLocation=https://pubmed.ncbi.nlm.nih.gov/41371600/, friendlyName=Open PubMed</x:v>
      </x:c>
    </x:row>
    <x:row r="2761">
      <x:c r="A2761" s="26" t="str">
        <x:v>PUBMED-41347785</x:v>
      </x:c>
      <x:c r="B2761" s="26" t="n">
        <x:v>2026</x:v>
      </x:c>
      <x:c r="C2761" s="26" t="str">
        <x:v>41347785</x:v>
      </x:c>
      <x:c r="D2761" s="28" t="str">
        <x:v>Association between allergic rhinitis and attention deficit hyperactivity disorder symptoms in pediatric patients: the impact of seasonal variability.</x:v>
      </x:c>
      <x:c r="E2761" s="28" t="str">
        <x:v>Primary study - case-control</x:v>
      </x:c>
      <x:c r="F2761" s="28" t="str">
        <x:v>Development &amp; presentation; Recognition &amp; diagnosis; Family &amp; education; Social &amp; structural; Environmental &amp; lifestyle</x:v>
      </x:c>
      <x:c r="G2761" s="28" t="str">
        <x:v>Childhood; Adolescence</x:v>
      </x:c>
      <x:c r="H2761" s="28" t="str">
        <x:v>Later specialized</x:v>
      </x:c>
      <x:c r="I2761" s="28" t="str">
        <x:v>Direct or strongly ADHD-related record retained for later screening; typically narrower treatment, biomarker, mechanistic, or single-comorbidity focus.</x:v>
      </x:c>
      <x:c r="J2761" s="38" t="e">
        <x:f>HYPERLINK("https://pubmed.ncbi.nlm.nih.gov/"&amp;C2761&amp;"/","Open PubMed")</x:f>
        <x:v>HYPERLINK is not implemented. linkLocation=https://pubmed.ncbi.nlm.nih.gov/41347785/, friendlyName=Open PubMed</x:v>
      </x:c>
    </x:row>
    <x:row r="2762">
      <x:c r="A2762" s="26" t="str">
        <x:v>PUBMED-41338373</x:v>
      </x:c>
      <x:c r="B2762" s="26" t="n">
        <x:v>2026</x:v>
      </x:c>
      <x:c r="C2762" s="26" t="str">
        <x:v>41338373</x:v>
      </x:c>
      <x:c r="D2762" s="28" t="str">
        <x:v>Sex-specific interhemispheric brain oscillation asymmetries in an ADHD rat model.</x:v>
      </x:c>
      <x:c r="E2762" s="28" t="str">
        <x:v>Primary/contextual journal article</x:v>
      </x:c>
      <x:c r="F2762" s="28" t="str">
        <x:v>Development &amp; presentation; Recognition &amp; diagnosis; Social &amp; structural; Treatment &amp; support</x:v>
      </x:c>
      <x:c r="G2762" s="28" t="str">
        <x:v>Adolescence</x:v>
      </x:c>
      <x:c r="H2762" s="28" t="str">
        <x:v>Exclude/incidental</x:v>
      </x:c>
      <x:c r="I2762" s="28" t="str">
        <x:v>Animal-only record; retained outside the human-focused core corpus.</x:v>
      </x:c>
      <x:c r="J2762" s="38" t="e">
        <x:f>HYPERLINK("https://pubmed.ncbi.nlm.nih.gov/"&amp;C2762&amp;"/","Open PubMed")</x:f>
        <x:v>HYPERLINK is not implemented. linkLocation=https://pubmed.ncbi.nlm.nih.gov/41338373/, friendlyName=Open PubMed</x:v>
      </x:c>
    </x:row>
    <x:row r="2763">
      <x:c r="A2763" s="26" t="str">
        <x:v>PUBMED-41331831</x:v>
      </x:c>
      <x:c r="B2763" s="26" t="n">
        <x:v>2026</x:v>
      </x:c>
      <x:c r="C2763" s="26" t="str">
        <x:v>41331831</x:v>
      </x:c>
      <x:c r="D2763" s="28" t="str">
        <x:v>Factors Influencing Pediatric Primary Care Providers' Perceived Capacity to Address Behavioral Health Needs.</x:v>
      </x:c>
      <x:c r="E2763" s="28" t="str">
        <x:v>Primary study - qualitative</x:v>
      </x:c>
      <x:c r="F2763" s="28" t="str">
        <x:v>Development &amp; presentation; Recognition &amp; diagnosis; Family &amp; education; Social &amp; structural; Treatment &amp; support; Historical &amp; contemporary context</x:v>
      </x:c>
      <x:c r="G2763" s="28" t="str">
        <x:v>Childhood; Adolescence; Adulthood</x:v>
      </x:c>
      <x:c r="H2763" s="28" t="str">
        <x:v>Later specialized</x:v>
      </x:c>
      <x:c r="I2763" s="28" t="str">
        <x:v>Direct or strongly ADHD-related record retained for later screening; typically narrower treatment, biomarker, mechanistic, or single-comorbidity focus.</x:v>
      </x:c>
      <x:c r="J2763" s="38" t="e">
        <x:f>HYPERLINK("https://pubmed.ncbi.nlm.nih.gov/"&amp;C2763&amp;"/","Open PubMed")</x:f>
        <x:v>HYPERLINK is not implemented. linkLocation=https://pubmed.ncbi.nlm.nih.gov/41331831/, friendlyName=Open PubMed</x:v>
      </x:c>
    </x:row>
    <x:row r="2764">
      <x:c r="A2764" s="26" t="str">
        <x:v>PUBMED-41324275</x:v>
      </x:c>
      <x:c r="B2764" s="26" t="n">
        <x:v>2026</x:v>
      </x:c>
      <x:c r="C2764" s="26" t="str">
        <x:v>41324275</x:v>
      </x:c>
      <x:c r="D2764" s="28" t="str">
        <x:v>Susceptibility of ADHD children to memory error production on a DRM task.</x:v>
      </x:c>
      <x:c r="E2764" s="28" t="str">
        <x:v>Primary/contextual journal article</x:v>
      </x:c>
      <x:c r="F2764" s="28" t="str">
        <x:v>Development &amp; presentation; Recognition &amp; diagnosis; Social &amp; structural; Environmental &amp; lifestyle</x:v>
      </x:c>
      <x:c r="G2764" s="28" t="str">
        <x:v>Childhood</x:v>
      </x:c>
      <x:c r="H2764" s="28" t="str">
        <x:v>Later specialized</x:v>
      </x:c>
      <x:c r="I2764" s="28" t="str">
        <x:v>Direct or strongly ADHD-related record retained for later screening; typically narrower treatment, biomarker, mechanistic, or single-comorbidity focus.</x:v>
      </x:c>
      <x:c r="J2764" s="38" t="e">
        <x:f>HYPERLINK("https://pubmed.ncbi.nlm.nih.gov/"&amp;C2764&amp;"/","Open PubMed")</x:f>
        <x:v>HYPERLINK is not implemented. linkLocation=https://pubmed.ncbi.nlm.nih.gov/41324275/, friendlyName=Open PubMed</x:v>
      </x:c>
    </x:row>
    <x:row r="2765">
      <x:c r="A2765" s="26" t="str">
        <x:v>PUBMED-41321064</x:v>
      </x:c>
      <x:c r="B2765" s="26" t="n">
        <x:v>2026</x:v>
      </x:c>
      <x:c r="C2765" s="26" t="str">
        <x:v>41321064</x:v>
      </x:c>
      <x:c r="D2765" s="28" t="str">
        <x:v>Working Memory Load and Inhibition Performance Among Children With ADHD.</x:v>
      </x:c>
      <x:c r="E2765" s="28" t="str">
        <x:v>Primary/contextual journal article</x:v>
      </x:c>
      <x:c r="F2765" s="28" t="str">
        <x:v>Development &amp; presentation</x:v>
      </x:c>
      <x:c r="G2765" s="28" t="str">
        <x:v>Childhood</x:v>
      </x:c>
      <x:c r="H2765" s="28" t="str">
        <x:v>Later specialized</x:v>
      </x:c>
      <x:c r="I2765" s="28" t="str">
        <x:v>Direct or strongly ADHD-related record retained for later screening; typically narrower treatment, biomarker, mechanistic, or single-comorbidity focus.</x:v>
      </x:c>
      <x:c r="J2765" s="38" t="e">
        <x:f>HYPERLINK("https://pubmed.ncbi.nlm.nih.gov/"&amp;C2765&amp;"/","Open PubMed")</x:f>
        <x:v>HYPERLINK is not implemented. linkLocation=https://pubmed.ncbi.nlm.nih.gov/41321064/, friendlyName=Open PubMed</x:v>
      </x:c>
    </x:row>
    <x:row r="2766">
      <x:c r="A2766" s="26" t="str">
        <x:v>PUBMED-41315907</x:v>
      </x:c>
      <x:c r="B2766" s="26" t="n">
        <x:v>2026</x:v>
      </x:c>
      <x:c r="C2766" s="26" t="str">
        <x:v>41315907</x:v>
      </x:c>
      <x:c r="D2766" s="28" t="str">
        <x:v>ADHD Knowledge as a Barrier to Problem Recognition in Asian American and Native Hawaiian/Pacific Islander Versus White College Students.</x:v>
      </x:c>
      <x:c r="E2766" s="28" t="str">
        <x:v>Primary/contextual journal article</x:v>
      </x:c>
      <x:c r="F2766" s="28" t="str">
        <x:v>Development &amp; presentation; Recognition &amp; diagnosis; Social &amp; structural; Historical &amp; contemporary context</x:v>
      </x:c>
      <x:c r="G2766" s="28" t="str">
        <x:v>Adolescence; Adulthood</x:v>
      </x:c>
      <x:c r="H2766" s="28" t="str">
        <x:v>Later specialized</x:v>
      </x:c>
      <x:c r="I2766" s="28" t="str">
        <x:v>Direct or strongly ADHD-related record retained for later screening; typically narrower treatment, biomarker, mechanistic, or single-comorbidity focus.</x:v>
      </x:c>
      <x:c r="J2766" s="38" t="e">
        <x:f>HYPERLINK("https://pubmed.ncbi.nlm.nih.gov/"&amp;C2766&amp;"/","Open PubMed")</x:f>
        <x:v>HYPERLINK is not implemented. linkLocation=https://pubmed.ncbi.nlm.nih.gov/41315907/, friendlyName=Open PubMed</x:v>
      </x:c>
    </x:row>
    <x:row r="2767">
      <x:c r="A2767" s="26" t="str">
        <x:v>PUBMED-41305915</x:v>
      </x:c>
      <x:c r="B2767" s="26" t="n">
        <x:v>2026</x:v>
      </x:c>
      <x:c r="C2767" s="26" t="str">
        <x:v>41305915</x:v>
      </x:c>
      <x:c r="D2767" s="28" t="str">
        <x:v>Does interference of dual-tasks differ between children with ADHD and controls and what is the impact of attention?</x:v>
      </x:c>
      <x:c r="E2767" s="28" t="str">
        <x:v>Primary/contextual journal article</x:v>
      </x:c>
      <x:c r="F2767" s="28" t="str">
        <x:v>Development &amp; presentation</x:v>
      </x:c>
      <x:c r="G2767" s="28" t="str">
        <x:v>Childhood</x:v>
      </x:c>
      <x:c r="H2767" s="28" t="str">
        <x:v>Later specialized</x:v>
      </x:c>
      <x:c r="I2767" s="28" t="str">
        <x:v>Direct or strongly ADHD-related record retained for later screening; typically narrower treatment, biomarker, mechanistic, or single-comorbidity focus.</x:v>
      </x:c>
      <x:c r="J2767" s="38" t="e">
        <x:f>HYPERLINK("https://pubmed.ncbi.nlm.nih.gov/"&amp;C2767&amp;"/","Open PubMed")</x:f>
        <x:v>HYPERLINK is not implemented. linkLocation=https://pubmed.ncbi.nlm.nih.gov/41305915/, friendlyName=Open PubMed</x:v>
      </x:c>
    </x:row>
    <x:row r="2768">
      <x:c r="A2768" s="26" t="str">
        <x:v>PUBMED-41283992</x:v>
      </x:c>
      <x:c r="B2768" s="26" t="n">
        <x:v>2026</x:v>
      </x:c>
      <x:c r="C2768" s="26" t="str">
        <x:v>41283992</x:v>
      </x:c>
      <x:c r="D2768" s="28" t="str">
        <x:v>Therapeutic effects of tDCS on behavioral and cognitive functions in adults diagnosed with attention-deficit/hyperactivity disorder: a systematic review and meta-analysis on randomized controlled trials.</x:v>
      </x:c>
      <x:c r="E2768" s="28" t="str">
        <x:v>Evidence synthesis - meta-analysis</x:v>
      </x:c>
      <x:c r="F2768" s="28" t="str">
        <x:v>Development &amp; presentation; Recognition &amp; diagnosis; Social &amp; structural; Treatment &amp; support; Life outcomes &amp; lived experience</x:v>
      </x:c>
      <x:c r="G2768" s="28" t="str">
        <x:v>Adulthood</x:v>
      </x:c>
      <x:c r="H2768" s="28" t="str">
        <x:v>Batch 1 core</x:v>
      </x:c>
      <x:c r="I2768" s="28" t="str">
        <x:v>Direct ADHD evidence synthesis/guideline with broad multi-topic relevance.</x:v>
      </x:c>
      <x:c r="J2768" s="38" t="e">
        <x:f>HYPERLINK("https://pubmed.ncbi.nlm.nih.gov/"&amp;C2768&amp;"/","Open PubMed")</x:f>
        <x:v>HYPERLINK is not implemented. linkLocation=https://pubmed.ncbi.nlm.nih.gov/41283992/, friendlyName=Open PubMed</x:v>
      </x:c>
    </x:row>
    <x:row r="2769">
      <x:c r="A2769" s="26" t="str">
        <x:v>PUBMED-41277637</x:v>
      </x:c>
      <x:c r="B2769" s="26" t="n">
        <x:v>2026</x:v>
      </x:c>
      <x:c r="C2769" s="26" t="str">
        <x:v>41277637</x:v>
      </x:c>
      <x:c r="D2769" s="28" t="str">
        <x:v>From physiology to pathology in the diagnosis and treatment of ADHD.</x:v>
      </x:c>
      <x:c r="E2769" s="28" t="str">
        <x:v>Contextual - editorial/comment</x:v>
      </x:c>
      <x:c r="F2769" s="28" t="str">
        <x:v>Development &amp; presentation; Recognition &amp; diagnosis; Social &amp; structural; Treatment &amp; support</x:v>
      </x:c>
      <x:c r="G2769" s="28" t="str">
        <x:v>Childhood</x:v>
      </x:c>
      <x:c r="H2769" s="28" t="str">
        <x:v>Later specialized</x:v>
      </x:c>
      <x:c r="I2769" s="28" t="str">
        <x:v>Direct or strongly ADHD-related record retained for later screening; typically narrower treatment, biomarker, mechanistic, or single-comorbidity focus.</x:v>
      </x:c>
      <x:c r="J2769" s="38" t="e">
        <x:f>HYPERLINK("https://pubmed.ncbi.nlm.nih.gov/"&amp;C2769&amp;"/","Open PubMed")</x:f>
        <x:v>HYPERLINK is not implemented. linkLocation=https://pubmed.ncbi.nlm.nih.gov/41277637/, friendlyName=Open PubMed</x:v>
      </x:c>
    </x:row>
    <x:row r="2770">
      <x:c r="A2770" s="26" t="str">
        <x:v>PUBMED-41251713</x:v>
      </x:c>
      <x:c r="B2770" s="26" t="n">
        <x:v>2026</x:v>
      </x:c>
      <x:c r="C2770" s="26" t="str">
        <x:v>41251713</x:v>
      </x:c>
      <x:c r="D2770" s="28" t="str">
        <x:v>Reduced emotion-generated frontolimbic functional connectivity in psychostimulant-free ADHD youth with and without familial risk for bipolar I disorder.</x:v>
      </x:c>
      <x:c r="E2770" s="28" t="str">
        <x:v>Primary/contextual journal article</x:v>
      </x:c>
      <x:c r="F2770" s="28" t="str">
        <x:v>Development &amp; presentation; Family &amp; education; Treatment &amp; support; Historical &amp; contemporary context</x:v>
      </x:c>
      <x:c r="G2770" s="28" t="str">
        <x:v>Childhood; Adolescence</x:v>
      </x:c>
      <x:c r="H2770" s="28" t="str">
        <x:v>Later specialized</x:v>
      </x:c>
      <x:c r="I2770" s="28" t="str">
        <x:v>Direct or strongly ADHD-related record retained for later screening; typically narrower treatment, biomarker, mechanistic, or single-comorbidity focus.</x:v>
      </x:c>
      <x:c r="J2770" s="38" t="e">
        <x:f>HYPERLINK("https://pubmed.ncbi.nlm.nih.gov/"&amp;C2770&amp;"/","Open PubMed")</x:f>
        <x:v>HYPERLINK is not implemented. linkLocation=https://pubmed.ncbi.nlm.nih.gov/41251713/, friendlyName=Open PubMed</x:v>
      </x:c>
    </x:row>
    <x:row r="2771">
      <x:c r="A2771" s="26" t="str">
        <x:v>PUBMED-41238184</x:v>
      </x:c>
      <x:c r="B2771" s="26" t="n">
        <x:v>2026</x:v>
      </x:c>
      <x:c r="C2771" s="26" t="str">
        <x:v>41238184</x:v>
      </x:c>
      <x:c r="D2771" s="28" t="str">
        <x:v>The Debate on Acetaminophen Use in Pregnancy and Neurodevelopmental Disorders: Facts or Fiction?</x:v>
      </x:c>
      <x:c r="E2771" s="28" t="str">
        <x:v>Primary study - cohort</x:v>
      </x:c>
      <x:c r="F2771" s="28" t="str">
        <x:v>Development &amp; presentation; Recognition &amp; diagnosis; Family &amp; education; Social &amp; structural; Environmental &amp; lifestyle; Treatment &amp; support; Life outcomes &amp; lived experience</x:v>
      </x:c>
      <x:c r="G2771" s="28" t="str">
        <x:v>Childhood; Adulthood</x:v>
      </x:c>
      <x:c r="H2771" s="28" t="str">
        <x:v>Later specialized</x:v>
      </x:c>
      <x:c r="I2771" s="28" t="str">
        <x:v>Direct or strongly ADHD-related record retained for later screening; typically narrower treatment, biomarker, mechanistic, or single-comorbidity focus.</x:v>
      </x:c>
      <x:c r="J2771" s="38" t="e">
        <x:f>HYPERLINK("https://pubmed.ncbi.nlm.nih.gov/"&amp;C2771&amp;"/","Open PubMed")</x:f>
        <x:v>HYPERLINK is not implemented. linkLocation=https://pubmed.ncbi.nlm.nih.gov/41238184/, friendlyName=Open PubMed</x:v>
      </x:c>
    </x:row>
    <x:row r="2772">
      <x:c r="A2772" s="26" t="str">
        <x:v>PUBMED-41237171</x:v>
      </x:c>
      <x:c r="B2772" s="26" t="n">
        <x:v>2026</x:v>
      </x:c>
      <x:c r="C2772" s="26" t="str">
        <x:v>41237171</x:v>
      </x:c>
      <x:c r="D2772" s="28" t="str">
        <x:v>The Impact of Screen Time on ADHD Symptoms in Children and Adolescents: A Narrative Review of Treatment Approaches.</x:v>
      </x:c>
      <x:c r="E2772" s="28" t="str">
        <x:v>Evidence synthesis - review</x:v>
      </x:c>
      <x:c r="F2772" s="28" t="str">
        <x:v>Development &amp; presentation; Recognition &amp; diagnosis; Social &amp; structural; Environmental &amp; lifestyle; Treatment &amp; support; Life outcomes &amp; lived experience</x:v>
      </x:c>
      <x:c r="G2772" s="28" t="str">
        <x:v>Childhood; Adolescence</x:v>
      </x:c>
      <x:c r="H2772" s="28" t="str">
        <x:v>Batch 1 core</x:v>
      </x:c>
      <x:c r="I2772" s="28" t="str">
        <x:v>Direct ADHD evidence synthesis/guideline with broad multi-topic relevance.</x:v>
      </x:c>
      <x:c r="J2772" s="38" t="e">
        <x:f>HYPERLINK("https://pubmed.ncbi.nlm.nih.gov/"&amp;C2772&amp;"/","Open PubMed")</x:f>
        <x:v>HYPERLINK is not implemented. linkLocation=https://pubmed.ncbi.nlm.nih.gov/41237171/, friendlyName=Open PubMed</x:v>
      </x:c>
    </x:row>
    <x:row r="2773">
      <x:c r="A2773" s="26" t="str">
        <x:v>PUBMED-41224997</x:v>
      </x:c>
      <x:c r="B2773" s="26" t="n">
        <x:v>2026</x:v>
      </x:c>
      <x:c r="C2773" s="26" t="str">
        <x:v>41224997</x:v>
      </x:c>
      <x:c r="D2773" s="28" t="str">
        <x:v>Rare genetic variants confer a high risk of ADHD and implicate neuronal biology.</x:v>
      </x:c>
      <x:c r="E2773" s="28" t="str">
        <x:v>Primary/contextual journal article</x:v>
      </x:c>
      <x:c r="F2773" s="28" t="str">
        <x:v>Development &amp; presentation; Family &amp; education; Social &amp; structural; Life outcomes &amp; lived experience</x:v>
      </x:c>
      <x:c r="G2773" s="28" t="str">
        <x:v>Childhood; Adolescence; Adulthood</x:v>
      </x:c>
      <x:c r="H2773" s="28" t="str">
        <x:v>Later specialized</x:v>
      </x:c>
      <x:c r="I2773" s="28" t="str">
        <x:v>Direct or strongly ADHD-related record retained for later screening; typically narrower treatment, biomarker, mechanistic, or single-comorbidity focus.</x:v>
      </x:c>
      <x:c r="J2773" s="38" t="e">
        <x:f>HYPERLINK("https://pubmed.ncbi.nlm.nih.gov/"&amp;C2773&amp;"/","Open PubMed")</x:f>
        <x:v>HYPERLINK is not implemented. linkLocation=https://pubmed.ncbi.nlm.nih.gov/41224997/, friendlyName=Open PubMed</x:v>
      </x:c>
    </x:row>
    <x:row r="2774">
      <x:c r="A2774" s="26" t="str">
        <x:v>PUBMED-41205288</x:v>
      </x:c>
      <x:c r="B2774" s="26" t="n">
        <x:v>2026</x:v>
      </x:c>
      <x:c r="C2774" s="26" t="str">
        <x:v>41205288</x:v>
      </x:c>
      <x:c r="D2774" s="28" t="str">
        <x:v>A preliminary analysis of large muscle group movements in adults with attention deficit hyperactivity disorder.</x:v>
      </x:c>
      <x:c r="E2774" s="28" t="str">
        <x:v>Primary/contextual journal article</x:v>
      </x:c>
      <x:c r="F2774" s="28" t="str">
        <x:v>Development &amp; presentation; Recognition &amp; diagnosis; Social &amp; structural; Environmental &amp; lifestyle; Treatment &amp; support</x:v>
      </x:c>
      <x:c r="G2774" s="28" t="str">
        <x:v>Childhood; Adulthood</x:v>
      </x:c>
      <x:c r="H2774" s="28" t="str">
        <x:v>Later specialized</x:v>
      </x:c>
      <x:c r="I2774" s="28" t="str">
        <x:v>Direct or strongly ADHD-related record retained for later screening; typically narrower treatment, biomarker, mechanistic, or single-comorbidity focus.</x:v>
      </x:c>
      <x:c r="J2774" s="38" t="e">
        <x:f>HYPERLINK("https://pubmed.ncbi.nlm.nih.gov/"&amp;C2774&amp;"/","Open PubMed")</x:f>
        <x:v>HYPERLINK is not implemented. linkLocation=https://pubmed.ncbi.nlm.nih.gov/41205288/, friendlyName=Open PubMed</x:v>
      </x:c>
    </x:row>
    <x:row r="2775">
      <x:c r="A2775" s="26" t="str">
        <x:v>PUBMED-41188694</x:v>
      </x:c>
      <x:c r="B2775" s="26" t="n">
        <x:v>2026</x:v>
      </x:c>
      <x:c r="C2775" s="26" t="str">
        <x:v>41188694</x:v>
      </x:c>
      <x:c r="D2775" s="28" t="str">
        <x:v>Neurodevelopmental conditions and adaptive functioning - a co-twin control study.</x:v>
      </x:c>
      <x:c r="E2775" s="28" t="str">
        <x:v>Primary/contextual journal article</x:v>
      </x:c>
      <x:c r="F2775" s="28" t="str">
        <x:v>Development &amp; presentation; Recognition &amp; diagnosis; Family &amp; education; Social &amp; structural; Environmental &amp; lifestyle; Life outcomes &amp; lived experience</x:v>
      </x:c>
      <x:c r="G2775" s="28" t="str">
        <x:v>Childhood; Adolescence; Adulthood</x:v>
      </x:c>
      <x:c r="H2775" s="28" t="str">
        <x:v>Later specialized</x:v>
      </x:c>
      <x:c r="I2775" s="28" t="str">
        <x:v>Direct or strongly ADHD-related record retained for later screening; typically narrower treatment, biomarker, mechanistic, or single-comorbidity focus.</x:v>
      </x:c>
      <x:c r="J2775" s="38" t="e">
        <x:f>HYPERLINK("https://pubmed.ncbi.nlm.nih.gov/"&amp;C2775&amp;"/","Open PubMed")</x:f>
        <x:v>HYPERLINK is not implemented. linkLocation=https://pubmed.ncbi.nlm.nih.gov/41188694/, friendlyName=Open PubMed</x:v>
      </x:c>
    </x:row>
    <x:row r="2776">
      <x:c r="A2776" s="26" t="str">
        <x:v>PUBMED-41176696</x:v>
      </x:c>
      <x:c r="B2776" s="26" t="n">
        <x:v>2026</x:v>
      </x:c>
      <x:c r="C2776" s="26" t="str">
        <x:v>41176696</x:v>
      </x:c>
      <x:c r="D2776" s="28" t="str">
        <x:v>Familial coaggregation of major psychiatric disorders and neurodevelopmental disorders among first-degree relatives of individuals with panic disorder.</x:v>
      </x:c>
      <x:c r="E2776" s="28" t="str">
        <x:v>Primary study - case-control</x:v>
      </x:c>
      <x:c r="F2776" s="28" t="str">
        <x:v>Development &amp; presentation; Family &amp; education; Social &amp; structural</x:v>
      </x:c>
      <x:c r="G2776" s="28" t="str">
        <x:v>Adolescence; Adulthood</x:v>
      </x:c>
      <x:c r="H2776" s="28" t="str">
        <x:v>Later specialized</x:v>
      </x:c>
      <x:c r="I2776" s="28" t="str">
        <x:v>Direct or strongly ADHD-related record retained for later screening; typically narrower treatment, biomarker, mechanistic, or single-comorbidity focus.</x:v>
      </x:c>
      <x:c r="J2776" s="38" t="e">
        <x:f>HYPERLINK("https://pubmed.ncbi.nlm.nih.gov/"&amp;C2776&amp;"/","Open PubMed")</x:f>
        <x:v>HYPERLINK is not implemented. linkLocation=https://pubmed.ncbi.nlm.nih.gov/41176696/, friendlyName=Open PubMed</x:v>
      </x:c>
    </x:row>
    <x:row r="2777">
      <x:c r="A2777" s="26" t="str">
        <x:v>PUBMED-41150633</x:v>
      </x:c>
      <x:c r="B2777" s="26" t="n">
        <x:v>2026</x:v>
      </x:c>
      <x:c r="C2777" s="26" t="str">
        <x:v>41150633</x:v>
      </x:c>
      <x:c r="D2777" s="28" t="str">
        <x:v>Diversion of medication among college students with ADHD: A brief report.</x:v>
      </x:c>
      <x:c r="E2777" s="28" t="str">
        <x:v>Primary/contextual journal article</x:v>
      </x:c>
      <x:c r="F2777" s="28" t="str">
        <x:v>Development &amp; presentation; Recognition &amp; diagnosis; Environmental &amp; lifestyle; Treatment &amp; support</x:v>
      </x:c>
      <x:c r="G2777" s="28" t="str">
        <x:v>Adolescence; Adulthood</x:v>
      </x:c>
      <x:c r="H2777" s="28" t="str">
        <x:v>Later specialized</x:v>
      </x:c>
      <x:c r="I2777" s="28" t="str">
        <x:v>Direct or strongly ADHD-related record retained for later screening; typically narrower treatment, biomarker, mechanistic, or single-comorbidity focus.</x:v>
      </x:c>
      <x:c r="J2777" s="38" t="e">
        <x:f>HYPERLINK("https://pubmed.ncbi.nlm.nih.gov/"&amp;C2777&amp;"/","Open PubMed")</x:f>
        <x:v>HYPERLINK is not implemented. linkLocation=https://pubmed.ncbi.nlm.nih.gov/41150633/, friendlyName=Open PubMed</x:v>
      </x:c>
    </x:row>
    <x:row r="2778">
      <x:c r="A2778" s="26" t="str">
        <x:v>PUBMED-41147193</x:v>
      </x:c>
      <x:c r="B2778" s="26" t="n">
        <x:v>2026</x:v>
      </x:c>
      <x:c r="C2778" s="26" t="str">
        <x:v>41147193</x:v>
      </x:c>
      <x:c r="D2778" s="28" t="str">
        <x:v>Preterm Birth and Risk of Psychiatric Disorders: A Register-Linkage Cohort Study: Liens entre la naissance prématurée et le risque de troubles psychiatriques : une étude de cohorte avec couplage de registres.</x:v>
      </x:c>
      <x:c r="E2778" s="28" t="str">
        <x:v>Primary study - cohort</x:v>
      </x:c>
      <x:c r="F2778" s="28" t="str">
        <x:v>Development &amp; presentation; Recognition &amp; diagnosis; Social &amp; structural; Environmental &amp; lifestyle; Life outcomes &amp; lived experience</x:v>
      </x:c>
      <x:c r="G2778" s="28" t="str">
        <x:v>Childhood; Adolescence; Adulthood</x:v>
      </x:c>
      <x:c r="H2778" s="28" t="str">
        <x:v>Later specialized</x:v>
      </x:c>
      <x:c r="I2778" s="28" t="str">
        <x:v>Direct or strongly ADHD-related record retained for later screening; typically narrower treatment, biomarker, mechanistic, or single-comorbidity focus.</x:v>
      </x:c>
      <x:c r="J2778" s="38" t="e">
        <x:f>HYPERLINK("https://pubmed.ncbi.nlm.nih.gov/"&amp;C2778&amp;"/","Open PubMed")</x:f>
        <x:v>HYPERLINK is not implemented. linkLocation=https://pubmed.ncbi.nlm.nih.gov/41147193/, friendlyName=Open PubMed</x:v>
      </x:c>
    </x:row>
    <x:row r="2779">
      <x:c r="A2779" s="26" t="str">
        <x:v>PUBMED-41146423</x:v>
      </x:c>
      <x:c r="B2779" s="26" t="n">
        <x:v>2026</x:v>
      </x:c>
      <x:c r="C2779" s="26" t="str">
        <x:v>41146423</x:v>
      </x:c>
      <x:c r="D2779" s="28" t="str">
        <x:v>Cognitive Profile of ADHD in Older Adults: A Systematic Review.</x:v>
      </x:c>
      <x:c r="E2779" s="28" t="str">
        <x:v>Evidence synthesis - systematic review</x:v>
      </x:c>
      <x:c r="F2779" s="28" t="str">
        <x:v>Development &amp; presentation; Recognition &amp; diagnosis; Social &amp; structural</x:v>
      </x:c>
      <x:c r="G2779" s="28" t="str">
        <x:v>Adulthood</x:v>
      </x:c>
      <x:c r="H2779" s="28" t="str">
        <x:v>Batch 1 core</x:v>
      </x:c>
      <x:c r="I2779" s="28" t="str">
        <x:v>Direct ADHD evidence synthesis/guideline with broad multi-topic relevance.</x:v>
      </x:c>
      <x:c r="J2779" s="38" t="e">
        <x:f>HYPERLINK("https://pubmed.ncbi.nlm.nih.gov/"&amp;C2779&amp;"/","Open PubMed")</x:f>
        <x:v>HYPERLINK is not implemented. linkLocation=https://pubmed.ncbi.nlm.nih.gov/41146423/, friendlyName=Open PubMed</x:v>
      </x:c>
    </x:row>
    <x:row r="2780">
      <x:c r="A2780" s="26" t="str">
        <x:v>PUBMED-41138550</x:v>
      </x:c>
      <x:c r="B2780" s="26" t="n">
        <x:v>2026</x:v>
      </x:c>
      <x:c r="C2780" s="26" t="str">
        <x:v>41138550</x:v>
      </x:c>
      <x:c r="D2780" s="28" t="str">
        <x:v>Discovery of potential attention deficit and hyperactivity disorder (ADHD) drug molecules from natural compounds: In silico studies with Tanimoto similarity.</x:v>
      </x:c>
      <x:c r="E2780" s="28" t="str">
        <x:v>Primary/contextual journal article</x:v>
      </x:c>
      <x:c r="F2780" s="28" t="str">
        <x:v>Development &amp; presentation; Social &amp; structural; Treatment &amp; support</x:v>
      </x:c>
      <x:c r="G2780" s="28" t="str">
        <x:v>Childhood; Adulthood</x:v>
      </x:c>
      <x:c r="H2780" s="28" t="str">
        <x:v>Later specialized</x:v>
      </x:c>
      <x:c r="I2780" s="28" t="str">
        <x:v>Direct or strongly ADHD-related record retained for later screening; typically narrower treatment, biomarker, mechanistic, or single-comorbidity focus.</x:v>
      </x:c>
      <x:c r="J2780" s="38" t="e">
        <x:f>HYPERLINK("https://pubmed.ncbi.nlm.nih.gov/"&amp;C2780&amp;"/","Open PubMed")</x:f>
        <x:v>HYPERLINK is not implemented. linkLocation=https://pubmed.ncbi.nlm.nih.gov/41138550/, friendlyName=Open PubMed</x:v>
      </x:c>
    </x:row>
    <x:row r="2781">
      <x:c r="A2781" s="26" t="str">
        <x:v>PUBMED-41115458</x:v>
      </x:c>
      <x:c r="B2781" s="26" t="n">
        <x:v>2026</x:v>
      </x:c>
      <x:c r="C2781" s="26" t="str">
        <x:v>41115458</x:v>
      </x:c>
      <x:c r="D2781" s="28" t="str">
        <x:v>Unraveling ADHD for the pediatrician.</x:v>
      </x:c>
      <x:c r="E2781" s="28" t="str">
        <x:v>Evidence synthesis - review</x:v>
      </x:c>
      <x:c r="F2781" s="28" t="str">
        <x:v>Development &amp; presentation; Recognition &amp; diagnosis; Family &amp; education; Social &amp; structural; Treatment &amp; support</x:v>
      </x:c>
      <x:c r="G2781" s="28" t="str">
        <x:v>Childhood</x:v>
      </x:c>
      <x:c r="H2781" s="28" t="str">
        <x:v>Later specialized</x:v>
      </x:c>
      <x:c r="I2781" s="28" t="str">
        <x:v>Direct or strongly ADHD-related record retained for later screening; typically narrower treatment, biomarker, mechanistic, or single-comorbidity focus.</x:v>
      </x:c>
      <x:c r="J2781" s="38" t="e">
        <x:f>HYPERLINK("https://pubmed.ncbi.nlm.nih.gov/"&amp;C2781&amp;"/","Open PubMed")</x:f>
        <x:v>HYPERLINK is not implemented. linkLocation=https://pubmed.ncbi.nlm.nih.gov/41115458/, friendlyName=Open PubMed</x:v>
      </x:c>
    </x:row>
    <x:row r="2782">
      <x:c r="A2782" s="26" t="str">
        <x:v>PUBMED-41109618</x:v>
      </x:c>
      <x:c r="B2782" s="26" t="n">
        <x:v>2026</x:v>
      </x:c>
      <x:c r="C2782" s="26" t="str">
        <x:v>41109618</x:v>
      </x:c>
      <x:c r="D2782" s="28" t="str">
        <x:v>The Familial Co-Aggregation of Attention-Deficit/Hyperactivity Disorder and Criminal Convictions: A Register-Based Cohort Study.</x:v>
      </x:c>
      <x:c r="E2782" s="28" t="str">
        <x:v>Primary study - cohort</x:v>
      </x:c>
      <x:c r="F2782" s="28" t="str">
        <x:v>Development &amp; presentation; Recognition &amp; diagnosis; Family &amp; education; Social &amp; structural; Life outcomes &amp; lived experience</x:v>
      </x:c>
      <x:c r="G2782" s="28" t="str">
        <x:v>Childhood; Adolescence; Adulthood</x:v>
      </x:c>
      <x:c r="H2782" s="28" t="str">
        <x:v>Later specialized</x:v>
      </x:c>
      <x:c r="I2782" s="28" t="str">
        <x:v>Direct or strongly ADHD-related record retained for later screening; typically narrower treatment, biomarker, mechanistic, or single-comorbidity focus.</x:v>
      </x:c>
      <x:c r="J2782" s="38" t="e">
        <x:f>HYPERLINK("https://pubmed.ncbi.nlm.nih.gov/"&amp;C2782&amp;"/","Open PubMed")</x:f>
        <x:v>HYPERLINK is not implemented. linkLocation=https://pubmed.ncbi.nlm.nih.gov/41109618/, friendlyName=Open PubMed</x:v>
      </x:c>
    </x:row>
    <x:row r="2783">
      <x:c r="A2783" s="26" t="str">
        <x:v>PUBMED-41099424</x:v>
      </x:c>
      <x:c r="B2783" s="26" t="n">
        <x:v>2026</x:v>
      </x:c>
      <x:c r="C2783" s="26" t="str">
        <x:v>41099424</x:v>
      </x:c>
      <x:c r="D2783" s="28" t="str">
        <x:v>Social Attention Through a New Lens: Autistic and ADHD Traits and Eye Occlusion Affect Gaze During Conversation Watching.</x:v>
      </x:c>
      <x:c r="E2783" s="28" t="str">
        <x:v>Primary/contextual journal article</x:v>
      </x:c>
      <x:c r="F2783" s="28" t="str">
        <x:v>Development &amp; presentation; Social &amp; structural</x:v>
      </x:c>
      <x:c r="G2783" s="28" t="str">
        <x:v>Adolescence; Adulthood</x:v>
      </x:c>
      <x:c r="H2783" s="28" t="str">
        <x:v>Later specialized</x:v>
      </x:c>
      <x:c r="I2783" s="28" t="str">
        <x:v>Direct or strongly ADHD-related record retained for later screening; typically narrower treatment, biomarker, mechanistic, or single-comorbidity focus.</x:v>
      </x:c>
      <x:c r="J2783" s="38" t="e">
        <x:f>HYPERLINK("https://pubmed.ncbi.nlm.nih.gov/"&amp;C2783&amp;"/","Open PubMed")</x:f>
        <x:v>HYPERLINK is not implemented. linkLocation=https://pubmed.ncbi.nlm.nih.gov/41099424/, friendlyName=Open PubMed</x:v>
      </x:c>
    </x:row>
    <x:row r="2784">
      <x:c r="A2784" s="26" t="str">
        <x:v>PUBMED-41091493</x:v>
      </x:c>
      <x:c r="B2784" s="26" t="n">
        <x:v>2026</x:v>
      </x:c>
      <x:c r="C2784" s="26" t="str">
        <x:v>41091493</x:v>
      </x:c>
      <x:c r="D2784" s="28" t="str">
        <x:v>Stimulant Use Disorder Diagnoses in Adolescent and Young Adult Medicaid Enrollees.</x:v>
      </x:c>
      <x:c r="E2784" s="28" t="str">
        <x:v>Primary study - cross-sectional</x:v>
      </x:c>
      <x:c r="F2784" s="28" t="str">
        <x:v>Development &amp; presentation; Recognition &amp; diagnosis; Social &amp; structural; Environmental &amp; lifestyle; Treatment &amp; support; Life outcomes &amp; lived experience</x:v>
      </x:c>
      <x:c r="G2784" s="28" t="str">
        <x:v>Adolescence; Adulthood</x:v>
      </x:c>
      <x:c r="H2784" s="28" t="str">
        <x:v>Later specialized</x:v>
      </x:c>
      <x:c r="I2784" s="28" t="str">
        <x:v>Direct or strongly ADHD-related record retained for later screening; typically narrower treatment, biomarker, mechanistic, or single-comorbidity focus.</x:v>
      </x:c>
      <x:c r="J2784" s="38" t="e">
        <x:f>HYPERLINK("https://pubmed.ncbi.nlm.nih.gov/"&amp;C2784&amp;"/","Open PubMed")</x:f>
        <x:v>HYPERLINK is not implemented. linkLocation=https://pubmed.ncbi.nlm.nih.gov/41091493/, friendlyName=Open PubMed</x:v>
      </x:c>
    </x:row>
    <x:row r="2785">
      <x:c r="A2785" s="26" t="str">
        <x:v>PUBMED-41075976</x:v>
      </x:c>
      <x:c r="B2785" s="26" t="n">
        <x:v>2026</x:v>
      </x:c>
      <x:c r="C2785" s="26" t="str">
        <x:v>41075976</x:v>
      </x:c>
      <x:c r="D2785" s="28" t="str">
        <x:v>A Prospective Birth Cohort Study on the Association Between Cord Blood Acylcarnitine Profile and Childhood Risk of Attention-Deficit/Hyperactivity Disorder and Autism Spectrum Disorder.</x:v>
      </x:c>
      <x:c r="E2785" s="28" t="str">
        <x:v>Primary study - cohort</x:v>
      </x:c>
      <x:c r="F2785" s="28" t="str">
        <x:v>Development &amp; presentation; Recognition &amp; diagnosis; Family &amp; education; Social &amp; structural; Environmental &amp; lifestyle</x:v>
      </x:c>
      <x:c r="G2785" s="28" t="str">
        <x:v>Childhood</x:v>
      </x:c>
      <x:c r="H2785" s="28" t="str">
        <x:v>Later specialized</x:v>
      </x:c>
      <x:c r="I2785" s="28" t="str">
        <x:v>Direct or strongly ADHD-related record retained for later screening; typically narrower treatment, biomarker, mechanistic, or single-comorbidity focus.</x:v>
      </x:c>
      <x:c r="J2785" s="38" t="e">
        <x:f>HYPERLINK("https://pubmed.ncbi.nlm.nih.gov/"&amp;C2785&amp;"/","Open PubMed")</x:f>
        <x:v>HYPERLINK is not implemented. linkLocation=https://pubmed.ncbi.nlm.nih.gov/41075976/, friendlyName=Open PubMed</x:v>
      </x:c>
    </x:row>
    <x:row r="2786">
      <x:c r="A2786" s="26" t="str">
        <x:v>PUBMED-41059936</x:v>
      </x:c>
      <x:c r="B2786" s="26" t="n">
        <x:v>2026</x:v>
      </x:c>
      <x:c r="C2786" s="26" t="str">
        <x:v>41059936</x:v>
      </x:c>
      <x:c r="D2786" s="28" t="str">
        <x:v>The Association Between Maternal Progesterone Use During Pregnancy and Offspring Attention Deficit Hyperactivity Disorder Risk.</x:v>
      </x:c>
      <x:c r="E2786" s="28" t="str">
        <x:v>Primary study - case-control</x:v>
      </x:c>
      <x:c r="F2786" s="28" t="str">
        <x:v>Development &amp; presentation; Recognition &amp; diagnosis; Family &amp; education; Social &amp; structural; Environmental &amp; lifestyle; Treatment &amp; support</x:v>
      </x:c>
      <x:c r="G2786" s="28" t="str">
        <x:v>Childhood; Adulthood</x:v>
      </x:c>
      <x:c r="H2786" s="28" t="str">
        <x:v>Later specialized</x:v>
      </x:c>
      <x:c r="I2786" s="28" t="str">
        <x:v>Direct or strongly ADHD-related record retained for later screening; typically narrower treatment, biomarker, mechanistic, or single-comorbidity focus.</x:v>
      </x:c>
      <x:c r="J2786" s="38" t="e">
        <x:f>HYPERLINK("https://pubmed.ncbi.nlm.nih.gov/"&amp;C2786&amp;"/","Open PubMed")</x:f>
        <x:v>HYPERLINK is not implemented. linkLocation=https://pubmed.ncbi.nlm.nih.gov/41059936/, friendlyName=Open PubMed</x:v>
      </x:c>
    </x:row>
    <x:row r="2787">
      <x:c r="A2787" s="26" t="str">
        <x:v>PUBMED-41055221</x:v>
      </x:c>
      <x:c r="B2787" s="26" t="n">
        <x:v>2026</x:v>
      </x:c>
      <x:c r="C2787" s="26" t="str">
        <x:v>41055221</x:v>
      </x:c>
      <x:c r="D2787" s="28" t="str">
        <x:v>Academic Outcomes in Primary and Secondary School Students Prescribed Long-Acting Stimulants for ADHD Management.</x:v>
      </x:c>
      <x:c r="E2787" s="28" t="str">
        <x:v>Primary/contextual journal article</x:v>
      </x:c>
      <x:c r="F2787" s="28" t="str">
        <x:v>Development &amp; presentation; Recognition &amp; diagnosis; Family &amp; education; Social &amp; structural; Treatment &amp; support; Life outcomes &amp; lived experience</x:v>
      </x:c>
      <x:c r="G2787" s="28" t="str">
        <x:v>Childhood; Adolescence</x:v>
      </x:c>
      <x:c r="H2787" s="28" t="str">
        <x:v>Later specialized</x:v>
      </x:c>
      <x:c r="I2787" s="28" t="str">
        <x:v>Direct or strongly ADHD-related record retained for later screening; typically narrower treatment, biomarker, mechanistic, or single-comorbidity focus.</x:v>
      </x:c>
      <x:c r="J2787" s="38" t="e">
        <x:f>HYPERLINK("https://pubmed.ncbi.nlm.nih.gov/"&amp;C2787&amp;"/","Open PubMed")</x:f>
        <x:v>HYPERLINK is not implemented. linkLocation=https://pubmed.ncbi.nlm.nih.gov/41055221/, friendlyName=Open PubMed</x:v>
      </x:c>
    </x:row>
    <x:row r="2788">
      <x:c r="A2788" s="26" t="str">
        <x:v>PUBMED-41044053</x:v>
      </x:c>
      <x:c r="B2788" s="26" t="n">
        <x:v>2026</x:v>
      </x:c>
      <x:c r="C2788" s="26" t="str">
        <x:v>41044053</x:v>
      </x:c>
      <x:c r="D2788" s="28" t="str">
        <x:v>Development and Initial Validation of the Cannabis Attention and Affect Motives Scale.</x:v>
      </x:c>
      <x:c r="E2788" s="28" t="str">
        <x:v>Primary/contextual journal article</x:v>
      </x:c>
      <x:c r="F2788" s="28" t="str">
        <x:v>Development &amp; presentation; Recognition &amp; diagnosis; Social &amp; structural; Environmental &amp; lifestyle; Historical &amp; contemporary context</x:v>
      </x:c>
      <x:c r="G2788" s="28" t="str">
        <x:v>Adolescence; Adulthood</x:v>
      </x:c>
      <x:c r="H2788" s="28" t="str">
        <x:v>Later specialized</x:v>
      </x:c>
      <x:c r="I2788" s="28" t="str">
        <x:v>Direct or strongly ADHD-related record retained for later screening; typically narrower treatment, biomarker, mechanistic, or single-comorbidity focus.</x:v>
      </x:c>
      <x:c r="J2788" s="38" t="e">
        <x:f>HYPERLINK("https://pubmed.ncbi.nlm.nih.gov/"&amp;C2788&amp;"/","Open PubMed")</x:f>
        <x:v>HYPERLINK is not implemented. linkLocation=https://pubmed.ncbi.nlm.nih.gov/41044053/, friendlyName=Open PubMed</x:v>
      </x:c>
    </x:row>
    <x:row r="2789">
      <x:c r="A2789" s="26" t="str">
        <x:v>PUBMED-40997523</x:v>
      </x:c>
      <x:c r="B2789" s="26" t="n">
        <x:v>2026</x:v>
      </x:c>
      <x:c r="C2789" s="26" t="str">
        <x:v>40997523</x:v>
      </x:c>
      <x:c r="D2789" s="28" t="str">
        <x:v>Psychiatric evaluations for adolescent offenders with delinquency in Taiwan.</x:v>
      </x:c>
      <x:c r="E2789" s="28" t="str">
        <x:v>Primary/contextual journal article</x:v>
      </x:c>
      <x:c r="F2789" s="28" t="str">
        <x:v>Development &amp; presentation; Recognition &amp; diagnosis; Family &amp; education; Social &amp; structural; Life outcomes &amp; lived experience</x:v>
      </x:c>
      <x:c r="G2789" s="28" t="str">
        <x:v>Adolescence</x:v>
      </x:c>
      <x:c r="H2789" s="28" t="str">
        <x:v>Later specialized</x:v>
      </x:c>
      <x:c r="I2789" s="28" t="str">
        <x:v>Direct or strongly ADHD-related record retained for later screening; typically narrower treatment, biomarker, mechanistic, or single-comorbidity focus.</x:v>
      </x:c>
      <x:c r="J2789" s="38" t="e">
        <x:f>HYPERLINK("https://pubmed.ncbi.nlm.nih.gov/"&amp;C2789&amp;"/","Open PubMed")</x:f>
        <x:v>HYPERLINK is not implemented. linkLocation=https://pubmed.ncbi.nlm.nih.gov/40997523/, friendlyName=Open PubMed</x:v>
      </x:c>
    </x:row>
    <x:row r="2790">
      <x:c r="A2790" s="26" t="str">
        <x:v>PUBMED-40995879</x:v>
      </x:c>
      <x:c r="B2790" s="26" t="n">
        <x:v>2026</x:v>
      </x:c>
      <x:c r="C2790" s="26" t="str">
        <x:v>40995879</x:v>
      </x:c>
      <x:c r="D2790" s="28" t="str">
        <x:v>Adverse Childhood Experiences and ADHD in College Students: Exploring the Role of Emotion Regulation and Self-Compassion.</x:v>
      </x:c>
      <x:c r="E2790" s="28" t="str">
        <x:v>Primary/contextual journal article</x:v>
      </x:c>
      <x:c r="F2790" s="28" t="str">
        <x:v>Development &amp; presentation; Social &amp; structural; Treatment &amp; support; Life outcomes &amp; lived experience</x:v>
      </x:c>
      <x:c r="G2790" s="28" t="str">
        <x:v>Childhood; Adolescence; Adulthood</x:v>
      </x:c>
      <x:c r="H2790" s="28" t="str">
        <x:v>Later specialized</x:v>
      </x:c>
      <x:c r="I2790" s="28" t="str">
        <x:v>Direct or strongly ADHD-related record retained for later screening; typically narrower treatment, biomarker, mechanistic, or single-comorbidity focus.</x:v>
      </x:c>
      <x:c r="J2790" s="38" t="e">
        <x:f>HYPERLINK("https://pubmed.ncbi.nlm.nih.gov/"&amp;C2790&amp;"/","Open PubMed")</x:f>
        <x:v>HYPERLINK is not implemented. linkLocation=https://pubmed.ncbi.nlm.nih.gov/40995879/, friendlyName=Open PubMed</x:v>
      </x:c>
    </x:row>
    <x:row r="2791">
      <x:c r="A2791" s="26" t="str">
        <x:v>PUBMED-40982044</x:v>
      </x:c>
      <x:c r="B2791" s="26" t="n">
        <x:v>2026</x:v>
      </x:c>
      <x:c r="C2791" s="26" t="str">
        <x:v>40982044</x:v>
      </x:c>
      <x:c r="D2791" s="28" t="str">
        <x:v>Children's mental health symptoms over three decades (1993-2022): a comparison of population-based cross-sectional samples.</x:v>
      </x:c>
      <x:c r="E2791" s="28" t="str">
        <x:v>Primary study - cohort</x:v>
      </x:c>
      <x:c r="F2791" s="28" t="str">
        <x:v>Development &amp; presentation; Family &amp; education; Social &amp; structural; Environmental &amp; lifestyle</x:v>
      </x:c>
      <x:c r="G2791" s="28" t="str">
        <x:v>Childhood</x:v>
      </x:c>
      <x:c r="H2791" s="28" t="str">
        <x:v>Later specialized</x:v>
      </x:c>
      <x:c r="I2791" s="28" t="str">
        <x:v>Direct or strongly ADHD-related record retained for later screening; typically narrower treatment, biomarker, mechanistic, or single-comorbidity focus.</x:v>
      </x:c>
      <x:c r="J2791" s="38" t="e">
        <x:f>HYPERLINK("https://pubmed.ncbi.nlm.nih.gov/"&amp;C2791&amp;"/","Open PubMed")</x:f>
        <x:v>HYPERLINK is not implemented. linkLocation=https://pubmed.ncbi.nlm.nih.gov/40982044/, friendlyName=Open PubMed</x:v>
      </x:c>
    </x:row>
    <x:row r="2792">
      <x:c r="A2792" s="26" t="str">
        <x:v>PUBMED-40977258</x:v>
      </x:c>
      <x:c r="B2792" s="26" t="n">
        <x:v>2026</x:v>
      </x:c>
      <x:c r="C2792" s="26" t="str">
        <x:v>40977258</x:v>
      </x:c>
      <x:c r="D2792" s="28" t="str">
        <x:v>Investigation of the Effect of Second-Generation Virtual Reality Interventions on Hot and Cold Executive Functions in Children with Attention-Deficit/Hyperactivity Disorder: Single-Blind Randomized Controlled Study.</x:v>
      </x:c>
      <x:c r="E2792" s="28" t="str">
        <x:v>Primary study - randomized controlled trial</x:v>
      </x:c>
      <x:c r="F2792" s="28" t="str">
        <x:v>Development &amp; presentation; Recognition &amp; diagnosis; Social &amp; structural; Environmental &amp; lifestyle; Treatment &amp; support; Life outcomes &amp; lived experience</x:v>
      </x:c>
      <x:c r="G2792" s="28" t="str">
        <x:v>Childhood</x:v>
      </x:c>
      <x:c r="H2792" s="28" t="str">
        <x:v>Later specialized</x:v>
      </x:c>
      <x:c r="I2792" s="28" t="str">
        <x:v>Direct or strongly ADHD-related record retained for later screening; typically narrower treatment, biomarker, mechanistic, or single-comorbidity focus.</x:v>
      </x:c>
      <x:c r="J2792" s="38" t="e">
        <x:f>HYPERLINK("https://pubmed.ncbi.nlm.nih.gov/"&amp;C2792&amp;"/","Open PubMed")</x:f>
        <x:v>HYPERLINK is not implemented. linkLocation=https://pubmed.ncbi.nlm.nih.gov/40977258/, friendlyName=Open PubMed</x:v>
      </x:c>
    </x:row>
    <x:row r="2793">
      <x:c r="A2793" s="26" t="str">
        <x:v>PUBMED-40974183</x:v>
      </x:c>
      <x:c r="B2793" s="26" t="n">
        <x:v>2026</x:v>
      </x:c>
      <x:c r="C2793" s="26" t="str">
        <x:v>40974183</x:v>
      </x:c>
      <x:c r="D2793" s="28" t="str">
        <x:v>Mapping phenotypic and genetic relationships among irritability, depression and ADHD in adolescence using network analysis.</x:v>
      </x:c>
      <x:c r="E2793" s="28" t="str">
        <x:v>Primary study - cohort</x:v>
      </x:c>
      <x:c r="F2793" s="28" t="str">
        <x:v>Development &amp; presentation; Recognition &amp; diagnosis; Family &amp; education; Social &amp; structural; Treatment &amp; support; Life outcomes &amp; lived experience</x:v>
      </x:c>
      <x:c r="G2793" s="28" t="str">
        <x:v>Childhood; Adolescence</x:v>
      </x:c>
      <x:c r="H2793" s="28" t="str">
        <x:v>Batch 1 core</x:v>
      </x:c>
      <x:c r="I2793" s="28" t="str">
        <x:v>Direct ADHD primary study on diagnosis, family/education, structural conditions, lived experience/outcomes, or environment/lifestyle.</x:v>
      </x:c>
      <x:c r="J2793" s="38" t="e">
        <x:f>HYPERLINK("https://pubmed.ncbi.nlm.nih.gov/"&amp;C2793&amp;"/","Open PubMed")</x:f>
        <x:v>HYPERLINK is not implemented. linkLocation=https://pubmed.ncbi.nlm.nih.gov/40974183/, friendlyName=Open PubMed</x:v>
      </x:c>
    </x:row>
    <x:row r="2794">
      <x:c r="A2794" s="26" t="str">
        <x:v>PUBMED-40968259</x:v>
      </x:c>
      <x:c r="B2794" s="26" t="n">
        <x:v>2026</x:v>
      </x:c>
      <x:c r="C2794" s="26" t="str">
        <x:v>40968259</x:v>
      </x:c>
      <x:c r="D2794" s="28" t="str">
        <x:v>A low frequency damaging SORCS2 variant identified in a family with ADHD compromises receptor stability and quenches activity.</x:v>
      </x:c>
      <x:c r="E2794" s="28" t="str">
        <x:v>Primary study - cohort</x:v>
      </x:c>
      <x:c r="F2794" s="28" t="str">
        <x:v>Development &amp; presentation; Family &amp; education; Social &amp; structural; Environmental &amp; lifestyle</x:v>
      </x:c>
      <x:c r="G2794" s="28" t="str">
        <x:v>Childhood; Adulthood</x:v>
      </x:c>
      <x:c r="H2794" s="28" t="str">
        <x:v>Batch 1 core</x:v>
      </x:c>
      <x:c r="I2794" s="28" t="str">
        <x:v>Direct ADHD primary study on diagnosis, family/education, structural conditions, lived experience/outcomes, or environment/lifestyle.</x:v>
      </x:c>
      <x:c r="J2794" s="38" t="e">
        <x:f>HYPERLINK("https://pubmed.ncbi.nlm.nih.gov/"&amp;C2794&amp;"/","Open PubMed")</x:f>
        <x:v>HYPERLINK is not implemented. linkLocation=https://pubmed.ncbi.nlm.nih.gov/40968259/, friendlyName=Open PubMed</x:v>
      </x:c>
    </x:row>
    <x:row r="2795">
      <x:c r="A2795" s="26" t="str">
        <x:v>PUBMED-40967415</x:v>
      </x:c>
      <x:c r="B2795" s="26" t="n">
        <x:v>2026</x:v>
      </x:c>
      <x:c r="C2795" s="26" t="str">
        <x:v>40967415</x:v>
      </x:c>
      <x:c r="D2795" s="28" t="str">
        <x:v>Depressive symptoms, overweight/obesity, and ADHD from childhood to adolescence: A cross-cohort study of cultural and timing effects.</x:v>
      </x:c>
      <x:c r="E2795" s="28" t="str">
        <x:v>Primary study - cohort</x:v>
      </x:c>
      <x:c r="F2795" s="28" t="str">
        <x:v>Development &amp; presentation; Recognition &amp; diagnosis; Family &amp; education; Social &amp; structural</x:v>
      </x:c>
      <x:c r="G2795" s="28" t="str">
        <x:v>Childhood; Adolescence</x:v>
      </x:c>
      <x:c r="H2795" s="28" t="str">
        <x:v>Later specialized</x:v>
      </x:c>
      <x:c r="I2795" s="28" t="str">
        <x:v>Direct or strongly ADHD-related record retained for later screening; typically narrower treatment, biomarker, mechanistic, or single-comorbidity focus.</x:v>
      </x:c>
      <x:c r="J2795" s="38" t="e">
        <x:f>HYPERLINK("https://pubmed.ncbi.nlm.nih.gov/"&amp;C2795&amp;"/","Open PubMed")</x:f>
        <x:v>HYPERLINK is not implemented. linkLocation=https://pubmed.ncbi.nlm.nih.gov/40967415/, friendlyName=Open PubMed</x:v>
      </x:c>
    </x:row>
    <x:row r="2796">
      <x:c r="A2796" s="26" t="str">
        <x:v>PUBMED-40960004</x:v>
      </x:c>
      <x:c r="B2796" s="26" t="n">
        <x:v>2026</x:v>
      </x:c>
      <x:c r="C2796" s="26" t="str">
        <x:v>40960004</x:v>
      </x:c>
      <x:c r="D2796" s="28" t="str">
        <x:v>Psychostimulant treatment uniquely reduces left uncinate fasciculus microstructural integrity in ADHD youth with a familial risk for bipolar I disorder: a 12-week DTI study.</x:v>
      </x:c>
      <x:c r="E2796" s="28" t="str">
        <x:v>Primary study - randomized controlled trial</x:v>
      </x:c>
      <x:c r="F2796" s="28" t="str">
        <x:v>Development &amp; presentation; Recognition &amp; diagnosis; Social &amp; structural; Treatment &amp; support; Historical &amp; contemporary context</x:v>
      </x:c>
      <x:c r="G2796" s="28" t="str">
        <x:v>Childhood; Adolescence</x:v>
      </x:c>
      <x:c r="H2796" s="28" t="str">
        <x:v>Later specialized</x:v>
      </x:c>
      <x:c r="I2796" s="28" t="str">
        <x:v>Direct or strongly ADHD-related record retained for later screening; typically narrower treatment, biomarker, mechanistic, or single-comorbidity focus.</x:v>
      </x:c>
      <x:c r="J2796" s="38" t="e">
        <x:f>HYPERLINK("https://pubmed.ncbi.nlm.nih.gov/"&amp;C2796&amp;"/","Open PubMed")</x:f>
        <x:v>HYPERLINK is not implemented. linkLocation=https://pubmed.ncbi.nlm.nih.gov/40960004/, friendlyName=Open PubMed</x:v>
      </x:c>
    </x:row>
    <x:row r="2797">
      <x:c r="A2797" s="26" t="str">
        <x:v>PUBMED-40932681</x:v>
      </x:c>
      <x:c r="B2797" s="26" t="n">
        <x:v>2026</x:v>
      </x:c>
      <x:c r="C2797" s="26" t="str">
        <x:v>40932681</x:v>
      </x:c>
      <x:c r="D2797" s="28" t="str">
        <x:v>Trajectory Moderators of Functional Outcomes and ADHD Symptoms in Children With ADHD.</x:v>
      </x:c>
      <x:c r="E2797" s="28" t="str">
        <x:v>Primary/contextual journal article</x:v>
      </x:c>
      <x:c r="F2797" s="28" t="str">
        <x:v>Development &amp; presentation; Recognition &amp; diagnosis; Family &amp; education; Social &amp; structural; Environmental &amp; lifestyle; Treatment &amp; support; Life outcomes &amp; lived experience; Historical &amp; contemporary context</x:v>
      </x:c>
      <x:c r="G2797" s="28" t="str">
        <x:v>Childhood; Adolescence</x:v>
      </x:c>
      <x:c r="H2797" s="28" t="str">
        <x:v>Later specialized</x:v>
      </x:c>
      <x:c r="I2797" s="28" t="str">
        <x:v>Direct or strongly ADHD-related record retained for later screening; typically narrower treatment, biomarker, mechanistic, or single-comorbidity focus.</x:v>
      </x:c>
      <x:c r="J2797" s="38" t="e">
        <x:f>HYPERLINK("https://pubmed.ncbi.nlm.nih.gov/"&amp;C2797&amp;"/","Open PubMed")</x:f>
        <x:v>HYPERLINK is not implemented. linkLocation=https://pubmed.ncbi.nlm.nih.gov/40932681/, friendlyName=Open PubMed</x:v>
      </x:c>
    </x:row>
    <x:row r="2798">
      <x:c r="A2798" s="26" t="str">
        <x:v>PUBMED-40932492</x:v>
      </x:c>
      <x:c r="B2798" s="26" t="n">
        <x:v>2026</x:v>
      </x:c>
      <x:c r="C2798" s="26" t="str">
        <x:v>40932492</x:v>
      </x:c>
      <x:c r="D2798" s="28" t="str">
        <x:v>Effects of psychostimulants on locomotor activity in the BTBR T(+) Itpr3(tf)/J mouse: implications for comorbid autism spectrum disorder and attention deficit hyperactivity disorder.</x:v>
      </x:c>
      <x:c r="E2798" s="28" t="str">
        <x:v>Primary/contextual journal article</x:v>
      </x:c>
      <x:c r="F2798" s="28" t="str">
        <x:v>Development &amp; presentation; Recognition &amp; diagnosis; Social &amp; structural; Treatment &amp; support; Life outcomes &amp; lived experience</x:v>
      </x:c>
      <x:c r="G2798" s="28" t="str">
        <x:v>Adulthood</x:v>
      </x:c>
      <x:c r="H2798" s="28" t="str">
        <x:v>Exclude/incidental</x:v>
      </x:c>
      <x:c r="I2798" s="28" t="str">
        <x:v>Animal-only record; retained outside the human-focused core corpus.</x:v>
      </x:c>
      <x:c r="J2798" s="38" t="e">
        <x:f>HYPERLINK("https://pubmed.ncbi.nlm.nih.gov/"&amp;C2798&amp;"/","Open PubMed")</x:f>
        <x:v>HYPERLINK is not implemented. linkLocation=https://pubmed.ncbi.nlm.nih.gov/40932492/, friendlyName=Open PubMed</x:v>
      </x:c>
    </x:row>
    <x:row r="2799">
      <x:c r="A2799" s="26" t="str">
        <x:v>PUBMED-40929080</x:v>
      </x:c>
      <x:c r="B2799" s="26" t="n">
        <x:v>2026</x:v>
      </x:c>
      <x:c r="C2799" s="26" t="str">
        <x:v>40929080</x:v>
      </x:c>
      <x:c r="D2799" s="28" t="str">
        <x:v>Distinct cerebellar networks underpin clinical improvement in adolescent Tourette disorder.</x:v>
      </x:c>
      <x:c r="E2799" s="28" t="str">
        <x:v>Primary/contextual journal article</x:v>
      </x:c>
      <x:c r="F2799" s="28" t="str">
        <x:v>Development &amp; presentation; Recognition &amp; diagnosis; Social &amp; structural</x:v>
      </x:c>
      <x:c r="G2799" s="28" t="str">
        <x:v>Childhood; Adolescence; Adulthood</x:v>
      </x:c>
      <x:c r="H2799" s="28" t="str">
        <x:v>Exclude/incidental</x:v>
      </x:c>
      <x:c r="I2799" s="28" t="str">
        <x:v>ADHD appears peripheral or insufficiently aligned with the requested corpus scope based on accessible metadata/abstract.</x:v>
      </x:c>
      <x:c r="J2799" s="38" t="e">
        <x:f>HYPERLINK("https://pubmed.ncbi.nlm.nih.gov/"&amp;C2799&amp;"/","Open PubMed")</x:f>
        <x:v>HYPERLINK is not implemented. linkLocation=https://pubmed.ncbi.nlm.nih.gov/40929080/, friendlyName=Open PubMed</x:v>
      </x:c>
    </x:row>
    <x:row r="2800">
      <x:c r="A2800" s="26" t="str">
        <x:v>PUBMED-40914534</x:v>
      </x:c>
      <x:c r="B2800" s="26" t="n">
        <x:v>2026</x:v>
      </x:c>
      <x:c r="C2800" s="26" t="str">
        <x:v>40914534</x:v>
      </x:c>
      <x:c r="D2800" s="28" t="str">
        <x:v>Exploring ADHD through the Lens of temperament: The TEMPS-A connection.</x:v>
      </x:c>
      <x:c r="E2800" s="28" t="str">
        <x:v>Primary study - cross-sectional</x:v>
      </x:c>
      <x:c r="F2800" s="28" t="str">
        <x:v>Development &amp; presentation; Recognition &amp; diagnosis; Social &amp; structural; Treatment &amp; support; Life outcomes &amp; lived experience</x:v>
      </x:c>
      <x:c r="G2800" s="28" t="str">
        <x:v>Adolescence; Adulthood</x:v>
      </x:c>
      <x:c r="H2800" s="28" t="str">
        <x:v>Later specialized</x:v>
      </x:c>
      <x:c r="I2800" s="28" t="str">
        <x:v>Direct or strongly ADHD-related record retained for later screening; typically narrower treatment, biomarker, mechanistic, or single-comorbidity focus.</x:v>
      </x:c>
      <x:c r="J2800" s="38" t="e">
        <x:f>HYPERLINK("https://pubmed.ncbi.nlm.nih.gov/"&amp;C2800&amp;"/","Open PubMed")</x:f>
        <x:v>HYPERLINK is not implemented. linkLocation=https://pubmed.ncbi.nlm.nih.gov/40914534/, friendlyName=Open PubMed</x:v>
      </x:c>
    </x:row>
    <x:row r="2801">
      <x:c r="A2801" s="26" t="str">
        <x:v>PUBMED-40914530</x:v>
      </x:c>
      <x:c r="B2801" s="26" t="n">
        <x:v>2026</x:v>
      </x:c>
      <x:c r="C2801" s="26" t="str">
        <x:v>40914530</x:v>
      </x:c>
      <x:c r="D2801" s="28" t="str">
        <x:v>Meta-analysis of the association between prenatal antibiotic exposure and risk of childhood attention-deficit/hyperactivity disorder.</x:v>
      </x:c>
      <x:c r="E2801" s="28" t="str">
        <x:v>Evidence synthesis - meta-analysis</x:v>
      </x:c>
      <x:c r="F2801" s="28" t="str">
        <x:v>Development &amp; presentation; Environmental &amp; lifestyle; Treatment &amp; support; Life outcomes &amp; lived experience</x:v>
      </x:c>
      <x:c r="G2801" s="28" t="str">
        <x:v>Childhood</x:v>
      </x:c>
      <x:c r="H2801" s="28" t="str">
        <x:v>Batch 1 core</x:v>
      </x:c>
      <x:c r="I2801" s="28" t="str">
        <x:v>Direct ADHD evidence synthesis/guideline with broad multi-topic relevance.</x:v>
      </x:c>
      <x:c r="J2801" s="38" t="e">
        <x:f>HYPERLINK("https://pubmed.ncbi.nlm.nih.gov/"&amp;C2801&amp;"/","Open PubMed")</x:f>
        <x:v>HYPERLINK is not implemented. linkLocation=https://pubmed.ncbi.nlm.nih.gov/40914530/, friendlyName=Open PubMed</x:v>
      </x:c>
    </x:row>
    <x:row r="2802">
      <x:c r="A2802" s="26" t="str">
        <x:v>PUBMED-40889015</x:v>
      </x:c>
      <x:c r="B2802" s="26" t="n">
        <x:v>2026</x:v>
      </x:c>
      <x:c r="C2802" s="26" t="str">
        <x:v>40889015</x:v>
      </x:c>
      <x:c r="D2802" s="28" t="str">
        <x:v>ADHD prescribing: national findings of children and adolescents attending mental health services in Ireland.</x:v>
      </x:c>
      <x:c r="E2802" s="28" t="str">
        <x:v>Primary study - cross-sectional</x:v>
      </x:c>
      <x:c r="F2802" s="28" t="str">
        <x:v>Development &amp; presentation; Recognition &amp; diagnosis; Social &amp; structural; Treatment &amp; support</x:v>
      </x:c>
      <x:c r="G2802" s="28" t="str">
        <x:v>Childhood; Adolescence</x:v>
      </x:c>
      <x:c r="H2802" s="28" t="str">
        <x:v>Later specialized</x:v>
      </x:c>
      <x:c r="I2802" s="28" t="str">
        <x:v>Direct or strongly ADHD-related record retained for later screening; typically narrower treatment, biomarker, mechanistic, or single-comorbidity focus.</x:v>
      </x:c>
      <x:c r="J2802" s="38" t="e">
        <x:f>HYPERLINK("https://pubmed.ncbi.nlm.nih.gov/"&amp;C2802&amp;"/","Open PubMed")</x:f>
        <x:v>HYPERLINK is not implemented. linkLocation=https://pubmed.ncbi.nlm.nih.gov/40889015/, friendlyName=Open PubMed</x:v>
      </x:c>
    </x:row>
    <x:row r="2803">
      <x:c r="A2803" s="26" t="str">
        <x:v>PUBMED-40888621</x:v>
      </x:c>
      <x:c r="B2803" s="26" t="n">
        <x:v>2026</x:v>
      </x:c>
      <x:c r="C2803" s="26" t="str">
        <x:v>40888621</x:v>
      </x:c>
      <x:c r="D2803" s="28" t="str">
        <x:v>Cognitive and Behavioral Characteristics of Children with Robin Sequence Associated with Stickler Syndrome: A Case Series.</x:v>
      </x:c>
      <x:c r="E2803" s="28" t="str">
        <x:v>Primary/contextual journal article</x:v>
      </x:c>
      <x:c r="F2803" s="28" t="str">
        <x:v>Development &amp; presentation; Recognition &amp; diagnosis; Family &amp; education; Social &amp; structural; Environmental &amp; lifestyle; Treatment &amp; support</x:v>
      </x:c>
      <x:c r="G2803" s="28" t="str">
        <x:v>Childhood</x:v>
      </x:c>
      <x:c r="H2803" s="28" t="str">
        <x:v>Later specialized</x:v>
      </x:c>
      <x:c r="I2803" s="28" t="str">
        <x:v>Direct or strongly ADHD-related record retained for later screening; typically narrower treatment, biomarker, mechanistic, or single-comorbidity focus.</x:v>
      </x:c>
      <x:c r="J2803" s="38" t="e">
        <x:f>HYPERLINK("https://pubmed.ncbi.nlm.nih.gov/"&amp;C2803&amp;"/","Open PubMed")</x:f>
        <x:v>HYPERLINK is not implemented. linkLocation=https://pubmed.ncbi.nlm.nih.gov/40888621/, friendlyName=Open PubMed</x:v>
      </x:c>
    </x:row>
    <x:row r="2804">
      <x:c r="A2804" s="26" t="str">
        <x:v>PUBMED-40885796</x:v>
      </x:c>
      <x:c r="B2804" s="26" t="n">
        <x:v>2026</x:v>
      </x:c>
      <x:c r="C2804" s="26" t="str">
        <x:v>40885796</x:v>
      </x:c>
      <x:c r="D2804" s="28" t="str">
        <x:v>Exploring the Integrated Gut-Brain Metabolic Model for ADHD.</x:v>
      </x:c>
      <x:c r="E2804" s="28" t="str">
        <x:v>Primary/contextual journal article</x:v>
      </x:c>
      <x:c r="F2804" s="28" t="str">
        <x:v>Development &amp; presentation; Social &amp; structural; Environmental &amp; lifestyle; Life outcomes &amp; lived experience</x:v>
      </x:c>
      <x:c r="G2804" s="28" t="str">
        <x:v>Not specified</x:v>
      </x:c>
      <x:c r="H2804" s="28" t="str">
        <x:v>Later specialized</x:v>
      </x:c>
      <x:c r="I2804" s="28" t="str">
        <x:v>Direct or strongly ADHD-related record retained for later screening; typically narrower treatment, biomarker, mechanistic, or single-comorbidity focus.</x:v>
      </x:c>
      <x:c r="J2804" s="38" t="e">
        <x:f>HYPERLINK("https://pubmed.ncbi.nlm.nih.gov/"&amp;C2804&amp;"/","Open PubMed")</x:f>
        <x:v>HYPERLINK is not implemented. linkLocation=https://pubmed.ncbi.nlm.nih.gov/40885796/, friendlyName=Open PubMed</x:v>
      </x:c>
    </x:row>
    <x:row r="2805">
      <x:c r="A2805" s="26" t="str">
        <x:v>PUBMED-40885254</x:v>
      </x:c>
      <x:c r="B2805" s="26" t="n">
        <x:v>2026</x:v>
      </x:c>
      <x:c r="C2805" s="26" t="str">
        <x:v>40885254</x:v>
      </x:c>
      <x:c r="D2805" s="28" t="str">
        <x:v>Editorial: Cautious Optimism for Noninvasive Brain Stimulation in Attention-Deficit/Hyperactivity Disorder: What Does the Evidence Show?</x:v>
      </x:c>
      <x:c r="E2805" s="28" t="str">
        <x:v>Contextual - editorial/comment</x:v>
      </x:c>
      <x:c r="F2805" s="28" t="str">
        <x:v>Development &amp; presentation; Social &amp; structural; Treatment &amp; support; Life outcomes &amp; lived experience</x:v>
      </x:c>
      <x:c r="G2805" s="28" t="str">
        <x:v>Not specified</x:v>
      </x:c>
      <x:c r="H2805" s="28" t="str">
        <x:v>Later specialized</x:v>
      </x:c>
      <x:c r="I2805" s="28" t="str">
        <x:v>Direct or strongly ADHD-related record retained for later screening; typically narrower treatment, biomarker, mechanistic, or single-comorbidity focus.</x:v>
      </x:c>
      <x:c r="J2805" s="38" t="e">
        <x:f>HYPERLINK("https://pubmed.ncbi.nlm.nih.gov/"&amp;C2805&amp;"/","Open PubMed")</x:f>
        <x:v>HYPERLINK is not implemented. linkLocation=https://pubmed.ncbi.nlm.nih.gov/40885254/, friendlyName=Open PubMed</x:v>
      </x:c>
    </x:row>
    <x:row r="2806">
      <x:c r="A2806" s="26" t="str">
        <x:v>PUBMED-40874736</x:v>
      </x:c>
      <x:c r="B2806" s="26" t="n">
        <x:v>2026</x:v>
      </x:c>
      <x:c r="C2806" s="26" t="str">
        <x:v>40874736</x:v>
      </x:c>
      <x:c r="D2806" s="28" t="str">
        <x:v>Cannabis Use in a Community-Based Sample of Adults Diagnosed With ADHD: Prevalence, Impact on Symptoms, and Stimulant Side Effects.</x:v>
      </x:c>
      <x:c r="E2806" s="28" t="str">
        <x:v>Primary/contextual journal article</x:v>
      </x:c>
      <x:c r="F2806" s="28" t="str">
        <x:v>Development &amp; presentation; Recognition &amp; diagnosis; Social &amp; structural; Environmental &amp; lifestyle; Treatment &amp; support; Life outcomes &amp; lived experience; Historical &amp; contemporary context</x:v>
      </x:c>
      <x:c r="G2806" s="28" t="str">
        <x:v>Adolescence; Adulthood</x:v>
      </x:c>
      <x:c r="H2806" s="28" t="str">
        <x:v>Later specialized</x:v>
      </x:c>
      <x:c r="I2806" s="28" t="str">
        <x:v>Direct or strongly ADHD-related record retained for later screening; typically narrower treatment, biomarker, mechanistic, or single-comorbidity focus.</x:v>
      </x:c>
      <x:c r="J2806" s="38" t="e">
        <x:f>HYPERLINK("https://pubmed.ncbi.nlm.nih.gov/"&amp;C2806&amp;"/","Open PubMed")</x:f>
        <x:v>HYPERLINK is not implemented. linkLocation=https://pubmed.ncbi.nlm.nih.gov/40874736/, friendlyName=Open PubMed</x:v>
      </x:c>
    </x:row>
    <x:row r="2807">
      <x:c r="A2807" s="26" t="str">
        <x:v>PUBMED-40866227</x:v>
      </x:c>
      <x:c r="B2807" s="26" t="n">
        <x:v>2026</x:v>
      </x:c>
      <x:c r="C2807" s="26" t="str">
        <x:v>40866227</x:v>
      </x:c>
      <x:c r="D2807" s="28" t="str">
        <x:v>Clinical characteristics of pediatric attention deficit hyperactivity disorder patients born with low birth weight, small for gestational age, or preterm.</x:v>
      </x:c>
      <x:c r="E2807" s="28" t="str">
        <x:v>Primary/contextual journal article</x:v>
      </x:c>
      <x:c r="F2807" s="28" t="str">
        <x:v>Development &amp; presentation; Family &amp; education; Social &amp; structural; Environmental &amp; lifestyle; Treatment &amp; support</x:v>
      </x:c>
      <x:c r="G2807" s="28" t="str">
        <x:v>Childhood</x:v>
      </x:c>
      <x:c r="H2807" s="28" t="str">
        <x:v>Later specialized</x:v>
      </x:c>
      <x:c r="I2807" s="28" t="str">
        <x:v>Direct or strongly ADHD-related record retained for later screening; typically narrower treatment, biomarker, mechanistic, or single-comorbidity focus.</x:v>
      </x:c>
      <x:c r="J2807" s="38" t="e">
        <x:f>HYPERLINK("https://pubmed.ncbi.nlm.nih.gov/"&amp;C2807&amp;"/","Open PubMed")</x:f>
        <x:v>HYPERLINK is not implemented. linkLocation=https://pubmed.ncbi.nlm.nih.gov/40866227/, friendlyName=Open PubMed</x:v>
      </x:c>
    </x:row>
    <x:row r="2808">
      <x:c r="A2808" s="26" t="str">
        <x:v>PUBMED-40846831</x:v>
      </x:c>
      <x:c r="B2808" s="26" t="n">
        <x:v>2026</x:v>
      </x:c>
      <x:c r="C2808" s="26" t="str">
        <x:v>40846831</x:v>
      </x:c>
      <x:c r="D2808" s="28" t="str">
        <x:v>Attention-deficit hyperactivity disorder and oral health in children and adolescents: a systematic review.</x:v>
      </x:c>
      <x:c r="E2808" s="28" t="str">
        <x:v>Evidence synthesis - systematic review</x:v>
      </x:c>
      <x:c r="F2808" s="28" t="str">
        <x:v>Development &amp; presentation; Recognition &amp; diagnosis; Family &amp; education; Social &amp; structural; Life outcomes &amp; lived experience</x:v>
      </x:c>
      <x:c r="G2808" s="28" t="str">
        <x:v>Childhood; Adolescence</x:v>
      </x:c>
      <x:c r="H2808" s="28" t="str">
        <x:v>Batch 1 core</x:v>
      </x:c>
      <x:c r="I2808" s="28" t="str">
        <x:v>Direct ADHD evidence synthesis/guideline with broad multi-topic relevance.</x:v>
      </x:c>
      <x:c r="J2808" s="38" t="e">
        <x:f>HYPERLINK("https://pubmed.ncbi.nlm.nih.gov/"&amp;C2808&amp;"/","Open PubMed")</x:f>
        <x:v>HYPERLINK is not implemented. linkLocation=https://pubmed.ncbi.nlm.nih.gov/40846831/, friendlyName=Open PubMed</x:v>
      </x:c>
    </x:row>
    <x:row r="2809">
      <x:c r="A2809" s="26" t="str">
        <x:v>PUBMED-40812743</x:v>
      </x:c>
      <x:c r="B2809" s="26" t="n">
        <x:v>2026</x:v>
      </x:c>
      <x:c r="C2809" s="26" t="str">
        <x:v>40812743</x:v>
      </x:c>
      <x:c r="D2809" s="28" t="str">
        <x:v>Shared and Distinct Alterations in Brain Structure of Youth With Internalizing or Externalizing Disorders: Findings From the ENIGMA Antisocial Behavior, ADHD, Major Depressive Disorder, and Anxiety Working Groups.</x:v>
      </x:c>
      <x:c r="E2809" s="28" t="str">
        <x:v>Evidence synthesis - meta-analysis</x:v>
      </x:c>
      <x:c r="F2809" s="28" t="str">
        <x:v>Development &amp; presentation; Recognition &amp; diagnosis; Family &amp; education</x:v>
      </x:c>
      <x:c r="G2809" s="28" t="str">
        <x:v>Childhood; Adolescence; Adulthood</x:v>
      </x:c>
      <x:c r="H2809" s="28" t="str">
        <x:v>Later specialized</x:v>
      </x:c>
      <x:c r="I2809" s="28" t="str">
        <x:v>Direct or strongly ADHD-related record retained for later screening; typically narrower treatment, biomarker, mechanistic, or single-comorbidity focus.</x:v>
      </x:c>
      <x:c r="J2809" s="38" t="e">
        <x:f>HYPERLINK("https://pubmed.ncbi.nlm.nih.gov/"&amp;C2809&amp;"/","Open PubMed")</x:f>
        <x:v>HYPERLINK is not implemented. linkLocation=https://pubmed.ncbi.nlm.nih.gov/40812743/, friendlyName=Open PubMed</x:v>
      </x:c>
    </x:row>
    <x:row r="2810">
      <x:c r="A2810" s="26" t="str">
        <x:v>PUBMED-40776557</x:v>
      </x:c>
      <x:c r="B2810" s="26" t="n">
        <x:v>2026</x:v>
      </x:c>
      <x:c r="C2810" s="26" t="str">
        <x:v>40776557</x:v>
      </x:c>
      <x:c r="D2810" s="28" t="str">
        <x:v>Mechanisms of Learning in Adults With ADHD During an Ecologically-Valid Visual Discrimination Task.</x:v>
      </x:c>
      <x:c r="E2810" s="28" t="str">
        <x:v>Primary/contextual journal article</x:v>
      </x:c>
      <x:c r="F2810" s="28" t="str">
        <x:v>Development &amp; presentation; Recognition &amp; diagnosis; Social &amp; structural; Environmental &amp; lifestyle; Treatment &amp; support</x:v>
      </x:c>
      <x:c r="G2810" s="28" t="str">
        <x:v>Adulthood</x:v>
      </x:c>
      <x:c r="H2810" s="28" t="str">
        <x:v>Later specialized</x:v>
      </x:c>
      <x:c r="I2810" s="28" t="str">
        <x:v>Direct or strongly ADHD-related record retained for later screening; typically narrower treatment, biomarker, mechanistic, or single-comorbidity focus.</x:v>
      </x:c>
      <x:c r="J2810" s="38" t="e">
        <x:f>HYPERLINK("https://pubmed.ncbi.nlm.nih.gov/"&amp;C2810&amp;"/","Open PubMed")</x:f>
        <x:v>HYPERLINK is not implemented. linkLocation=https://pubmed.ncbi.nlm.nih.gov/40776557/, friendlyName=Open PubMed</x:v>
      </x:c>
    </x:row>
    <x:row r="2811">
      <x:c r="A2811" s="26" t="str">
        <x:v>PUBMED-40685649</x:v>
      </x:c>
      <x:c r="B2811" s="26" t="n">
        <x:v>2026</x:v>
      </x:c>
      <x:c r="C2811" s="26" t="str">
        <x:v>40685649</x:v>
      </x:c>
      <x:c r="D2811" s="28" t="str">
        <x:v>Skill and participation enhancement in attention deficit hyperactivity disorder through equine therapy using ASTride protocol.</x:v>
      </x:c>
      <x:c r="E2811" s="28" t="str">
        <x:v>Primary study - cohort</x:v>
      </x:c>
      <x:c r="F2811" s="28" t="str">
        <x:v>Development &amp; presentation; Recognition &amp; diagnosis; Family &amp; education; Social &amp; structural; Treatment &amp; support; Life outcomes &amp; lived experience</x:v>
      </x:c>
      <x:c r="G2811" s="28" t="str">
        <x:v>Childhood</x:v>
      </x:c>
      <x:c r="H2811" s="28" t="str">
        <x:v>Later specialized</x:v>
      </x:c>
      <x:c r="I2811" s="28" t="str">
        <x:v>Direct or strongly ADHD-related record retained for later screening; typically narrower treatment, biomarker, mechanistic, or single-comorbidity focus.</x:v>
      </x:c>
      <x:c r="J2811" s="38" t="e">
        <x:f>HYPERLINK("https://pubmed.ncbi.nlm.nih.gov/"&amp;C2811&amp;"/","Open PubMed")</x:f>
        <x:v>HYPERLINK is not implemented. linkLocation=https://pubmed.ncbi.nlm.nih.gov/40685649/, friendlyName=Open PubMed</x:v>
      </x:c>
    </x:row>
    <x:row r="2812">
      <x:c r="A2812" s="26" t="str">
        <x:v>PUBMED-40681145</x:v>
      </x:c>
      <x:c r="B2812" s="26" t="n">
        <x:v>2026</x:v>
      </x:c>
      <x:c r="C2812" s="26" t="str">
        <x:v>40681145</x:v>
      </x:c>
      <x:c r="D2812" s="28" t="str">
        <x:v>Attention-Deficit/Hyperactivity Disorder Subtypes Defined by Cognition Have a Distinct Neural and Clinical Profile and Differ in Response to Atomoxetine.</x:v>
      </x:c>
      <x:c r="E2812" s="28" t="str">
        <x:v>Primary/contextual journal article</x:v>
      </x:c>
      <x:c r="F2812" s="28" t="str">
        <x:v>Development &amp; presentation; Family &amp; education; Social &amp; structural; Treatment &amp; support; Historical &amp; contemporary context</x:v>
      </x:c>
      <x:c r="G2812" s="28" t="str">
        <x:v>Childhood; Adolescence</x:v>
      </x:c>
      <x:c r="H2812" s="28" t="str">
        <x:v>Later specialized</x:v>
      </x:c>
      <x:c r="I2812" s="28" t="str">
        <x:v>Direct or strongly ADHD-related record retained for later screening; typically narrower treatment, biomarker, mechanistic, or single-comorbidity focus.</x:v>
      </x:c>
      <x:c r="J2812" s="38" t="e">
        <x:f>HYPERLINK("https://pubmed.ncbi.nlm.nih.gov/"&amp;C2812&amp;"/","Open PubMed")</x:f>
        <x:v>HYPERLINK is not implemented. linkLocation=https://pubmed.ncbi.nlm.nih.gov/40681145/, friendlyName=Open PubMed</x:v>
      </x:c>
    </x:row>
    <x:row r="2813">
      <x:c r="A2813" s="26" t="str">
        <x:v>PUBMED-40668030</x:v>
      </x:c>
      <x:c r="B2813" s="26" t="n">
        <x:v>2026</x:v>
      </x:c>
      <x:c r="C2813" s="26" t="str">
        <x:v>40668030</x:v>
      </x:c>
      <x:c r="D2813" s="28" t="str">
        <x:v>AD/HD symptoms in assessment seeking post-secondary students: Has the COVID-19 pandemic made a difference?</x:v>
      </x:c>
      <x:c r="E2813" s="28" t="str">
        <x:v>Primary/contextual journal article</x:v>
      </x:c>
      <x:c r="F2813" s="28" t="str">
        <x:v>Development &amp; presentation; Recognition &amp; diagnosis; Social &amp; structural; Environmental &amp; lifestyle</x:v>
      </x:c>
      <x:c r="G2813" s="28" t="str">
        <x:v>Adolescence; Adulthood</x:v>
      </x:c>
      <x:c r="H2813" s="28" t="str">
        <x:v>Later specialized</x:v>
      </x:c>
      <x:c r="I2813" s="28" t="str">
        <x:v>Direct or strongly ADHD-related record retained for later screening; typically narrower treatment, biomarker, mechanistic, or single-comorbidity focus.</x:v>
      </x:c>
      <x:c r="J2813" s="38" t="e">
        <x:f>HYPERLINK("https://pubmed.ncbi.nlm.nih.gov/"&amp;C2813&amp;"/","Open PubMed")</x:f>
        <x:v>HYPERLINK is not implemented. linkLocation=https://pubmed.ncbi.nlm.nih.gov/40668030/, friendlyName=Open PubMed</x:v>
      </x:c>
    </x:row>
    <x:row r="2814">
      <x:c r="A2814" s="26" t="str">
        <x:v>PUBMED-40590164</x:v>
      </x:c>
      <x:c r="B2814" s="26" t="n">
        <x:v>2026</x:v>
      </x:c>
      <x:c r="C2814" s="26" t="str">
        <x:v>40590164</x:v>
      </x:c>
      <x:c r="D2814" s="28" t="str">
        <x:v>Attitudes to possessions in emerging adults: Predictors of hoarding behaviours and beliefs.</x:v>
      </x:c>
      <x:c r="E2814" s="28" t="str">
        <x:v>Primary study - cohort</x:v>
      </x:c>
      <x:c r="F2814" s="28" t="str">
        <x:v>Development &amp; presentation; Recognition &amp; diagnosis; Social &amp; structural; Environmental &amp; lifestyle; Treatment &amp; support; Life outcomes &amp; lived experience; Historical &amp; contemporary context</x:v>
      </x:c>
      <x:c r="G2814" s="28" t="str">
        <x:v>Adolescence; Adulthood</x:v>
      </x:c>
      <x:c r="H2814" s="28" t="str">
        <x:v>Later specialized</x:v>
      </x:c>
      <x:c r="I2814" s="28" t="str">
        <x:v>Direct or strongly ADHD-related record retained for later screening; typically narrower treatment, biomarker, mechanistic, or single-comorbidity focus.</x:v>
      </x:c>
      <x:c r="J2814" s="38" t="e">
        <x:f>HYPERLINK("https://pubmed.ncbi.nlm.nih.gov/"&amp;C2814&amp;"/","Open PubMed")</x:f>
        <x:v>HYPERLINK is not implemented. linkLocation=https://pubmed.ncbi.nlm.nih.gov/40590164/, friendlyName=Open PubMed</x:v>
      </x:c>
    </x:row>
    <x:row r="2815">
      <x:c r="A2815" s="26" t="str">
        <x:v>PUBMED-40501318</x:v>
      </x:c>
      <x:c r="B2815" s="26" t="n">
        <x:v>2026</x:v>
      </x:c>
      <x:c r="C2815" s="26" t="str">
        <x:v>40501318</x:v>
      </x:c>
      <x:c r="D2815" s="28" t="str">
        <x:v>Art Group Interventions for Children With Learning Differences: A Systematic Review.</x:v>
      </x:c>
      <x:c r="E2815" s="28" t="str">
        <x:v>Evidence synthesis - meta-analysis</x:v>
      </x:c>
      <x:c r="F2815" s="28" t="str">
        <x:v>Development &amp; presentation; Recognition &amp; diagnosis; Family &amp; education; Social &amp; structural; Treatment &amp; support; Life outcomes &amp; lived experience</x:v>
      </x:c>
      <x:c r="G2815" s="28" t="str">
        <x:v>Childhood</x:v>
      </x:c>
      <x:c r="H2815" s="28" t="str">
        <x:v>Exclude/incidental</x:v>
      </x:c>
      <x:c r="I2815" s="28" t="str">
        <x:v>ADHD appears peripheral or insufficiently aligned with the requested corpus scope based on accessible metadata/abstract.</x:v>
      </x:c>
      <x:c r="J2815" s="38" t="e">
        <x:f>HYPERLINK("https://pubmed.ncbi.nlm.nih.gov/"&amp;C2815&amp;"/","Open PubMed")</x:f>
        <x:v>HYPERLINK is not implemented. linkLocation=https://pubmed.ncbi.nlm.nih.gov/40501318/, friendlyName=Open PubMed</x:v>
      </x:c>
    </x:row>
    <x:row r="2816">
      <x:c r="A2816" s="26" t="str">
        <x:v>PUBMED-40272730</x:v>
      </x:c>
      <x:c r="B2816" s="26" t="n">
        <x:v>2026</x:v>
      </x:c>
      <x:c r="C2816" s="26" t="str">
        <x:v>40272730</x:v>
      </x:c>
      <x:c r="D2816" s="28" t="str">
        <x:v>Associations of Down Syndrome with Autism Spectrum Disorder and Attention Deficit/ Hyperactivity Disorder Among Children and Adolescents.</x:v>
      </x:c>
      <x:c r="E2816" s="28" t="str">
        <x:v>Primary study - cross-sectional</x:v>
      </x:c>
      <x:c r="F2816" s="28" t="str">
        <x:v>Development &amp; presentation; Recognition &amp; diagnosis; Family &amp; education; Social &amp; structural; Treatment &amp; support</x:v>
      </x:c>
      <x:c r="G2816" s="28" t="str">
        <x:v>Childhood; Adolescence</x:v>
      </x:c>
      <x:c r="H2816" s="28" t="str">
        <x:v>Later specialized</x:v>
      </x:c>
      <x:c r="I2816" s="28" t="str">
        <x:v>Direct or strongly ADHD-related record retained for later screening; typically narrower treatment, biomarker, mechanistic, or single-comorbidity focus.</x:v>
      </x:c>
      <x:c r="J2816" s="38" t="e">
        <x:f>HYPERLINK("https://pubmed.ncbi.nlm.nih.gov/"&amp;C2816&amp;"/","Open PubMed")</x:f>
        <x:v>HYPERLINK is not implemented. linkLocation=https://pubmed.ncbi.nlm.nih.gov/40272730/, friendlyName=Open PubMed</x:v>
      </x:c>
    </x:row>
    <x:row r="2817">
      <x:c r="A2817" s="26" t="str">
        <x:v>PUBMED-40158696</x:v>
      </x:c>
      <x:c r="B2817" s="26" t="n">
        <x:v>2026</x:v>
      </x:c>
      <x:c r="C2817" s="26" t="str">
        <x:v>40158696</x:v>
      </x:c>
      <x:c r="D2817" s="28" t="str">
        <x:v>Limbic-Sensorimotor Tug of War for the Hippocampus: Dynamic Functional Connectivity as a Transdiagnostic Vulnerability Marker in Offspring of Patients With Emotion Dysregulation.</x:v>
      </x:c>
      <x:c r="E2817" s="28" t="str">
        <x:v>Primary/contextual journal article</x:v>
      </x:c>
      <x:c r="F2817" s="28" t="str">
        <x:v>Development &amp; presentation; Recognition &amp; diagnosis; Family &amp; education</x:v>
      </x:c>
      <x:c r="G2817" s="28" t="str">
        <x:v>Childhood; Adolescence; Adulthood</x:v>
      </x:c>
      <x:c r="H2817" s="28" t="str">
        <x:v>Later specialized</x:v>
      </x:c>
      <x:c r="I2817" s="28" t="str">
        <x:v>Direct or strongly ADHD-related record retained for later screening; typically narrower treatment, biomarker, mechanistic, or single-comorbidity focus.</x:v>
      </x:c>
      <x:c r="J2817" s="38" t="e">
        <x:f>HYPERLINK("https://pubmed.ncbi.nlm.nih.gov/"&amp;C2817&amp;"/","Open PubMed")</x:f>
        <x:v>HYPERLINK is not implemented. linkLocation=https://pubmed.ncbi.nlm.nih.gov/40158696/, friendlyName=Open PubMed</x:v>
      </x:c>
    </x:row>
    <x:row r="2818">
      <x:c r="A2818" s="26" t="str">
        <x:v>PUBMED-40089415</x:v>
      </x:c>
      <x:c r="B2818" s="26" t="n">
        <x:v>2026</x:v>
      </x:c>
      <x:c r="C2818" s="26" t="str">
        <x:v>40089415</x:v>
      </x:c>
      <x:c r="D2818" s="28" t="str">
        <x:v>Language and motor plasticity in toddlerhood and early preschool as predictors of intelligence in late preschool.</x:v>
      </x:c>
      <x:c r="E2818" s="28" t="str">
        <x:v>Primary/contextual journal article</x:v>
      </x:c>
      <x:c r="F2818" s="28" t="str">
        <x:v>Development &amp; presentation; Recognition &amp; diagnosis; Family &amp; education; Social &amp; structural; Life outcomes &amp; lived experience</x:v>
      </x:c>
      <x:c r="G2818" s="28" t="str">
        <x:v>Childhood</x:v>
      </x:c>
      <x:c r="H2818" s="28" t="str">
        <x:v>Exclude/incidental</x:v>
      </x:c>
      <x:c r="I2818" s="28" t="str">
        <x:v>ADHD appears peripheral or insufficiently aligned with the requested corpus scope based on accessible metadata/abstract.</x:v>
      </x:c>
      <x:c r="J2818" s="38" t="e">
        <x:f>HYPERLINK("https://pubmed.ncbi.nlm.nih.gov/"&amp;C2818&amp;"/","Open PubMed")</x:f>
        <x:v>HYPERLINK is not implemented. linkLocation=https://pubmed.ncbi.nlm.nih.gov/40089415/, friendlyName=Open PubMed</x:v>
      </x:c>
    </x:row>
    <x:row r="2819">
      <x:c r="A2819" s="26" t="str">
        <x:v>PUBMED-39520664</x:v>
      </x:c>
      <x:c r="B2819" s="26" t="n">
        <x:v>2026</x:v>
      </x:c>
      <x:c r="C2819" s="26" t="str">
        <x:v>39520664</x:v>
      </x:c>
      <x:c r="D2819" s="28" t="str">
        <x:v>Developmental and Psychiatric Conditions Among 5-7 Year Old Children with Non-persistent and Persistent Autism.</x:v>
      </x:c>
      <x:c r="E2819" s="28" t="str">
        <x:v>Primary/contextual journal article</x:v>
      </x:c>
      <x:c r="F2819" s="28" t="str">
        <x:v>Development &amp; presentation; Recognition &amp; diagnosis; Family &amp; education; Social &amp; structural; Life outcomes &amp; lived experience</x:v>
      </x:c>
      <x:c r="G2819" s="28" t="str">
        <x:v>Childhood</x:v>
      </x:c>
      <x:c r="H2819" s="28" t="str">
        <x:v>Later specialized</x:v>
      </x:c>
      <x:c r="I2819" s="28" t="str">
        <x:v>Direct or strongly ADHD-related record retained for later screening; typically narrower treatment, biomarker, mechanistic, or single-comorbidity focus.</x:v>
      </x:c>
      <x:c r="J2819" s="38" t="e">
        <x:f>HYPERLINK("https://pubmed.ncbi.nlm.nih.gov/"&amp;C2819&amp;"/","Open PubMed")</x:f>
        <x:v>HYPERLINK is not implemented. linkLocation=https://pubmed.ncbi.nlm.nih.gov/39520664/, friendlyName=Open PubMed</x:v>
      </x:c>
    </x:row>
    <x:row r="2820">
      <x:c r="A2820" s="26" t="str">
        <x:v>PUBMED-39352444</x:v>
      </x:c>
      <x:c r="B2820" s="26" t="n">
        <x:v>2026</x:v>
      </x:c>
      <x:c r="C2820" s="26" t="str">
        <x:v>39352444</x:v>
      </x:c>
      <x:c r="D2820" s="28" t="str">
        <x:v>Delay of Gratification in Preschoolers with Autism and Concerns for ADHD.</x:v>
      </x:c>
      <x:c r="E2820" s="28" t="str">
        <x:v>Primary/contextual journal article</x:v>
      </x:c>
      <x:c r="F2820" s="28" t="str">
        <x:v>Development &amp; presentation; Family &amp; education; Social &amp; structural; Life outcomes &amp; lived experience</x:v>
      </x:c>
      <x:c r="G2820" s="28" t="str">
        <x:v>Childhood</x:v>
      </x:c>
      <x:c r="H2820" s="28" t="str">
        <x:v>Later specialized</x:v>
      </x:c>
      <x:c r="I2820" s="28" t="str">
        <x:v>Direct or strongly ADHD-related record retained for later screening; typically narrower treatment, biomarker, mechanistic, or single-comorbidity focus.</x:v>
      </x:c>
      <x:c r="J2820" s="38" t="e">
        <x:f>HYPERLINK("https://pubmed.ncbi.nlm.nih.gov/"&amp;C2820&amp;"/","Open PubMed")</x:f>
        <x:v>HYPERLINK is not implemented. linkLocation=https://pubmed.ncbi.nlm.nih.gov/39352444/, friendlyName=Open PubMed</x:v>
      </x:c>
    </x:row>
    <x:row r="2821">
      <x:c r="A2821" s="26" t="str">
        <x:v>PUBMED-39179877</x:v>
      </x:c>
      <x:c r="B2821" s="26" t="n">
        <x:v>2026</x:v>
      </x:c>
      <x:c r="C2821" s="26" t="str">
        <x:v>39179877</x:v>
      </x:c>
      <x:c r="D2821" s="28" t="str">
        <x:v>Contrasting presentations of children with ADHD and subthreshold ADHD.</x:v>
      </x:c>
      <x:c r="E2821" s="28" t="str">
        <x:v>Primary study - case-control</x:v>
      </x:c>
      <x:c r="F2821" s="28" t="str">
        <x:v>Development &amp; presentation; Recognition &amp; diagnosis; Social &amp; structural; Life outcomes &amp; lived experience</x:v>
      </x:c>
      <x:c r="G2821" s="28" t="str">
        <x:v>Childhood</x:v>
      </x:c>
      <x:c r="H2821" s="28" t="str">
        <x:v>Later specialized</x:v>
      </x:c>
      <x:c r="I2821" s="28" t="str">
        <x:v>Direct or strongly ADHD-related record retained for later screening; typically narrower treatment, biomarker, mechanistic, or single-comorbidity focus.</x:v>
      </x:c>
      <x:c r="J2821" s="38" t="e">
        <x:f>HYPERLINK("https://pubmed.ncbi.nlm.nih.gov/"&amp;C2821&amp;"/","Open PubMed")</x:f>
        <x:v>HYPERLINK is not implemented. linkLocation=https://pubmed.ncbi.nlm.nih.gov/39179877/, friendlyName=Open PubMed</x:v>
      </x:c>
    </x:row>
    <x:row r="2822">
      <x:c r="A2822" s="26" t="str">
        <x:v>PUBMED-39087375</x:v>
      </x:c>
      <x:c r="B2822" s="26" t="n">
        <x:v>2026</x:v>
      </x:c>
      <x:c r="C2822" s="26" t="str">
        <x:v>39087375</x:v>
      </x:c>
      <x:c r="D2822" s="28" t="str">
        <x:v>Cognitive disengagement syndrome and attention deficit hyperactivity disorder: An examination of relationships with alexithymia and emotion regulation difficulties.</x:v>
      </x:c>
      <x:c r="E2822" s="28" t="str">
        <x:v>Primary/contextual journal article</x:v>
      </x:c>
      <x:c r="F2822" s="28" t="str">
        <x:v>Development &amp; presentation; Recognition &amp; diagnosis; Social &amp; structural; Life outcomes &amp; lived experience</x:v>
      </x:c>
      <x:c r="G2822" s="28" t="str">
        <x:v>Adolescence; Adulthood</x:v>
      </x:c>
      <x:c r="H2822" s="28" t="str">
        <x:v>Later specialized</x:v>
      </x:c>
      <x:c r="I2822" s="28" t="str">
        <x:v>Direct or strongly ADHD-related record retained for later screening; typically narrower treatment, biomarker, mechanistic, or single-comorbidity focus.</x:v>
      </x:c>
      <x:c r="J2822" s="38" t="e">
        <x:f>HYPERLINK("https://pubmed.ncbi.nlm.nih.gov/"&amp;C2822&amp;"/","Open PubMed")</x:f>
        <x:v>HYPERLINK is not implemented. linkLocation=https://pubmed.ncbi.nlm.nih.gov/39087375/, friendlyName=Open PubMed</x:v>
      </x:c>
    </x:row>
    <x:row r="2823">
      <x:c r="A2823" s="26" t="str">
        <x:v>PUBMED-39082960</x:v>
      </x:c>
      <x:c r="B2823" s="26" t="n">
        <x:v>2026</x:v>
      </x:c>
      <x:c r="C2823" s="26" t="str">
        <x:v>39082960</x:v>
      </x:c>
      <x:c r="D2823" s="28" t="str">
        <x:v>Toward an endophenotype for ADHD: Exploring the duration mismatch negativity in drug-free children with ADHD.</x:v>
      </x:c>
      <x:c r="E2823" s="28" t="str">
        <x:v>Primary/contextual journal article</x:v>
      </x:c>
      <x:c r="F2823" s="28" t="str">
        <x:v>Development &amp; presentation; Recognition &amp; diagnosis; Family &amp; education; Social &amp; structural; Environmental &amp; lifestyle; Historical &amp; contemporary context</x:v>
      </x:c>
      <x:c r="G2823" s="28" t="str">
        <x:v>Childhood</x:v>
      </x:c>
      <x:c r="H2823" s="28" t="str">
        <x:v>Later specialized</x:v>
      </x:c>
      <x:c r="I2823" s="28" t="str">
        <x:v>Direct or strongly ADHD-related record retained for later screening; typically narrower treatment, biomarker, mechanistic, or single-comorbidity focus.</x:v>
      </x:c>
      <x:c r="J2823" s="38" t="e">
        <x:f>HYPERLINK("https://pubmed.ncbi.nlm.nih.gov/"&amp;C2823&amp;"/","Open PubMed")</x:f>
        <x:v>HYPERLINK is not implemented. linkLocation=https://pubmed.ncbi.nlm.nih.gov/39082960/, friendlyName=Open PubMed</x:v>
      </x:c>
    </x:row>
    <x:row r="2824">
      <x:c r="A2824" s="26" t="str">
        <x:v>PUBMED-38995481</x:v>
      </x:c>
      <x:c r="B2824" s="26" t="n">
        <x:v>2026</x:v>
      </x:c>
      <x:c r="C2824" s="26" t="str">
        <x:v>38995481</x:v>
      </x:c>
      <x:c r="D2824" s="28" t="str">
        <x:v>Brief Report: Relationships Between Caregiver-Reported Externalizing and Internalizing Behaviors and the Modified Checklist for Autism in Toddlers.</x:v>
      </x:c>
      <x:c r="E2824" s="28" t="str">
        <x:v>Primary/contextual journal article</x:v>
      </x:c>
      <x:c r="F2824" s="28" t="str">
        <x:v>Development &amp; presentation; Recognition &amp; diagnosis; Family &amp; education; Treatment &amp; support; Life outcomes &amp; lived experience</x:v>
      </x:c>
      <x:c r="G2824" s="28" t="str">
        <x:v>Childhood</x:v>
      </x:c>
      <x:c r="H2824" s="28" t="str">
        <x:v>Later specialized</x:v>
      </x:c>
      <x:c r="I2824" s="28" t="str">
        <x:v>Direct or strongly ADHD-related record retained for later screening; typically narrower treatment, biomarker, mechanistic, or single-comorbidity focus.</x:v>
      </x:c>
      <x:c r="J2824" s="38" t="e">
        <x:f>HYPERLINK("https://pubmed.ncbi.nlm.nih.gov/"&amp;C2824&amp;"/","Open PubMed")</x:f>
        <x:v>HYPERLINK is not implemented. linkLocation=https://pubmed.ncbi.nlm.nih.gov/38995481/, friendlyName=Open PubMed</x:v>
      </x:c>
    </x:row>
    <x:row r="2825">
      <x:c r="A2825" s="26" t="str">
        <x:v>PUBMED-38864448</x:v>
      </x:c>
      <x:c r="B2825" s="26" t="n">
        <x:v>2026</x:v>
      </x:c>
      <x:c r="C2825" s="26" t="str">
        <x:v>38864448</x:v>
      </x:c>
      <x:c r="D2825" s="28" t="str">
        <x:v>Social challenges, autism spectrum disorder, and attention deficit/hyperactivity disorder in youth with neurofibromatosis type I.</x:v>
      </x:c>
      <x:c r="E2825" s="28" t="str">
        <x:v>Primary/contextual journal article</x:v>
      </x:c>
      <x:c r="F2825" s="28" t="str">
        <x:v>Development &amp; presentation; Recognition &amp; diagnosis; Family &amp; education; Social &amp; structural</x:v>
      </x:c>
      <x:c r="G2825" s="28" t="str">
        <x:v>Childhood; Adolescence</x:v>
      </x:c>
      <x:c r="H2825" s="28" t="str">
        <x:v>Later specialized</x:v>
      </x:c>
      <x:c r="I2825" s="28" t="str">
        <x:v>Direct or strongly ADHD-related record retained for later screening; typically narrower treatment, biomarker, mechanistic, or single-comorbidity focus.</x:v>
      </x:c>
      <x:c r="J2825" s="38" t="e">
        <x:f>HYPERLINK("https://pubmed.ncbi.nlm.nih.gov/"&amp;C2825&amp;"/","Open PubMed")</x:f>
        <x:v>HYPERLINK is not implemented. linkLocation=https://pubmed.ncbi.nlm.nih.gov/38864448/, friendlyName=Open PubMed</x:v>
      </x:c>
    </x:row>
    <x:row r="2826">
      <x:c r="A2826" s="26" t="str">
        <x:v>PUBMED-38850546</x:v>
      </x:c>
      <x:c r="B2826" s="26" t="n">
        <x:v>2026</x:v>
      </x:c>
      <x:c r="C2826" s="26" t="str">
        <x:v>38850546</x:v>
      </x:c>
      <x:c r="D2826" s="28" t="str">
        <x:v>Do Wechsler intelligence scales predict academic achievement in children with ADHD or autism? A systematic review and meta-analysis.</x:v>
      </x:c>
      <x:c r="E2826" s="28" t="str">
        <x:v>Evidence synthesis - meta-analysis</x:v>
      </x:c>
      <x:c r="F2826" s="28" t="str">
        <x:v>Development &amp; presentation; Family &amp; education; Social &amp; structural</x:v>
      </x:c>
      <x:c r="G2826" s="28" t="str">
        <x:v>Childhood; Adolescence</x:v>
      </x:c>
      <x:c r="H2826" s="28" t="str">
        <x:v>Batch 1 core</x:v>
      </x:c>
      <x:c r="I2826" s="28" t="str">
        <x:v>Direct ADHD evidence synthesis/guideline with broad multi-topic relevance.</x:v>
      </x:c>
      <x:c r="J2826" s="38" t="e">
        <x:f>HYPERLINK("https://pubmed.ncbi.nlm.nih.gov/"&amp;C2826&amp;"/","Open PubMed")</x:f>
        <x:v>HYPERLINK is not implemented. linkLocation=https://pubmed.ncbi.nlm.nih.gov/38850546/, friendlyName=Open PubMed</x:v>
      </x:c>
    </x:row>
    <x:row r="2827">
      <x:c r="A2827" s="26" t="str">
        <x:v>PUBMED-38801523</x:v>
      </x:c>
      <x:c r="B2827" s="26" t="n">
        <x:v>2026</x:v>
      </x:c>
      <x:c r="C2827" s="26" t="str">
        <x:v>38801523</x:v>
      </x:c>
      <x:c r="D2827" s="28" t="str">
        <x:v>Similarities and differences of neuropsychological functions, metacognitive abilities and resilience in Cognitive Disengagement Syndrome (CDS) and Attention Deficit/Hyperactivity Disorder (ADHD).</x:v>
      </x:c>
      <x:c r="E2827" s="28" t="str">
        <x:v>Primary study - case-control</x:v>
      </x:c>
      <x:c r="F2827" s="28" t="str">
        <x:v>Development &amp; presentation; Social &amp; structural; Treatment &amp; support; Life outcomes &amp; lived experience</x:v>
      </x:c>
      <x:c r="G2827" s="28" t="str">
        <x:v>Childhood; Adolescence</x:v>
      </x:c>
      <x:c r="H2827" s="28" t="str">
        <x:v>Later specialized</x:v>
      </x:c>
      <x:c r="I2827" s="28" t="str">
        <x:v>Direct or strongly ADHD-related record retained for later screening; typically narrower treatment, biomarker, mechanistic, or single-comorbidity focus.</x:v>
      </x:c>
      <x:c r="J2827" s="38" t="e">
        <x:f>HYPERLINK("https://pubmed.ncbi.nlm.nih.gov/"&amp;C2827&amp;"/","Open PubMed")</x:f>
        <x:v>HYPERLINK is not implemented. linkLocation=https://pubmed.ncbi.nlm.nih.gov/38801523/, friendlyName=Open PubMed</x:v>
      </x:c>
    </x:row>
    <x:row r="2828">
      <x:c r="A2828" s="26" t="str">
        <x:v>PUBMED-38757958</x:v>
      </x:c>
      <x:c r="B2828" s="26" t="n">
        <x:v>2026</x:v>
      </x:c>
      <x:c r="C2828" s="26" t="str">
        <x:v>38757958</x:v>
      </x:c>
      <x:c r="D2828" s="28" t="str">
        <x:v>Sleep, executive functions, and functional impairment in children with specific learning disorder: An investigation of the mediating pathways.</x:v>
      </x:c>
      <x:c r="E2828" s="28" t="str">
        <x:v>Primary/contextual journal article</x:v>
      </x:c>
      <x:c r="F2828" s="28" t="str">
        <x:v>Development &amp; presentation; Family &amp; education; Social &amp; structural; Environmental &amp; lifestyle; Life outcomes &amp; lived experience</x:v>
      </x:c>
      <x:c r="G2828" s="28" t="str">
        <x:v>Childhood; Adolescence</x:v>
      </x:c>
      <x:c r="H2828" s="28" t="str">
        <x:v>Later specialized</x:v>
      </x:c>
      <x:c r="I2828" s="28" t="str">
        <x:v>Direct or strongly ADHD-related record retained for later screening; typically narrower treatment, biomarker, mechanistic, or single-comorbidity focus.</x:v>
      </x:c>
      <x:c r="J2828" s="38" t="e">
        <x:f>HYPERLINK("https://pubmed.ncbi.nlm.nih.gov/"&amp;C2828&amp;"/","Open PubMed")</x:f>
        <x:v>HYPERLINK is not implemented. linkLocation=https://pubmed.ncbi.nlm.nih.gov/38757958/, friendlyName=Open PubMed</x:v>
      </x:c>
    </x:row>
    <x:row r="2829">
      <x:c r="A2829" s="26" t="str">
        <x:v>PUBMED-38657158</x:v>
      </x:c>
      <x:c r="B2829" s="26" t="n">
        <x:v>2026</x:v>
      </x:c>
      <x:c r="C2829" s="26" t="str">
        <x:v>38657158</x:v>
      </x:c>
      <x:c r="D2829" s="28" t="str">
        <x:v>Empirically derived symptom profiles in adults with attention-Deficit/hyperactivity disorder: An unsupervised machine learning approach.</x:v>
      </x:c>
      <x:c r="E2829" s="28" t="str">
        <x:v>Primary/contextual journal article</x:v>
      </x:c>
      <x:c r="F2829" s="28" t="str">
        <x:v>Development &amp; presentation; Recognition &amp; diagnosis; Social &amp; structural; Treatment &amp; support</x:v>
      </x:c>
      <x:c r="G2829" s="28" t="str">
        <x:v>Adulthood</x:v>
      </x:c>
      <x:c r="H2829" s="28" t="str">
        <x:v>Later specialized</x:v>
      </x:c>
      <x:c r="I2829" s="28" t="str">
        <x:v>Direct or strongly ADHD-related record retained for later screening; typically narrower treatment, biomarker, mechanistic, or single-comorbidity focus.</x:v>
      </x:c>
      <x:c r="J2829" s="38" t="e">
        <x:f>HYPERLINK("https://pubmed.ncbi.nlm.nih.gov/"&amp;C2829&amp;"/","Open PubMed")</x:f>
        <x:v>HYPERLINK is not implemented. linkLocation=https://pubmed.ncbi.nlm.nih.gov/38657158/, friendlyName=Open PubMed</x:v>
      </x:c>
    </x:row>
    <x:row r="2830">
      <x:c r="A2830" s="26" t="str">
        <x:v>PUBMED-38569190</x:v>
      </x:c>
      <x:c r="B2830" s="26" t="n">
        <x:v>2026</x:v>
      </x:c>
      <x:c r="C2830" s="26" t="str">
        <x:v>38569190</x:v>
      </x:c>
      <x:c r="D2830" s="28" t="str">
        <x:v>Determining cutoff scores on the Conners' adult ADHD rating scales that can definitively rule out the presence of ADHD in a clinical sample.</x:v>
      </x:c>
      <x:c r="E2830" s="28" t="str">
        <x:v>Primary/contextual journal article</x:v>
      </x:c>
      <x:c r="F2830" s="28" t="str">
        <x:v>Development &amp; presentation; Recognition &amp; diagnosis; Social &amp; structural; Environmental &amp; lifestyle</x:v>
      </x:c>
      <x:c r="G2830" s="28" t="str">
        <x:v>Adulthood</x:v>
      </x:c>
      <x:c r="H2830" s="28" t="str">
        <x:v>Later specialized</x:v>
      </x:c>
      <x:c r="I2830" s="28" t="str">
        <x:v>Direct or strongly ADHD-related record retained for later screening; typically narrower treatment, biomarker, mechanistic, or single-comorbidity focus.</x:v>
      </x:c>
      <x:c r="J2830" s="38" t="e">
        <x:f>HYPERLINK("https://pubmed.ncbi.nlm.nih.gov/"&amp;C2830&amp;"/","Open PubMed")</x:f>
        <x:v>HYPERLINK is not implemented. linkLocation=https://pubmed.ncbi.nlm.nih.gov/38569190/, friendlyName=Open PubMed</x:v>
      </x:c>
    </x:row>
    <x:row r="2831">
      <x:c r="A2831" s="26" t="str">
        <x:v>PUBMED-42640319</x:v>
      </x:c>
      <x:c r="B2831" s="26" t="n">
        <x:v>2026</x:v>
      </x:c>
      <x:c r="C2831" s="26" t="str">
        <x:v>42640319</x:v>
      </x:c>
      <x:c r="D2831" s="28" t="str">
        <x:v>Centanafadine (Simtriyo®): a first-in-class triple reuptake inhibitor approved for attention-deficit/hyperactivity disorder (ADHD).</x:v>
      </x:c>
      <x:c r="E2831" s="28" t="str">
        <x:v>Primary/contextual journal article</x:v>
      </x:c>
      <x:c r="F2831" s="28" t="str">
        <x:v>Development &amp; presentation; Treatment &amp; support</x:v>
      </x:c>
      <x:c r="G2831" s="28" t="str">
        <x:v>Not specified</x:v>
      </x:c>
      <x:c r="H2831" s="28" t="str">
        <x:v>Later specialized</x:v>
      </x:c>
      <x:c r="I2831" s="28" t="str">
        <x:v>Direct or strongly ADHD-related record retained for later screening; typically narrower treatment, biomarker, mechanistic, or single-comorbidity focus.</x:v>
      </x:c>
      <x:c r="J2831" s="38" t="e">
        <x:f>HYPERLINK("https://pubmed.ncbi.nlm.nih.gov/"&amp;C2831&amp;"/","Open PubMed")</x:f>
        <x:v>HYPERLINK is not implemented. linkLocation=https://pubmed.ncbi.nlm.nih.gov/42640319/, friendlyName=Open PubMed</x:v>
      </x:c>
    </x:row>
    <x:row r="2832">
      <x:c r="A2832" s="26" t="str">
        <x:v>PUBMED-41518864</x:v>
      </x:c>
      <x:c r="B2832" s="26" t="n">
        <x:v>2026</x:v>
      </x:c>
      <x:c r="C2832" s="26" t="str">
        <x:v>41518864</x:v>
      </x:c>
      <x:c r="D2832" s="28" t="str">
        <x:v>The development of dynamic networks supporting attentional flexibility.</x:v>
      </x:c>
      <x:c r="E2832" s="28" t="str">
        <x:v>Primary/contextual journal article</x:v>
      </x:c>
      <x:c r="F2832" s="28" t="str">
        <x:v>Development &amp; presentation; Recognition &amp; diagnosis; Family &amp; education; Social &amp; structural</x:v>
      </x:c>
      <x:c r="G2832" s="28" t="str">
        <x:v>Childhood; Adolescence; Adulthood</x:v>
      </x:c>
      <x:c r="H2832" s="28" t="str">
        <x:v>Later specialized</x:v>
      </x:c>
      <x:c r="I2832" s="28" t="str">
        <x:v>Direct or strongly ADHD-related record retained for later screening; typically narrower treatment, biomarker, mechanistic, or single-comorbidity focus.</x:v>
      </x:c>
      <x:c r="J2832" s="38" t="e">
        <x:f>HYPERLINK("https://pubmed.ncbi.nlm.nih.gov/"&amp;C2832&amp;"/","Open PubMed")</x:f>
        <x:v>HYPERLINK is not implemented. linkLocation=https://pubmed.ncbi.nlm.nih.gov/41518864/, friendlyName=Open PubMed</x:v>
      </x:c>
    </x:row>
    <x:row r="2833">
      <x:c r="A2833" s="26" t="str">
        <x:v>PUBMED-41511017</x:v>
      </x:c>
      <x:c r="B2833" s="26" t="n">
        <x:v>2026</x:v>
      </x:c>
      <x:c r="C2833" s="26" t="str">
        <x:v>41511017</x:v>
      </x:c>
      <x:c r="D2833" s="28" t="str">
        <x:v>Psychostimulant Continuation and Postpartum Mental Health in Pregnant People With Attention-Deficit/Hyperactivity Disorder.</x:v>
      </x:c>
      <x:c r="E2833" s="28" t="str">
        <x:v>Primary study - cohort</x:v>
      </x:c>
      <x:c r="F2833" s="28" t="str">
        <x:v>Development &amp; presentation; Recognition &amp; diagnosis; Social &amp; structural; Treatment &amp; support; Life outcomes &amp; lived experience</x:v>
      </x:c>
      <x:c r="G2833" s="28" t="str">
        <x:v>Adolescence; Adulthood</x:v>
      </x:c>
      <x:c r="H2833" s="28" t="str">
        <x:v>Later specialized</x:v>
      </x:c>
      <x:c r="I2833" s="28" t="str">
        <x:v>Direct or strongly ADHD-related record retained for later screening; typically narrower treatment, biomarker, mechanistic, or single-comorbidity focus.</x:v>
      </x:c>
      <x:c r="J2833" s="38" t="e">
        <x:f>HYPERLINK("https://pubmed.ncbi.nlm.nih.gov/"&amp;C2833&amp;"/","Open PubMed")</x:f>
        <x:v>HYPERLINK is not implemented. linkLocation=https://pubmed.ncbi.nlm.nih.gov/41511017/, friendlyName=Open PubMed</x:v>
      </x:c>
    </x:row>
    <x:row r="2834">
      <x:c r="A2834" s="26" t="str">
        <x:v>PUBMED-41241612</x:v>
      </x:c>
      <x:c r="B2834" s="26" t="n">
        <x:v>2026</x:v>
      </x:c>
      <x:c r="C2834" s="26" t="str">
        <x:v>41241612</x:v>
      </x:c>
      <x:c r="D2834" s="28" t="str">
        <x:v>Association Between the Genetic Risk for Attention-Deficit/Hyperactivity Disorder and Cognitive Function in Older Age: The MYHAT Population-Based Study.</x:v>
      </x:c>
      <x:c r="E2834" s="28" t="str">
        <x:v>Primary study - cohort</x:v>
      </x:c>
      <x:c r="F2834" s="28" t="str">
        <x:v>Development &amp; presentation; Recognition &amp; diagnosis; Family &amp; education; Social &amp; structural; Life outcomes &amp; lived experience</x:v>
      </x:c>
      <x:c r="G2834" s="28" t="str">
        <x:v>Adulthood</x:v>
      </x:c>
      <x:c r="H2834" s="28" t="str">
        <x:v>Later specialized</x:v>
      </x:c>
      <x:c r="I2834" s="28" t="str">
        <x:v>Direct or strongly ADHD-related record retained for later screening; typically narrower treatment, biomarker, mechanistic, or single-comorbidity focus.</x:v>
      </x:c>
      <x:c r="J2834" s="38" t="e">
        <x:f>HYPERLINK("https://pubmed.ncbi.nlm.nih.gov/"&amp;C2834&amp;"/","Open PubMed")</x:f>
        <x:v>HYPERLINK is not implemented. linkLocation=https://pubmed.ncbi.nlm.nih.gov/41241612/, friendlyName=Open PubMed</x:v>
      </x:c>
    </x:row>
    <x:row r="2835">
      <x:c r="A2835" s="26" t="str">
        <x:v>PUBMED-42752999</x:v>
      </x:c>
      <x:c r="B2835" s="26" t="n">
        <x:v>2026</x:v>
      </x:c>
      <x:c r="C2835" s="26" t="str">
        <x:v>42752999</x:v>
      </x:c>
      <x:c r="D2835" s="28" t="str">
        <x:v>Prevalence of neuropsychiatric and seizure disorders in neurofibromatosis type 1: a systematic review and meta-analysis.</x:v>
      </x:c>
      <x:c r="E2835" s="28" t="str">
        <x:v>Evidence synthesis - meta-analysis</x:v>
      </x:c>
      <x:c r="F2835" s="28" t="str">
        <x:v>Development &amp; presentation; Recognition &amp; diagnosis; Social &amp; structural</x:v>
      </x:c>
      <x:c r="G2835" s="28" t="str">
        <x:v>Not specified</x:v>
      </x:c>
      <x:c r="H2835" s="28" t="str">
        <x:v>Later specialized</x:v>
      </x:c>
      <x:c r="I2835" s="28" t="str">
        <x:v>Direct or strongly ADHD-related record retained for later screening; typically narrower treatment, biomarker, mechanistic, or single-comorbidity focus.</x:v>
      </x:c>
      <x:c r="J2835" s="38" t="e">
        <x:f>HYPERLINK("https://pubmed.ncbi.nlm.nih.gov/"&amp;C2835&amp;"/","Open PubMed")</x:f>
        <x:v>HYPERLINK is not implemented. linkLocation=https://pubmed.ncbi.nlm.nih.gov/42752999/, friendlyName=Open PubMed</x:v>
      </x:c>
    </x:row>
    <x:row r="2836">
      <x:c r="A2836" s="26" t="str">
        <x:v>PUBMED-42749630</x:v>
      </x:c>
      <x:c r="B2836" s="26" t="n">
        <x:v>2026</x:v>
      </x:c>
      <x:c r="C2836" s="26" t="str">
        <x:v>42749630</x:v>
      </x:c>
      <x:c r="D2836" s="28" t="str">
        <x:v>Workplace adjustments equivalent to reasonable accommodations and workplace maladjustment in a general working population, with a focus on high autism spectrum disorder (ASD) and attention deficit/hyperactivity disorder (ADHD) traits.</x:v>
      </x:c>
      <x:c r="E2836" s="28" t="str">
        <x:v>Primary study - cross-sectional</x:v>
      </x:c>
      <x:c r="F2836" s="28" t="str">
        <x:v>Development &amp; presentation; Social &amp; structural; Environmental &amp; lifestyle; Treatment &amp; support; Life outcomes &amp; lived experience; Historical &amp; contemporary context</x:v>
      </x:c>
      <x:c r="G2836" s="28" t="str">
        <x:v>Adulthood</x:v>
      </x:c>
      <x:c r="H2836" s="28" t="str">
        <x:v>Batch 1 core</x:v>
      </x:c>
      <x:c r="I2836" s="28" t="str">
        <x:v>Direct ADHD primary study on diagnosis, family/education, structural conditions, lived experience/outcomes, or environment/lifestyle.</x:v>
      </x:c>
      <x:c r="J2836" s="38" t="e">
        <x:f>HYPERLINK("https://pubmed.ncbi.nlm.nih.gov/"&amp;C2836&amp;"/","Open PubMed")</x:f>
        <x:v>HYPERLINK is not implemented. linkLocation=https://pubmed.ncbi.nlm.nih.gov/42749630/, friendlyName=Open PubMed</x:v>
      </x:c>
    </x:row>
    <x:row r="2837">
      <x:c r="A2837" s="26" t="str">
        <x:v>PUBMED-42748938</x:v>
      </x:c>
      <x:c r="B2837" s="26" t="n">
        <x:v>2026</x:v>
      </x:c>
      <x:c r="C2837" s="26" t="str">
        <x:v>42748938</x:v>
      </x:c>
      <x:c r="D2837" s="28" t="str">
        <x:v>ADHD Across the Lifespan: Reconsidering Assumptions of Diagnostic Permanence.</x:v>
      </x:c>
      <x:c r="E2837" s="28" t="str">
        <x:v>Evidence synthesis - review</x:v>
      </x:c>
      <x:c r="F2837" s="28" t="str">
        <x:v>Development &amp; presentation; Recognition &amp; diagnosis; Social &amp; structural; Treatment &amp; support; Life outcomes &amp; lived experience</x:v>
      </x:c>
      <x:c r="G2837" s="28" t="str">
        <x:v>Not specified</x:v>
      </x:c>
      <x:c r="H2837" s="28" t="str">
        <x:v>Batch 1 core</x:v>
      </x:c>
      <x:c r="I2837" s="28" t="str">
        <x:v>Direct ADHD evidence synthesis/guideline with broad multi-topic relevance.</x:v>
      </x:c>
      <x:c r="J2837" s="38" t="e">
        <x:f>HYPERLINK("https://pubmed.ncbi.nlm.nih.gov/"&amp;C2837&amp;"/","Open PubMed")</x:f>
        <x:v>HYPERLINK is not implemented. linkLocation=https://pubmed.ncbi.nlm.nih.gov/42748938/, friendlyName=Open PubMed</x:v>
      </x:c>
    </x:row>
    <x:row r="2838">
      <x:c r="A2838" s="26" t="str">
        <x:v>PUBMED-42747853</x:v>
      </x:c>
      <x:c r="B2838" s="26" t="n">
        <x:v>2026</x:v>
      </x:c>
      <x:c r="C2838" s="26" t="str">
        <x:v>42747853</x:v>
      </x:c>
      <x:c r="D2838" s="28" t="str">
        <x:v>Age at Diagnosis and Clinical and Genetic Profiles Among Adults With Attention-Deficit/Hyperactivity Disorder.</x:v>
      </x:c>
      <x:c r="E2838" s="28" t="str">
        <x:v>Primary study - cohort</x:v>
      </x:c>
      <x:c r="F2838" s="28" t="str">
        <x:v>Development &amp; presentation; Recognition &amp; diagnosis; Family &amp; education; Social &amp; structural; Environmental &amp; lifestyle; Life outcomes &amp; lived experience</x:v>
      </x:c>
      <x:c r="G2838" s="28" t="str">
        <x:v>Childhood; Adolescence; Adulthood</x:v>
      </x:c>
      <x:c r="H2838" s="28" t="str">
        <x:v>Batch 1 core</x:v>
      </x:c>
      <x:c r="I2838" s="28" t="str">
        <x:v>Direct ADHD primary study on diagnosis, family/education, structural conditions, lived experience/outcomes, or environment/lifestyle.</x:v>
      </x:c>
      <x:c r="J2838" s="38" t="e">
        <x:f>HYPERLINK("https://pubmed.ncbi.nlm.nih.gov/"&amp;C2838&amp;"/","Open PubMed")</x:f>
        <x:v>HYPERLINK is not implemented. linkLocation=https://pubmed.ncbi.nlm.nih.gov/42747853/, friendlyName=Open PubMed</x:v>
      </x:c>
    </x:row>
    <x:row r="2839">
      <x:c r="A2839" s="26" t="str">
        <x:v>PUBMED-42727482</x:v>
      </x:c>
      <x:c r="B2839" s="26" t="n">
        <x:v>2026</x:v>
      </x:c>
      <x:c r="C2839" s="26" t="str">
        <x:v>42727482</x:v>
      </x:c>
      <x:c r="D2839" s="28" t="str">
        <x:v>Prenatal exposure to a mixture of non-persistent endocrine-disrupting chemicals and attention and hyperactivity symptoms in children in the ECHO cohort.</x:v>
      </x:c>
      <x:c r="E2839" s="28" t="str">
        <x:v>Primary study - cohort</x:v>
      </x:c>
      <x:c r="F2839" s="28" t="str">
        <x:v>Development &amp; presentation; Family &amp; education; Social &amp; structural; Environmental &amp; lifestyle; Treatment &amp; support; Life outcomes &amp; lived experience</x:v>
      </x:c>
      <x:c r="G2839" s="28" t="str">
        <x:v>Childhood</x:v>
      </x:c>
      <x:c r="H2839" s="28" t="str">
        <x:v>Later specialized</x:v>
      </x:c>
      <x:c r="I2839" s="28" t="str">
        <x:v>Direct or strongly ADHD-related record retained for later screening; typically narrower treatment, biomarker, mechanistic, or single-comorbidity focus.</x:v>
      </x:c>
      <x:c r="J2839" s="38" t="e">
        <x:f>HYPERLINK("https://pubmed.ncbi.nlm.nih.gov/"&amp;C2839&amp;"/","Open PubMed")</x:f>
        <x:v>HYPERLINK is not implemented. linkLocation=https://pubmed.ncbi.nlm.nih.gov/42727482/, friendlyName=Open PubMed</x:v>
      </x:c>
    </x:row>
    <x:row r="2840">
      <x:c r="A2840" s="26" t="str">
        <x:v>PUBMED-41772326</x:v>
      </x:c>
      <x:c r="B2840" s="26" t="n">
        <x:v>2026</x:v>
      </x:c>
      <x:c r="C2840" s="26" t="str">
        <x:v>41772326</x:v>
      </x:c>
      <x:c r="D2840" s="28" t="str">
        <x:v>Attention-deficit/hyperactivity disorder medication use and cardiometabolic conditions in pregnancy: a population-based cohort study.</x:v>
      </x:c>
      <x:c r="E2840" s="28" t="str">
        <x:v>Primary study - cohort</x:v>
      </x:c>
      <x:c r="F2840" s="28" t="str">
        <x:v>Development &amp; presentation; Social &amp; structural; Environmental &amp; lifestyle; Treatment &amp; support; Life outcomes &amp; lived experience</x:v>
      </x:c>
      <x:c r="G2840" s="28" t="str">
        <x:v>Adulthood</x:v>
      </x:c>
      <x:c r="H2840" s="28" t="str">
        <x:v>Later specialized</x:v>
      </x:c>
      <x:c r="I2840" s="28" t="str">
        <x:v>Direct or strongly ADHD-related record retained for later screening; typically narrower treatment, biomarker, mechanistic, or single-comorbidity focus.</x:v>
      </x:c>
      <x:c r="J2840" s="38" t="e">
        <x:f>HYPERLINK("https://pubmed.ncbi.nlm.nih.gov/"&amp;C2840&amp;"/","Open PubMed")</x:f>
        <x:v>HYPERLINK is not implemented. linkLocation=https://pubmed.ncbi.nlm.nih.gov/41772326/, friendlyName=Open PubMed</x:v>
      </x:c>
    </x:row>
    <x:row r="2841">
      <x:c r="A2841" s="26" t="str">
        <x:v>PUBMED-41673286</x:v>
      </x:c>
      <x:c r="B2841" s="26" t="n">
        <x:v>2026</x:v>
      </x:c>
      <x:c r="C2841" s="26" t="str">
        <x:v>41673286</x:v>
      </x:c>
      <x:c r="D2841" s="28" t="str">
        <x:v>Prenatal Exposure to Air Pollution and Risk for Attention-Deficit/hyperactivity Disorder in Children.</x:v>
      </x:c>
      <x:c r="E2841" s="28" t="str">
        <x:v>Primary/contextual journal article</x:v>
      </x:c>
      <x:c r="F2841" s="28" t="str">
        <x:v>Development &amp; presentation; Recognition &amp; diagnosis; Family &amp; education; Social &amp; structural; Environmental &amp; lifestyle; Treatment &amp; support</x:v>
      </x:c>
      <x:c r="G2841" s="28" t="str">
        <x:v>Childhood</x:v>
      </x:c>
      <x:c r="H2841" s="28" t="str">
        <x:v>Later specialized</x:v>
      </x:c>
      <x:c r="I2841" s="28" t="str">
        <x:v>Direct or strongly ADHD-related record retained for later screening; typically narrower treatment, biomarker, mechanistic, or single-comorbidity focus.</x:v>
      </x:c>
      <x:c r="J2841" s="38" t="e">
        <x:f>HYPERLINK("https://pubmed.ncbi.nlm.nih.gov/"&amp;C2841&amp;"/","Open PubMed")</x:f>
        <x:v>HYPERLINK is not implemented. linkLocation=https://pubmed.ncbi.nlm.nih.gov/41673286/, friendlyName=Open PubMed</x:v>
      </x:c>
    </x:row>
    <x:row r="2842">
      <x:c r="A2842" s="26" t="str">
        <x:v>PUBMED-41615495</x:v>
      </x:c>
      <x:c r="B2842" s="26" t="n">
        <x:v>2026</x:v>
      </x:c>
      <x:c r="C2842" s="26" t="str">
        <x:v>41615495</x:v>
      </x:c>
      <x:c r="D2842" s="28" t="str">
        <x:v>Perceived School Fairness and Academic Functioning in Early Adolescents: Differential Associations for Adolescents with or Without ADHD?</x:v>
      </x:c>
      <x:c r="E2842" s="28" t="str">
        <x:v>Primary/contextual journal article</x:v>
      </x:c>
      <x:c r="F2842" s="28" t="str">
        <x:v>Development &amp; presentation; Recognition &amp; diagnosis; Family &amp; education; Treatment &amp; support; Life outcomes &amp; lived experience; Historical &amp; contemporary context</x:v>
      </x:c>
      <x:c r="G2842" s="28" t="str">
        <x:v>Childhood; Adolescence</x:v>
      </x:c>
      <x:c r="H2842" s="28" t="str">
        <x:v>Later specialized</x:v>
      </x:c>
      <x:c r="I2842" s="28" t="str">
        <x:v>Direct or strongly ADHD-related record retained for later screening; typically narrower treatment, biomarker, mechanistic, or single-comorbidity focus.</x:v>
      </x:c>
      <x:c r="J2842" s="38" t="e">
        <x:f>HYPERLINK("https://pubmed.ncbi.nlm.nih.gov/"&amp;C2842&amp;"/","Open PubMed")</x:f>
        <x:v>HYPERLINK is not implemented. linkLocation=https://pubmed.ncbi.nlm.nih.gov/41615495/, friendlyName=Open PubMed</x:v>
      </x:c>
    </x:row>
    <x:row r="2843">
      <x:c r="A2843" s="26" t="str">
        <x:v>PUBMED-41218347</x:v>
      </x:c>
      <x:c r="B2843" s="26" t="n">
        <x:v>2026</x:v>
      </x:c>
      <x:c r="C2843" s="26" t="str">
        <x:v>41218347</x:v>
      </x:c>
      <x:c r="D2843" s="28" t="str">
        <x:v>Clinical outcomes of addictive disorders six months after ADHD Diagnosis: Insights from the START study.</x:v>
      </x:c>
      <x:c r="E2843" s="28" t="str">
        <x:v>Primary/contextual journal article</x:v>
      </x:c>
      <x:c r="F2843" s="28" t="str">
        <x:v>Development &amp; presentation; Recognition &amp; diagnosis; Social &amp; structural; Environmental &amp; lifestyle; Treatment &amp; support; Life outcomes &amp; lived experience</x:v>
      </x:c>
      <x:c r="G2843" s="28" t="str">
        <x:v>Adolescence; Adulthood</x:v>
      </x:c>
      <x:c r="H2843" s="28" t="str">
        <x:v>Later specialized</x:v>
      </x:c>
      <x:c r="I2843" s="28" t="str">
        <x:v>Direct or strongly ADHD-related record retained for later screening; typically narrower treatment, biomarker, mechanistic, or single-comorbidity focus.</x:v>
      </x:c>
      <x:c r="J2843" s="38" t="e">
        <x:f>HYPERLINK("https://pubmed.ncbi.nlm.nih.gov/"&amp;C2843&amp;"/","Open PubMed")</x:f>
        <x:v>HYPERLINK is not implemented. linkLocation=https://pubmed.ncbi.nlm.nih.gov/41218347/, friendlyName=Open PubMed</x:v>
      </x:c>
    </x:row>
    <x:row r="2844">
      <x:c r="A2844" s="26" t="str">
        <x:v>PUBMED-41037257</x:v>
      </x:c>
      <x:c r="B2844" s="26" t="n">
        <x:v>2026</x:v>
      </x:c>
      <x:c r="C2844" s="26" t="str">
        <x:v>41037257</x:v>
      </x:c>
      <x:c r="D2844" s="28" t="str">
        <x:v>Investigating the Symptom Presentation of Depression in Children With ADHD.</x:v>
      </x:c>
      <x:c r="E2844" s="28" t="str">
        <x:v>Primary/contextual journal article</x:v>
      </x:c>
      <x:c r="F2844" s="28" t="str">
        <x:v>Development &amp; presentation; Family &amp; education; Social &amp; structural; Environmental &amp; lifestyle; Life outcomes &amp; lived experience</x:v>
      </x:c>
      <x:c r="G2844" s="28" t="str">
        <x:v>Childhood; Adolescence</x:v>
      </x:c>
      <x:c r="H2844" s="28" t="str">
        <x:v>Later specialized</x:v>
      </x:c>
      <x:c r="I2844" s="28" t="str">
        <x:v>Direct or strongly ADHD-related record retained for later screening; typically narrower treatment, biomarker, mechanistic, or single-comorbidity focus.</x:v>
      </x:c>
      <x:c r="J2844" s="38" t="e">
        <x:f>HYPERLINK("https://pubmed.ncbi.nlm.nih.gov/"&amp;C2844&amp;"/","Open PubMed")</x:f>
        <x:v>HYPERLINK is not implemented. linkLocation=https://pubmed.ncbi.nlm.nih.gov/41037257/, friendlyName=Open PubMed</x:v>
      </x:c>
    </x:row>
    <x:row r="2845">
      <x:c r="A2845" s="26" t="str">
        <x:v>PUBMED-40923413</x:v>
      </x:c>
      <x:c r="B2845" s="26" t="n">
        <x:v>2026</x:v>
      </x:c>
      <x:c r="C2845" s="26" t="str">
        <x:v>40923413</x:v>
      </x:c>
      <x:c r="D2845" s="28" t="str">
        <x:v>Mid-childhood developmental and behavioural outcomes in infants with a family history of autism and/or attention deficit hyperactivity disorder.</x:v>
      </x:c>
      <x:c r="E2845" s="28" t="str">
        <x:v>Primary/contextual journal article</x:v>
      </x:c>
      <x:c r="F2845" s="28" t="str">
        <x:v>Development &amp; presentation; Recognition &amp; diagnosis; Family &amp; education; Social &amp; structural; Life outcomes &amp; lived experience; Historical &amp; contemporary context</x:v>
      </x:c>
      <x:c r="G2845" s="28" t="str">
        <x:v>Childhood</x:v>
      </x:c>
      <x:c r="H2845" s="28" t="str">
        <x:v>Later specialized</x:v>
      </x:c>
      <x:c r="I2845" s="28" t="str">
        <x:v>Direct or strongly ADHD-related record retained for later screening; typically narrower treatment, biomarker, mechanistic, or single-comorbidity focus.</x:v>
      </x:c>
      <x:c r="J2845" s="38" t="e">
        <x:f>HYPERLINK("https://pubmed.ncbi.nlm.nih.gov/"&amp;C2845&amp;"/","Open PubMed")</x:f>
        <x:v>HYPERLINK is not implemented. linkLocation=https://pubmed.ncbi.nlm.nih.gov/40923413/, friendlyName=Open PubMed</x:v>
      </x:c>
    </x:row>
    <x:row r="2846">
      <x:c r="A2846" s="26" t="str">
        <x:v>PUBMED-40391564</x:v>
      </x:c>
      <x:c r="B2846" s="26" t="n">
        <x:v>2026</x:v>
      </x:c>
      <x:c r="C2846" s="26" t="str">
        <x:v>40391564</x:v>
      </x:c>
      <x:c r="D2846" s="28" t="str">
        <x:v>High-Incidence Learning-Related Disabilities, Gender, and Educational and Employment Outcomes in Young Adulthood.</x:v>
      </x:c>
      <x:c r="E2846" s="28" t="str">
        <x:v>Primary/contextual journal article</x:v>
      </x:c>
      <x:c r="F2846" s="28" t="str">
        <x:v>Development &amp; presentation; Family &amp; education; Social &amp; structural; Life outcomes &amp; lived experience</x:v>
      </x:c>
      <x:c r="G2846" s="28" t="str">
        <x:v>Adolescence; Adulthood</x:v>
      </x:c>
      <x:c r="H2846" s="28" t="str">
        <x:v>Exclude/incidental</x:v>
      </x:c>
      <x:c r="I2846" s="28" t="str">
        <x:v>ADHD appears peripheral or insufficiently aligned with the requested corpus scope based on accessible metadata/abstract.</x:v>
      </x:c>
      <x:c r="J2846" s="38" t="e">
        <x:f>HYPERLINK("https://pubmed.ncbi.nlm.nih.gov/"&amp;C2846&amp;"/","Open PubMed")</x:f>
        <x:v>HYPERLINK is not implemented. linkLocation=https://pubmed.ncbi.nlm.nih.gov/40391564/, friendlyName=Open PubMed</x:v>
      </x:c>
    </x:row>
    <x:row r="2847">
      <x:c r="A2847" s="26" t="str">
        <x:v>PUBMED-39871516</x:v>
      </x:c>
      <x:c r="B2847" s="26" t="n">
        <x:v>2026</x:v>
      </x:c>
      <x:c r="C2847" s="26" t="str">
        <x:v>39871516</x:v>
      </x:c>
      <x:c r="D2847" s="28" t="str">
        <x:v>Evaluating Computerised Assessment of Motor Imitation (CAMI) for identifying autism-specific difficulties not observed for attention-deficit hyperactivity disorder or neurotypical development.</x:v>
      </x:c>
      <x:c r="E2847" s="28" t="str">
        <x:v>Primary study - cross-sectional</x:v>
      </x:c>
      <x:c r="F2847" s="28" t="str">
        <x:v>Development &amp; presentation; Recognition &amp; diagnosis; Family &amp; education; Social &amp; structural; Life outcomes &amp; lived experience</x:v>
      </x:c>
      <x:c r="G2847" s="28" t="str">
        <x:v>Childhood; Adolescence</x:v>
      </x:c>
      <x:c r="H2847" s="28" t="str">
        <x:v>Later specialized</x:v>
      </x:c>
      <x:c r="I2847" s="28" t="str">
        <x:v>Direct or strongly ADHD-related record retained for later screening; typically narrower treatment, biomarker, mechanistic, or single-comorbidity focus.</x:v>
      </x:c>
      <x:c r="J2847" s="38" t="e">
        <x:f>HYPERLINK("https://pubmed.ncbi.nlm.nih.gov/"&amp;C2847&amp;"/","Open PubMed")</x:f>
        <x:v>HYPERLINK is not implemented. linkLocation=https://pubmed.ncbi.nlm.nih.gov/39871516/, friendlyName=Open PubMed</x:v>
      </x:c>
    </x:row>
  </x:sheetData>
  <x:pageMargins left="0.7" right="0.7" top="0.75" bottom="0.75" header="0.3" footer="0.3"/>
  <x:tableParts count="1">
    <x:tablePart xmlns:r="http://schemas.openxmlformats.org/officeDocument/2006/relationships" r:id="R259ba75034024155"/>
  </x:tableParts>
</x:worksheet>
</file>

<file path=xl/worksheets/sheet6.xml><?xml version="1.0" encoding="utf-8"?>
<x:worksheet xmlns:x="http://schemas.openxmlformats.org/spreadsheetml/2006/main">
  <x:sheetFormatPr defaultRowHeight="15"/>
  <x:cols>
    <x:col min="1" max="1" width="18" hidden="0" customWidth="1"/>
    <x:col min="2" max="2" width="8" hidden="0" customWidth="1"/>
    <x:col min="3" max="3" width="12" hidden="0" customWidth="1"/>
    <x:col min="4" max="4" width="58" hidden="0" customWidth="1"/>
    <x:col min="5" max="5" width="34" hidden="0" customWidth="1"/>
    <x:col min="6" max="6" width="48" hidden="0" customWidth="1"/>
    <x:col min="7" max="7" width="24" hidden="0" customWidth="1"/>
    <x:col min="8" max="8" width="44" hidden="0" customWidth="1"/>
  </x:cols>
  <x:sheetData>
    <x:row r="1" ht="30" customHeight="1">
      <x:c r="A1" s="21" t="str">
        <x:v>Paper ID</x:v>
      </x:c>
      <x:c r="B1" s="21" t="str">
        <x:v>Year</x:v>
      </x:c>
      <x:c r="C1" s="21" t="str">
        <x:v>PMID</x:v>
      </x:c>
      <x:c r="D1" s="21" t="str">
        <x:v>Title</x:v>
      </x:c>
      <x:c r="E1" s="21" t="str">
        <x:v>Source type</x:v>
      </x:c>
      <x:c r="F1" s="21" t="str">
        <x:v>Topic tags</x:v>
      </x:c>
      <x:c r="G1" s="21" t="str">
        <x:v>Life stage</x:v>
      </x:c>
      <x:c r="H1" s="21" t="str">
        <x:v>Paper Link (PubMed)</x:v>
      </x:c>
    </x:row>
    <x:row r="2">
      <x:c r="A2" t="str">
        <x:v>PUBMED-4097226</x:v>
      </x:c>
      <x:c r="B2" t="n">
        <x:v>1970</x:v>
      </x:c>
      <x:c r="C2" t="str">
        <x:v>4097226</x:v>
      </x:c>
      <x:c r="D2" s="14" t="str">
        <x:v>Minimal brain dysfunction: clinical aspects.</x:v>
      </x:c>
      <x:c r="E2" s="14" t="str">
        <x:v>Primary/contextual journal article</x:v>
      </x:c>
      <x:c r="F2" s="14" t="str">
        <x:v>Development &amp; presentation; Recognition &amp; diagnosis</x:v>
      </x:c>
      <x:c r="G2" s="14" t="str">
        <x:v>Childhood</x:v>
      </x:c>
      <x:c r="H2" s="32" t="e">
        <x:f>HYPERLINK("https://pubmed.ncbi.nlm.nih.gov/"&amp;C2&amp;"/","Open PubMed")</x:f>
        <x:v>HYPERLINK is not implemented. linkLocation=https://pubmed.ncbi.nlm.nih.gov/4097226/, friendlyName=Open PubMed</x:v>
      </x:c>
    </x:row>
    <x:row r="3">
      <x:c r="A3" t="str">
        <x:v>PUBMED-5528093</x:v>
      </x:c>
      <x:c r="B3" t="n">
        <x:v>1970</x:v>
      </x:c>
      <x:c r="C3" t="str">
        <x:v>5528093</x:v>
      </x:c>
      <x:c r="D3" s="14" t="str">
        <x:v>The slow learner in the classroom with emphasis on the child with minimum brain syndrome.</x:v>
      </x:c>
      <x:c r="E3" s="14" t="str">
        <x:v>Primary/contextual journal article</x:v>
      </x:c>
      <x:c r="F3" s="14" t="str">
        <x:v>Development &amp; presentation; Recognition &amp; diagnosis; Family &amp; education; Treatment &amp; support</x:v>
      </x:c>
      <x:c r="G3" s="14" t="str">
        <x:v>Childhood</x:v>
      </x:c>
      <x:c r="H3" s="32" t="e">
        <x:f>HYPERLINK("https://pubmed.ncbi.nlm.nih.gov/"&amp;C3&amp;"/","Open PubMed")</x:f>
        <x:v>HYPERLINK is not implemented. linkLocation=https://pubmed.ncbi.nlm.nih.gov/5528093/, friendlyName=Open PubMed</x:v>
      </x:c>
    </x:row>
    <x:row r="4">
      <x:c r="A4" t="str">
        <x:v>PUBMED-5526422</x:v>
      </x:c>
      <x:c r="B4" t="n">
        <x:v>1970</x:v>
      </x:c>
      <x:c r="C4" t="str">
        <x:v>5526422</x:v>
      </x:c>
      <x:c r="D4" s="14" t="str">
        <x:v>The role of allergic factors in the child with minimal brain dysfunction.</x:v>
      </x:c>
      <x:c r="E4" s="14" t="str">
        <x:v>Primary/contextual journal article</x:v>
      </x:c>
      <x:c r="F4" s="14" t="str">
        <x:v>Development &amp; presentation; Recognition &amp; diagnosis; Family &amp; education; Environmental &amp; lifestyle; Treatment &amp; support</x:v>
      </x:c>
      <x:c r="G4" s="14" t="str">
        <x:v>Childhood</x:v>
      </x:c>
      <x:c r="H4" s="32" t="e">
        <x:f>HYPERLINK("https://pubmed.ncbi.nlm.nih.gov/"&amp;C4&amp;"/","Open PubMed")</x:f>
        <x:v>HYPERLINK is not implemented. linkLocation=https://pubmed.ncbi.nlm.nih.gov/5526422/, friendlyName=Open PubMed</x:v>
      </x:c>
    </x:row>
    <x:row r="5">
      <x:c r="A5" t="str">
        <x:v>PUBMED-5538049</x:v>
      </x:c>
      <x:c r="B5" t="n">
        <x:v>1970</x:v>
      </x:c>
      <x:c r="C5" t="str">
        <x:v>5538049</x:v>
      </x:c>
      <x:c r="D5" s="14" t="str">
        <x:v>[Diagnosis of minimal cerebral dysfunction or lesion in school age children].</x:v>
      </x:c>
      <x:c r="E5" s="14" t="str">
        <x:v>Primary/contextual journal article</x:v>
      </x:c>
      <x:c r="F5" s="14" t="str">
        <x:v>Development &amp; presentation; Recognition &amp; diagnosis; Family &amp; education</x:v>
      </x:c>
      <x:c r="G5" s="14" t="str">
        <x:v>Childhood</x:v>
      </x:c>
      <x:c r="H5" s="32" t="e">
        <x:f>HYPERLINK("https://pubmed.ncbi.nlm.nih.gov/"&amp;C5&amp;"/","Open PubMed")</x:f>
        <x:v>HYPERLINK is not implemented. linkLocation=https://pubmed.ncbi.nlm.nih.gov/5538049/, friendlyName=Open PubMed</x:v>
      </x:c>
    </x:row>
    <x:row r="6">
      <x:c r="A6" t="str">
        <x:v>PUBMED-4097225</x:v>
      </x:c>
      <x:c r="B6" t="n">
        <x:v>1970</x:v>
      </x:c>
      <x:c r="C6" t="str">
        <x:v>4097225</x:v>
      </x:c>
      <x:c r="D6" s="14" t="str">
        <x:v>The structural basis of the minimal cerebral dysfunction syndrome.</x:v>
      </x:c>
      <x:c r="E6" s="14" t="str">
        <x:v>Primary/contextual journal article</x:v>
      </x:c>
      <x:c r="F6" s="14" t="str">
        <x:v>Development &amp; presentation</x:v>
      </x:c>
      <x:c r="G6" s="14" t="str">
        <x:v>Not specified</x:v>
      </x:c>
      <x:c r="H6" s="32" t="e">
        <x:f>HYPERLINK("https://pubmed.ncbi.nlm.nih.gov/"&amp;C6&amp;"/","Open PubMed")</x:f>
        <x:v>HYPERLINK is not implemented. linkLocation=https://pubmed.ncbi.nlm.nih.gov/4097225/, friendlyName=Open PubMed</x:v>
      </x:c>
    </x:row>
    <x:row r="7">
      <x:c r="A7" t="str">
        <x:v>PUBMED-2303554</x:v>
      </x:c>
      <x:c r="B7" t="n">
        <x:v>1990</x:v>
      </x:c>
      <x:c r="C7" t="str">
        <x:v>2303554</x:v>
      </x:c>
      <x:c r="D7" s="14" t="str">
        <x:v>Attention deficit disorder and the mediating effect of age on academic and behavioral variables.</x:v>
      </x:c>
      <x:c r="E7" s="14" t="str">
        <x:v>Primary/contextual journal article</x:v>
      </x:c>
      <x:c r="F7" s="14" t="str">
        <x:v>Development &amp; presentation; Recognition &amp; diagnosis; Family &amp; education; Social &amp; structural; Treatment &amp; support</x:v>
      </x:c>
      <x:c r="G7" s="14" t="str">
        <x:v>Childhood</x:v>
      </x:c>
      <x:c r="H7" s="32" t="e">
        <x:f>HYPERLINK("https://pubmed.ncbi.nlm.nih.gov/"&amp;C7&amp;"/","Open PubMed")</x:f>
        <x:v>HYPERLINK is not implemented. linkLocation=https://pubmed.ncbi.nlm.nih.gov/2303554/, friendlyName=Open PubMed</x:v>
      </x:c>
    </x:row>
    <x:row r="8">
      <x:c r="A8" t="str">
        <x:v>PUBMED-2342842</x:v>
      </x:c>
      <x:c r="B8" t="n">
        <x:v>1990</x:v>
      </x:c>
      <x:c r="C8" t="str">
        <x:v>2342842</x:v>
      </x:c>
      <x:c r="D8" s="14" t="str">
        <x:v>The relationship between continuous performance tasks and neuropsychological tests in children with attention-deficit hyperactivity disorder.</x:v>
      </x:c>
      <x:c r="E8" s="14" t="str">
        <x:v>Primary/contextual journal article</x:v>
      </x:c>
      <x:c r="F8" s="14" t="str">
        <x:v>Development &amp; presentation; Recognition &amp; diagnosis; Social &amp; structural; Life outcomes &amp; lived experience</x:v>
      </x:c>
      <x:c r="G8" s="14" t="str">
        <x:v>Childhood</x:v>
      </x:c>
      <x:c r="H8" s="32" t="e">
        <x:f>HYPERLINK("https://pubmed.ncbi.nlm.nih.gov/"&amp;C8&amp;"/","Open PubMed")</x:f>
        <x:v>HYPERLINK is not implemented. linkLocation=https://pubmed.ncbi.nlm.nih.gov/2342842/, friendlyName=Open PubMed</x:v>
      </x:c>
    </x:row>
    <x:row r="9">
      <x:c r="A9" t="str">
        <x:v>PUBMED-2236435</x:v>
      </x:c>
      <x:c r="B9" t="n">
        <x:v>1990</x:v>
      </x:c>
      <x:c r="C9" t="str">
        <x:v>2236435</x:v>
      </x:c>
      <x:c r="D9" s="14" t="str">
        <x:v>Effects of methylphenidate on processing negativities in patients with attention-deficit hyperactivity disorder.</x:v>
      </x:c>
      <x:c r="E9" s="14" t="str">
        <x:v>Primary study - randomized controlled trial</x:v>
      </x:c>
      <x:c r="F9" s="14" t="str">
        <x:v>Development &amp; presentation; Social &amp; structural; Treatment &amp; support</x:v>
      </x:c>
      <x:c r="G9" s="14" t="str">
        <x:v>Childhood</x:v>
      </x:c>
      <x:c r="H9" s="32" t="e">
        <x:f>HYPERLINK("https://pubmed.ncbi.nlm.nih.gov/"&amp;C9&amp;"/","Open PubMed")</x:f>
        <x:v>HYPERLINK is not implemented. linkLocation=https://pubmed.ncbi.nlm.nih.gov/2236435/, friendlyName=Open PubMed</x:v>
      </x:c>
    </x:row>
    <x:row r="10">
      <x:c r="A10" t="str">
        <x:v>PUBMED-2196520</x:v>
      </x:c>
      <x:c r="B10" t="n">
        <x:v>1990</x:v>
      </x:c>
      <x:c r="C10" t="str">
        <x:v>2196520</x:v>
      </x:c>
      <x:c r="D10" s="14" t="str">
        <x:v>Side effects of methylphenidate in children with attention deficit hyperactivity disorder: a systemic, placebo-controlled evaluation.</x:v>
      </x:c>
      <x:c r="E10" s="14" t="str">
        <x:v>Primary study - randomized controlled trial</x:v>
      </x:c>
      <x:c r="F10" s="14" t="str">
        <x:v>Development &amp; presentation; Family &amp; education; Environmental &amp; lifestyle; Treatment &amp; support; Life outcomes &amp; lived experience</x:v>
      </x:c>
      <x:c r="G10" s="14" t="str">
        <x:v>Childhood; Adolescence</x:v>
      </x:c>
      <x:c r="H10" s="32" t="e">
        <x:f>HYPERLINK("https://pubmed.ncbi.nlm.nih.gov/"&amp;C10&amp;"/","Open PubMed")</x:f>
        <x:v>HYPERLINK is not implemented. linkLocation=https://pubmed.ncbi.nlm.nih.gov/2196520/, friendlyName=Open PubMed</x:v>
      </x:c>
    </x:row>
    <x:row r="11">
      <x:c r="A11" t="str">
        <x:v>PUBMED-2115746</x:v>
      </x:c>
      <x:c r="B11" t="n">
        <x:v>1990</x:v>
      </x:c>
      <x:c r="C11" t="str">
        <x:v>2115746</x:v>
      </x:c>
      <x:c r="D11" s="14" t="str">
        <x:v>Bupropion treatment of attention-deficit hyperactivity disorder in adults.</x:v>
      </x:c>
      <x:c r="E11" s="14" t="str">
        <x:v>Primary study - clinical trial</x:v>
      </x:c>
      <x:c r="F11" s="14" t="str">
        <x:v>Development &amp; presentation; Social &amp; structural; Treatment &amp; support</x:v>
      </x:c>
      <x:c r="G11" s="14" t="str">
        <x:v>Adulthood</x:v>
      </x:c>
      <x:c r="H11" s="32" t="e">
        <x:f>HYPERLINK("https://pubmed.ncbi.nlm.nih.gov/"&amp;C11&amp;"/","Open PubMed")</x:f>
        <x:v>HYPERLINK is not implemented. linkLocation=https://pubmed.ncbi.nlm.nih.gov/2115746/, friendlyName=Open PubMed</x:v>
      </x:c>
    </x:row>
    <x:row r="12">
      <x:c r="A12" t="str">
        <x:v>PUBMED-2308471</x:v>
      </x:c>
      <x:c r="B12" t="n">
        <x:v>1990</x:v>
      </x:c>
      <x:c r="C12" t="str">
        <x:v>2308471</x:v>
      </x:c>
      <x:c r="D12" s="14" t="str">
        <x:v>Growth hormone and prolactin response to methylphenidate in children with attention deficit disorder.</x:v>
      </x:c>
      <x:c r="E12" s="14" t="str">
        <x:v>Primary study - clinical trial</x:v>
      </x:c>
      <x:c r="F12" s="14" t="str">
        <x:v>Development &amp; presentation; Recognition &amp; diagnosis; Family &amp; education; Social &amp; structural; Treatment &amp; support; Life outcomes &amp; lived experience</x:v>
      </x:c>
      <x:c r="G12" s="14" t="str">
        <x:v>Childhood</x:v>
      </x:c>
      <x:c r="H12" s="32" t="e">
        <x:f>HYPERLINK("https://pubmed.ncbi.nlm.nih.gov/"&amp;C12&amp;"/","Open PubMed")</x:f>
        <x:v>HYPERLINK is not implemented. linkLocation=https://pubmed.ncbi.nlm.nih.gov/2308471/, friendlyName=Open PubMed</x:v>
      </x:c>
    </x:row>
    <x:row r="13">
      <x:c r="A13" t="str">
        <x:v>PUBMED-2135682</x:v>
      </x:c>
      <x:c r="B13" t="n">
        <x:v>1990</x:v>
      </x:c>
      <x:c r="C13" t="str">
        <x:v>2135682</x:v>
      </x:c>
      <x:c r="D13" s="14" t="str">
        <x:v>Efficacy of methylphenidate among mentally retarded children with attention deficit hyperactivity disorder.</x:v>
      </x:c>
      <x:c r="E13" s="14" t="str">
        <x:v>Primary study - randomized controlled trial</x:v>
      </x:c>
      <x:c r="F13" s="14" t="str">
        <x:v>Development &amp; presentation; Recognition &amp; diagnosis; Family &amp; education; Social &amp; structural; Treatment &amp; support</x:v>
      </x:c>
      <x:c r="G13" s="14" t="str">
        <x:v>Childhood</x:v>
      </x:c>
      <x:c r="H13" s="32" t="e">
        <x:f>HYPERLINK("https://pubmed.ncbi.nlm.nih.gov/"&amp;C13&amp;"/","Open PubMed")</x:f>
        <x:v>HYPERLINK is not implemented. linkLocation=https://pubmed.ncbi.nlm.nih.gov/2135682/, friendlyName=Open PubMed</x:v>
      </x:c>
    </x:row>
    <x:row r="14">
      <x:c r="A14" t="str">
        <x:v>PUBMED-2364762</x:v>
      </x:c>
      <x:c r="B14" t="n">
        <x:v>1990</x:v>
      </x:c>
      <x:c r="C14" t="str">
        <x:v>2364762</x:v>
      </x:c>
      <x:c r="D14" s="14" t="str">
        <x:v>Juvenile delinquency and attention deficit disorder: boys' developmental trajectories from age 3 to age 15.</x:v>
      </x:c>
      <x:c r="E14" s="14" t="str">
        <x:v>Primary study - cohort</x:v>
      </x:c>
      <x:c r="F14" s="14" t="str">
        <x:v>Development &amp; presentation; Recognition &amp; diagnosis; Family &amp; education; Social &amp; structural; Environmental &amp; lifestyle; Life outcomes &amp; lived experience</x:v>
      </x:c>
      <x:c r="G14" s="14" t="str">
        <x:v>Childhood; Adolescence</x:v>
      </x:c>
      <x:c r="H14" s="32" t="e">
        <x:f>HYPERLINK("https://pubmed.ncbi.nlm.nih.gov/"&amp;C14&amp;"/","Open PubMed")</x:f>
        <x:v>HYPERLINK is not implemented. linkLocation=https://pubmed.ncbi.nlm.nih.gov/2364762/, friendlyName=Open PubMed</x:v>
      </x:c>
    </x:row>
    <x:row r="15">
      <x:c r="A15" t="str">
        <x:v>PUBMED-2365665</x:v>
      </x:c>
      <x:c r="B15" t="n">
        <x:v>1990</x:v>
      </x:c>
      <x:c r="C15" t="str">
        <x:v>2365665</x:v>
      </x:c>
      <x:c r="D15" s="14" t="str">
        <x:v>A controlled family history study of Tourette's syndrome, I: Attention-deficit hyperactivity disorder and learning disorders.</x:v>
      </x:c>
      <x:c r="E15" s="14" t="str">
        <x:v>Primary/contextual journal article</x:v>
      </x:c>
      <x:c r="F15" s="14" t="str">
        <x:v>Development &amp; presentation; Recognition &amp; diagnosis; Family &amp; education; Historical &amp; contemporary context</x:v>
      </x:c>
      <x:c r="G15" s="14" t="str">
        <x:v>Childhood; Adolescence; Adulthood</x:v>
      </x:c>
      <x:c r="H15" s="32" t="e">
        <x:f>HYPERLINK("https://pubmed.ncbi.nlm.nih.gov/"&amp;C15&amp;"/","Open PubMed")</x:f>
        <x:v>HYPERLINK is not implemented. linkLocation=https://pubmed.ncbi.nlm.nih.gov/2365665/, friendlyName=Open PubMed</x:v>
      </x:c>
    </x:row>
    <x:row r="16">
      <x:c r="A16" t="str">
        <x:v>PUBMED-2074343</x:v>
      </x:c>
      <x:c r="B16" t="n">
        <x:v>1990</x:v>
      </x:c>
      <x:c r="C16" t="str">
        <x:v>2074343</x:v>
      </x:c>
      <x:c r="D16" s="14" t="str">
        <x:v>Intellectual, academic, and adaptive functioning of Tourette syndrome children with and without attention deficit disorder.</x:v>
      </x:c>
      <x:c r="E16" s="14" t="str">
        <x:v>Primary/contextual journal article</x:v>
      </x:c>
      <x:c r="F16" s="14" t="str">
        <x:v>Development &amp; presentation; Family &amp; education; Social &amp; structural; Treatment &amp; support; Life outcomes &amp; lived experience</x:v>
      </x:c>
      <x:c r="G16" s="14" t="str">
        <x:v>Childhood; Adolescence</x:v>
      </x:c>
      <x:c r="H16" s="32" t="e">
        <x:f>HYPERLINK("https://pubmed.ncbi.nlm.nih.gov/"&amp;C16&amp;"/","Open PubMed")</x:f>
        <x:v>HYPERLINK is not implemented. linkLocation=https://pubmed.ncbi.nlm.nih.gov/2074343/, friendlyName=Open PubMed</x:v>
      </x:c>
    </x:row>
    <x:row r="17">
      <x:c r="A17" t="str">
        <x:v>PUBMED-2258453</x:v>
      </x:c>
      <x:c r="B17" t="n">
        <x:v>1990</x:v>
      </x:c>
      <x:c r="C17" t="str">
        <x:v>2258453</x:v>
      </x:c>
      <x:c r="D17" s="14" t="str">
        <x:v>Possible influence of carbamazepine on plasma imipramine concentrations in children with attention deficit hyperactivity disorder.</x:v>
      </x:c>
      <x:c r="E17" s="14" t="str">
        <x:v>Primary study - clinical trial</x:v>
      </x:c>
      <x:c r="F17" s="14" t="str">
        <x:v>Development &amp; presentation; Family &amp; education; Social &amp; structural; Treatment &amp; support</x:v>
      </x:c>
      <x:c r="G17" s="14" t="str">
        <x:v>Childhood; Adolescence</x:v>
      </x:c>
      <x:c r="H17" s="32" t="e">
        <x:f>HYPERLINK("https://pubmed.ncbi.nlm.nih.gov/"&amp;C17&amp;"/","Open PubMed")</x:f>
        <x:v>HYPERLINK is not implemented. linkLocation=https://pubmed.ncbi.nlm.nih.gov/2258453/, friendlyName=Open PubMed</x:v>
      </x:c>
    </x:row>
    <x:row r="18">
      <x:c r="A18" t="str">
        <x:v>PUBMED-2365764</x:v>
      </x:c>
      <x:c r="B18" t="n">
        <x:v>1990</x:v>
      </x:c>
      <x:c r="C18" t="str">
        <x:v>2365764</x:v>
      </x:c>
      <x:c r="D18" s="14" t="str">
        <x:v>Family factors associated with aggressive symptomatology in boys with attention deficit hyperactivity disorder: a research note.</x:v>
      </x:c>
      <x:c r="E18" s="14" t="str">
        <x:v>Primary/contextual journal article</x:v>
      </x:c>
      <x:c r="F18" s="14" t="str">
        <x:v>Development &amp; presentation; Family &amp; education; Social &amp; structural; Environmental &amp; lifestyle; Historical &amp; contemporary context</x:v>
      </x:c>
      <x:c r="G18" s="14" t="str">
        <x:v>Childhood; Adolescence</x:v>
      </x:c>
      <x:c r="H18" s="32" t="e">
        <x:f>HYPERLINK("https://pubmed.ncbi.nlm.nih.gov/"&amp;C18&amp;"/","Open PubMed")</x:f>
        <x:v>HYPERLINK is not implemented. linkLocation=https://pubmed.ncbi.nlm.nih.gov/2365764/, friendlyName=Open PubMed</x:v>
      </x:c>
    </x:row>
    <x:row r="19">
      <x:c r="A19" t="str">
        <x:v>PUBMED-2228922</x:v>
      </x:c>
      <x:c r="B19" t="n">
        <x:v>1990</x:v>
      </x:c>
      <x:c r="C19" t="str">
        <x:v>2228922</x:v>
      </x:c>
      <x:c r="D19" s="14" t="str">
        <x:v>Clinical effects of a controlled trial of methylphenidate on adolescents with attention deficit disorder.</x:v>
      </x:c>
      <x:c r="E19" s="14" t="str">
        <x:v>Primary study - clinical trial</x:v>
      </x:c>
      <x:c r="F19" s="14" t="str">
        <x:v>Development &amp; presentation; Recognition &amp; diagnosis; Family &amp; education; Social &amp; structural; Treatment &amp; support</x:v>
      </x:c>
      <x:c r="G19" s="14" t="str">
        <x:v>Adolescence</x:v>
      </x:c>
      <x:c r="H19" s="32" t="e">
        <x:f>HYPERLINK("https://pubmed.ncbi.nlm.nih.gov/"&amp;C19&amp;"/","Open PubMed")</x:f>
        <x:v>HYPERLINK is not implemented. linkLocation=https://pubmed.ncbi.nlm.nih.gov/2228922/, friendlyName=Open PubMed</x:v>
      </x:c>
    </x:row>
    <x:row r="20">
      <x:c r="A20" t="str">
        <x:v>PUBMED-2235277</x:v>
      </x:c>
      <x:c r="B20" t="n">
        <x:v>1990</x:v>
      </x:c>
      <x:c r="C20" t="str">
        <x:v>2235277</x:v>
      </x:c>
      <x:c r="D20" s="14" t="str">
        <x:v>The diagnostic value of cerebellar-vestibular tests in detecting learning disabilities, dyslexia, and attention deficit disorder.</x:v>
      </x:c>
      <x:c r="E20" s="14" t="str">
        <x:v>Primary/contextual journal article</x:v>
      </x:c>
      <x:c r="F20" s="14" t="str">
        <x:v>Development &amp; presentation; Recognition &amp; diagnosis; Family &amp; education; Life outcomes &amp; lived experience</x:v>
      </x:c>
      <x:c r="G20" s="14" t="str">
        <x:v>Adolescence</x:v>
      </x:c>
      <x:c r="H20" s="32" t="e">
        <x:f>HYPERLINK("https://pubmed.ncbi.nlm.nih.gov/"&amp;C20&amp;"/","Open PubMed")</x:f>
        <x:v>HYPERLINK is not implemented. linkLocation=https://pubmed.ncbi.nlm.nih.gov/2235277/, friendlyName=Open PubMed</x:v>
      </x:c>
    </x:row>
    <x:row r="21">
      <x:c r="A21" t="str">
        <x:v>PUBMED-2266220</x:v>
      </x:c>
      <x:c r="B21" t="n">
        <x:v>1990</x:v>
      </x:c>
      <x:c r="C21" t="str">
        <x:v>2266220</x:v>
      </x:c>
      <x:c r="D21" s="14" t="str">
        <x:v>The frequency and significance of additional self-reported psychiatric diagnoses in children with attention deficit disorder.</x:v>
      </x:c>
      <x:c r="E21" s="14" t="str">
        <x:v>Primary/contextual journal article</x:v>
      </x:c>
      <x:c r="F21" s="14" t="str">
        <x:v>Development &amp; presentation; Recognition &amp; diagnosis; Family &amp; education; Social &amp; structural; Treatment &amp; support</x:v>
      </x:c>
      <x:c r="G21" s="14" t="str">
        <x:v>Childhood; Adolescence</x:v>
      </x:c>
      <x:c r="H21" s="32" t="e">
        <x:f>HYPERLINK("https://pubmed.ncbi.nlm.nih.gov/"&amp;C21&amp;"/","Open PubMed")</x:f>
        <x:v>HYPERLINK is not implemented. linkLocation=https://pubmed.ncbi.nlm.nih.gov/2266220/, friendlyName=Open PubMed</x:v>
      </x:c>
    </x:row>
    <x:row r="22">
      <x:c r="A22" t="str">
        <x:v>PUBMED-2387786</x:v>
      </x:c>
      <x:c r="B22" t="n">
        <x:v>1990</x:v>
      </x:c>
      <x:c r="C22" t="str">
        <x:v>2387786</x:v>
      </x:c>
      <x:c r="D22" s="14" t="str">
        <x:v>Family-genetic and psychosocial risk factors in DSM-III attention deficit disorder.</x:v>
      </x:c>
      <x:c r="E22" s="14" t="str">
        <x:v>Primary/contextual journal article</x:v>
      </x:c>
      <x:c r="F22" s="14" t="str">
        <x:v>Development &amp; presentation; Recognition &amp; diagnosis; Family &amp; education; Social &amp; structural; Environmental &amp; lifestyle</x:v>
      </x:c>
      <x:c r="G22" s="14" t="str">
        <x:v>Childhood; Adolescence</x:v>
      </x:c>
      <x:c r="H22" s="32" t="e">
        <x:f>HYPERLINK("https://pubmed.ncbi.nlm.nih.gov/"&amp;C22&amp;"/","Open PubMed")</x:f>
        <x:v>HYPERLINK is not implemented. linkLocation=https://pubmed.ncbi.nlm.nih.gov/2387786/, friendlyName=Open PubMed</x:v>
      </x:c>
    </x:row>
    <x:row r="23">
      <x:c r="A23" t="str">
        <x:v>PUBMED-2326123</x:v>
      </x:c>
      <x:c r="B23" t="n">
        <x:v>1990</x:v>
      </x:c>
      <x:c r="C23" t="str">
        <x:v>2326123</x:v>
      </x:c>
      <x:c r="D23" s="14" t="str">
        <x:v>Attention of hyperactive preschool children--electrodermal activity during auditory stimulation.</x:v>
      </x:c>
      <x:c r="E23" s="14" t="str">
        <x:v>Primary/contextual journal article</x:v>
      </x:c>
      <x:c r="F23" s="14" t="str">
        <x:v>Development &amp; presentation; Family &amp; education</x:v>
      </x:c>
      <x:c r="G23" s="14" t="str">
        <x:v>Childhood</x:v>
      </x:c>
      <x:c r="H23" s="32" t="e">
        <x:f>HYPERLINK("https://pubmed.ncbi.nlm.nih.gov/"&amp;C23&amp;"/","Open PubMed")</x:f>
        <x:v>HYPERLINK is not implemented. linkLocation=https://pubmed.ncbi.nlm.nih.gov/2326123/, friendlyName=Open PubMed</x:v>
      </x:c>
    </x:row>
    <x:row r="24">
      <x:c r="A24" t="str">
        <x:v>PUBMED-2228921</x:v>
      </x:c>
      <x:c r="B24" t="n">
        <x:v>1990</x:v>
      </x:c>
      <x:c r="C24" t="str">
        <x:v>2228921</x:v>
      </x:c>
      <x:c r="D24" s="14" t="str">
        <x:v>Parent-based diagnosis of attention deficit disorder predicts a diagnosis based on teacher report.</x:v>
      </x:c>
      <x:c r="E24" s="14" t="str">
        <x:v>Primary/contextual journal article</x:v>
      </x:c>
      <x:c r="F24" s="14" t="str">
        <x:v>Development &amp; presentation; Recognition &amp; diagnosis; Family &amp; education; Social &amp; structural; Environmental &amp; lifestyle</x:v>
      </x:c>
      <x:c r="G24" s="14" t="str">
        <x:v>Childhood; Adolescence</x:v>
      </x:c>
      <x:c r="H24" s="32" t="e">
        <x:f>HYPERLINK("https://pubmed.ncbi.nlm.nih.gov/"&amp;C24&amp;"/","Open PubMed")</x:f>
        <x:v>HYPERLINK is not implemented. linkLocation=https://pubmed.ncbi.nlm.nih.gov/2228921/, friendlyName=Open PubMed</x:v>
      </x:c>
    </x:row>
    <x:row r="25">
      <x:c r="A25" t="str">
        <x:v>PUBMED-2273073</x:v>
      </x:c>
      <x:c r="B25" t="n">
        <x:v>1990</x:v>
      </x:c>
      <x:c r="C25" t="str">
        <x:v>2273073</x:v>
      </x:c>
      <x:c r="D25" s="14" t="str">
        <x:v>The effects of behavioral parent training on families with young hyperactive children.</x:v>
      </x:c>
      <x:c r="E25" s="14" t="str">
        <x:v>Primary/contextual journal article</x:v>
      </x:c>
      <x:c r="F25" s="14" t="str">
        <x:v>Development &amp; presentation; Recognition &amp; diagnosis; Family &amp; education; Social &amp; structural; Environmental &amp; lifestyle; Treatment &amp; support; Life outcomes &amp; lived experience</x:v>
      </x:c>
      <x:c r="G25" s="14" t="str">
        <x:v>Childhood</x:v>
      </x:c>
      <x:c r="H25" s="32" t="e">
        <x:f>HYPERLINK("https://pubmed.ncbi.nlm.nih.gov/"&amp;C25&amp;"/","Open PubMed")</x:f>
        <x:v>HYPERLINK is not implemented. linkLocation=https://pubmed.ncbi.nlm.nih.gov/2273073/, friendlyName=Open PubMed</x:v>
      </x:c>
    </x:row>
    <x:row r="26">
      <x:c r="A26" t="str">
        <x:v>PUBMED-2198308</x:v>
      </x:c>
      <x:c r="B26" t="n">
        <x:v>1990</x:v>
      </x:c>
      <x:c r="C26" t="str">
        <x:v>2198308</x:v>
      </x:c>
      <x:c r="D26" s="14" t="str">
        <x:v>Social judgment processes in hyperactive boys: effects of methylphenidate and comparisons with normal peers.</x:v>
      </x:c>
      <x:c r="E26" s="14" t="str">
        <x:v>Primary study - clinical trial</x:v>
      </x:c>
      <x:c r="F26" s="14" t="str">
        <x:v>Development &amp; presentation; Social &amp; structural; Treatment &amp; support</x:v>
      </x:c>
      <x:c r="G26" s="14" t="str">
        <x:v>Childhood</x:v>
      </x:c>
      <x:c r="H26" s="32" t="e">
        <x:f>HYPERLINK("https://pubmed.ncbi.nlm.nih.gov/"&amp;C26&amp;"/","Open PubMed")</x:f>
        <x:v>HYPERLINK is not implemented. linkLocation=https://pubmed.ncbi.nlm.nih.gov/2198308/, friendlyName=Open PubMed</x:v>
      </x:c>
    </x:row>
    <x:row r="27">
      <x:c r="A27" t="str">
        <x:v>PUBMED-2228924</x:v>
      </x:c>
      <x:c r="B27" t="n">
        <x:v>1990</x:v>
      </x:c>
      <x:c r="C27" t="str">
        <x:v>2228924</x:v>
      </x:c>
      <x:c r="D27" s="14" t="str">
        <x:v>Effects of methylphenidate on adolescents with aggressive conduct disorder and ADDH: a preliminary report.</x:v>
      </x:c>
      <x:c r="E27" s="14" t="str">
        <x:v>Primary study - clinical trial</x:v>
      </x:c>
      <x:c r="F27" s="14" t="str">
        <x:v>Development &amp; presentation; Recognition &amp; diagnosis; Family &amp; education; Social &amp; structural; Environmental &amp; lifestyle; Treatment &amp; support</x:v>
      </x:c>
      <x:c r="G27" s="14" t="str">
        <x:v>Adolescence</x:v>
      </x:c>
      <x:c r="H27" s="32" t="e">
        <x:f>HYPERLINK("https://pubmed.ncbi.nlm.nih.gov/"&amp;C27&amp;"/","Open PubMed")</x:f>
        <x:v>HYPERLINK is not implemented. linkLocation=https://pubmed.ncbi.nlm.nih.gov/2228924/, friendlyName=Open PubMed</x:v>
      </x:c>
    </x:row>
    <x:row r="28">
      <x:c r="A28" t="str">
        <x:v>PUBMED-2228923</x:v>
      </x:c>
      <x:c r="B28" t="n">
        <x:v>1990</x:v>
      </x:c>
      <x:c r="C28" t="str">
        <x:v>2228923</x:v>
      </x:c>
      <x:c r="D28" s="14" t="str">
        <x:v>Methylphenidate in aggressive-hyperactive boys: I. Effects on peer aggression in public school settings.</x:v>
      </x:c>
      <x:c r="E28" s="14" t="str">
        <x:v>Primary study - clinical trial</x:v>
      </x:c>
      <x:c r="F28" s="14" t="str">
        <x:v>Development &amp; presentation; Family &amp; education; Social &amp; structural; Environmental &amp; lifestyle; Treatment &amp; support; Life outcomes &amp; lived experience</x:v>
      </x:c>
      <x:c r="G28" s="14" t="str">
        <x:v>Childhood</x:v>
      </x:c>
      <x:c r="H28" s="32" t="e">
        <x:f>HYPERLINK("https://pubmed.ncbi.nlm.nih.gov/"&amp;C28&amp;"/","Open PubMed")</x:f>
        <x:v>HYPERLINK is not implemented. linkLocation=https://pubmed.ncbi.nlm.nih.gov/2228923/, friendlyName=Open PubMed</x:v>
      </x:c>
    </x:row>
    <x:row r="29">
      <x:c r="A29" t="str">
        <x:v>PUBMED-2346989</x:v>
      </x:c>
      <x:c r="B29" t="n">
        <x:v>1990</x:v>
      </x:c>
      <x:c r="C29" t="str">
        <x:v>2346989</x:v>
      </x:c>
      <x:c r="D29" s="14" t="str">
        <x:v>[Changes in the concept of minimal brain dysfunction in modern diagnostic classification and its manifestation in our theory and practice].</x:v>
      </x:c>
      <x:c r="E29" s="14" t="str">
        <x:v>Primary/contextual journal article</x:v>
      </x:c>
      <x:c r="F29" s="14" t="str">
        <x:v>Development &amp; presentation; Recognition &amp; diagnosis; Family &amp; education; Social &amp; structural; Life outcomes &amp; lived experience</x:v>
      </x:c>
      <x:c r="G29" s="14" t="str">
        <x:v>Childhood; Adulthood</x:v>
      </x:c>
      <x:c r="H29" s="32" t="e">
        <x:f>HYPERLINK("https://pubmed.ncbi.nlm.nih.gov/"&amp;C29&amp;"/","Open PubMed")</x:f>
        <x:v>HYPERLINK is not implemented. linkLocation=https://pubmed.ncbi.nlm.nih.gov/2346989/, friendlyName=Open PubMed</x:v>
      </x:c>
    </x:row>
    <x:row r="30">
      <x:c r="A30" t="str">
        <x:v>PUBMED-2288166</x:v>
      </x:c>
      <x:c r="B30" t="n">
        <x:v>1990</x:v>
      </x:c>
      <x:c r="C30" t="str">
        <x:v>2288166</x:v>
      </x:c>
      <x:c r="D30" s="14" t="str">
        <x:v>[Are there sex differences in the manifestation of hyperkinetic syndrome?].</x:v>
      </x:c>
      <x:c r="E30" s="14" t="str">
        <x:v>Primary/contextual journal article</x:v>
      </x:c>
      <x:c r="F30" s="14" t="str">
        <x:v>Development &amp; presentation; Recognition &amp; diagnosis; Family &amp; education; Social &amp; structural; Environmental &amp; lifestyle; Treatment &amp; support</x:v>
      </x:c>
      <x:c r="G30" s="14" t="str">
        <x:v>Childhood; Adolescence</x:v>
      </x:c>
      <x:c r="H30" s="32" t="e">
        <x:f>HYPERLINK("https://pubmed.ncbi.nlm.nih.gov/"&amp;C30&amp;"/","Open PubMed")</x:f>
        <x:v>HYPERLINK is not implemented. linkLocation=https://pubmed.ncbi.nlm.nih.gov/2288166/, friendlyName=Open PubMed</x:v>
      </x:c>
    </x:row>
    <x:row r="31">
      <x:c r="A31" t="str">
        <x:v>PUBMED-2212053</x:v>
      </x:c>
      <x:c r="B31" t="n">
        <x:v>1990</x:v>
      </x:c>
      <x:c r="C31" t="str">
        <x:v>2212053</x:v>
      </x:c>
      <x:c r="D31" s="14" t="str">
        <x:v>Situational variability in boys and girls identified as ADHD.</x:v>
      </x:c>
      <x:c r="E31" s="14" t="str">
        <x:v>Primary/contextual journal article</x:v>
      </x:c>
      <x:c r="F31" s="14" t="str">
        <x:v>Development &amp; presentation; Recognition &amp; diagnosis; Family &amp; education; Social &amp; structural; Environmental &amp; lifestyle</x:v>
      </x:c>
      <x:c r="G31" s="14" t="str">
        <x:v>Childhood</x:v>
      </x:c>
      <x:c r="H31" s="32" t="e">
        <x:f>HYPERLINK("https://pubmed.ncbi.nlm.nih.gov/"&amp;C31&amp;"/","Open PubMed")</x:f>
        <x:v>HYPERLINK is not implemented. linkLocation=https://pubmed.ncbi.nlm.nih.gov/2212053/, friendlyName=Open PubMed</x:v>
      </x:c>
    </x:row>
    <x:row r="32">
      <x:c r="A32" t="str">
        <x:v>PUBMED-2319047</x:v>
      </x:c>
      <x:c r="B32" t="n">
        <x:v>1990</x:v>
      </x:c>
      <x:c r="C32" t="str">
        <x:v>2319047</x:v>
      </x:c>
      <x:c r="D32" s="14" t="str">
        <x:v>Methylphenidate and baseball playing in ADHD children: who's on first?</x:v>
      </x:c>
      <x:c r="E32" s="14" t="str">
        <x:v>Primary study - randomized controlled trial</x:v>
      </x:c>
      <x:c r="F32" s="14" t="str">
        <x:v>Development &amp; presentation; Social &amp; structural; Treatment &amp; support</x:v>
      </x:c>
      <x:c r="G32" s="14" t="str">
        <x:v>Childhood</x:v>
      </x:c>
      <x:c r="H32" s="32" t="e">
        <x:f>HYPERLINK("https://pubmed.ncbi.nlm.nih.gov/"&amp;C32&amp;"/","Open PubMed")</x:f>
        <x:v>HYPERLINK is not implemented. linkLocation=https://pubmed.ncbi.nlm.nih.gov/2319047/, friendlyName=Open PubMed</x:v>
      </x:c>
    </x:row>
    <x:row r="33">
      <x:c r="A33" t="str">
        <x:v>PUBMED-2254504</x:v>
      </x:c>
      <x:c r="B33" t="n">
        <x:v>1990</x:v>
      </x:c>
      <x:c r="C33" t="str">
        <x:v>2254504</x:v>
      </x:c>
      <x:c r="D33" s="14" t="str">
        <x:v>The adolescent outcome of hyperactive children diagnosed by research criteria: II. Academic, attentional, and neuropsychological status.</x:v>
      </x:c>
      <x:c r="E33" s="14" t="str">
        <x:v>Primary/contextual journal article</x:v>
      </x:c>
      <x:c r="F33" s="14" t="str">
        <x:v>Development &amp; presentation; Recognition &amp; diagnosis; Family &amp; education; Social &amp; structural; Treatment &amp; support; Life outcomes &amp; lived experience</x:v>
      </x:c>
      <x:c r="G33" s="14" t="str">
        <x:v>Childhood; Adolescence</x:v>
      </x:c>
      <x:c r="H33" s="32" t="e">
        <x:f>HYPERLINK("https://pubmed.ncbi.nlm.nih.gov/"&amp;C33&amp;"/","Open PubMed")</x:f>
        <x:v>HYPERLINK is not implemented. linkLocation=https://pubmed.ncbi.nlm.nih.gov/2254504/, friendlyName=Open PubMed</x:v>
      </x:c>
    </x:row>
    <x:row r="34">
      <x:c r="A34" t="str">
        <x:v>PUBMED-2346992</x:v>
      </x:c>
      <x:c r="B34" t="n">
        <x:v>1990</x:v>
      </x:c>
      <x:c r="C34" t="str">
        <x:v>2346992</x:v>
      </x:c>
      <x:c r="D34" s="14" t="str">
        <x:v>[The importance of nonverbal motor examination methods in screening for minimal brain dysfunction].</x:v>
      </x:c>
      <x:c r="E34" s="14" t="str">
        <x:v>Primary/contextual journal article</x:v>
      </x:c>
      <x:c r="F34" s="14" t="str">
        <x:v>Development &amp; presentation; Recognition &amp; diagnosis; Family &amp; education; Social &amp; structural; Life outcomes &amp; lived experience</x:v>
      </x:c>
      <x:c r="G34" s="14" t="str">
        <x:v>Childhood</x:v>
      </x:c>
      <x:c r="H34" s="32" t="e">
        <x:f>HYPERLINK("https://pubmed.ncbi.nlm.nih.gov/"&amp;C34&amp;"/","Open PubMed")</x:f>
        <x:v>HYPERLINK is not implemented. linkLocation=https://pubmed.ncbi.nlm.nih.gov/2346992/, friendlyName=Open PubMed</x:v>
      </x:c>
    </x:row>
    <x:row r="35">
      <x:c r="A35" t="str">
        <x:v>PUBMED-2397543</x:v>
      </x:c>
      <x:c r="B35" t="n">
        <x:v>1990</x:v>
      </x:c>
      <x:c r="C35" t="str">
        <x:v>2397543</x:v>
      </x:c>
      <x:c r="D35" s="14" t="str">
        <x:v>[Preliminary study of traditional Chinese medicine treatment of minimal brain dysfunction: analysis of 100 cases].</x:v>
      </x:c>
      <x:c r="E35" s="14" t="str">
        <x:v>Primary study - randomized controlled trial</x:v>
      </x:c>
      <x:c r="F35" s="14" t="str">
        <x:v>Development &amp; presentation; Recognition &amp; diagnosis; Social &amp; structural; Treatment &amp; support</x:v>
      </x:c>
      <x:c r="G35" s="14" t="str">
        <x:v>Childhood; Adolescence</x:v>
      </x:c>
      <x:c r="H35" s="32" t="e">
        <x:f>HYPERLINK("https://pubmed.ncbi.nlm.nih.gov/"&amp;C35&amp;"/","Open PubMed")</x:f>
        <x:v>HYPERLINK is not implemented. linkLocation=https://pubmed.ncbi.nlm.nih.gov/2397543/, friendlyName=Open PubMed</x:v>
      </x:c>
    </x:row>
    <x:row r="36">
      <x:c r="A36" t="str">
        <x:v>PUBMED-20876182</x:v>
      </x:c>
      <x:c r="B36" t="n">
        <x:v>2010</x:v>
      </x:c>
      <x:c r="C36" t="str">
        <x:v>20876182</x:v>
      </x:c>
      <x:c r="D36" s="14" t="str">
        <x:v>Gender, attention-deficit/hyperactivity disorder, and reading disability in a population-based birth cohort.</x:v>
      </x:c>
      <x:c r="E36" s="14" t="str">
        <x:v>Primary study - cohort</x:v>
      </x:c>
      <x:c r="F36" s="14" t="str">
        <x:v>Development &amp; presentation; Recognition &amp; diagnosis; Family &amp; education; Social &amp; structural; Environmental &amp; lifestyle</x:v>
      </x:c>
      <x:c r="G36" s="14" t="str">
        <x:v>Childhood</x:v>
      </x:c>
      <x:c r="H36" s="32" t="e">
        <x:f>HYPERLINK("https://pubmed.ncbi.nlm.nih.gov/"&amp;C36&amp;"/","Open PubMed")</x:f>
        <x:v>HYPERLINK is not implemented. linkLocation=https://pubmed.ncbi.nlm.nih.gov/20876182/, friendlyName=Open PubMed</x:v>
      </x:c>
    </x:row>
    <x:row r="37">
      <x:c r="A37" t="str">
        <x:v>PUBMED-21206548</x:v>
      </x:c>
      <x:c r="B37" t="n">
        <x:v>2010</x:v>
      </x:c>
      <x:c r="C37" t="str">
        <x:v>21206548</x:v>
      </x:c>
      <x:c r="D37" s="14" t="str">
        <x:v>Differences between objective and subjective sleep measures in children with attention deficit hyperactivity disorder.</x:v>
      </x:c>
      <x:c r="E37" s="14" t="str">
        <x:v>Primary study - case-control</x:v>
      </x:c>
      <x:c r="F37" s="14" t="str">
        <x:v>Development &amp; presentation; Recognition &amp; diagnosis; Family &amp; education; Social &amp; structural; Environmental &amp; lifestyle; Treatment &amp; support; Life outcomes &amp; lived experience</x:v>
      </x:c>
      <x:c r="G37" s="14" t="str">
        <x:v>Childhood</x:v>
      </x:c>
      <x:c r="H37" s="32" t="e">
        <x:f>HYPERLINK("https://pubmed.ncbi.nlm.nih.gov/"&amp;C37&amp;"/","Open PubMed")</x:f>
        <x:v>HYPERLINK is not implemented. linkLocation=https://pubmed.ncbi.nlm.nih.gov/21206548/, friendlyName=Open PubMed</x:v>
      </x:c>
    </x:row>
    <x:row r="38">
      <x:c r="A38" t="str">
        <x:v>PUBMED-20817551</x:v>
      </x:c>
      <x:c r="B38" t="n">
        <x:v>2010</x:v>
      </x:c>
      <x:c r="C38" t="str">
        <x:v>20817551</x:v>
      </x:c>
      <x:c r="D38" s="14" t="str">
        <x:v>Sleep disorders and daytime sleepiness in children with attention-deficit/hyperactivity disorder: a two-night polysomnographic study with a multiple sleep latency test.</x:v>
      </x:c>
      <x:c r="E38" s="14" t="str">
        <x:v>Primary study - case-control</x:v>
      </x:c>
      <x:c r="F38" s="14" t="str">
        <x:v>Development &amp; presentation; Recognition &amp; diagnosis; Family &amp; education; Social &amp; structural; Environmental &amp; lifestyle; Treatment &amp; support</x:v>
      </x:c>
      <x:c r="G38" s="14" t="str">
        <x:v>Childhood</x:v>
      </x:c>
      <x:c r="H38" s="32" t="e">
        <x:f>HYPERLINK("https://pubmed.ncbi.nlm.nih.gov/"&amp;C38&amp;"/","Open PubMed")</x:f>
        <x:v>HYPERLINK is not implemented. linkLocation=https://pubmed.ncbi.nlm.nih.gov/20817551/, friendlyName=Open PubMed</x:v>
      </x:c>
    </x:row>
    <x:row r="39">
      <x:c r="A39" t="str">
        <x:v>PUBMED-21133329</x:v>
      </x:c>
      <x:c r="B39" t="n">
        <x:v>2010</x:v>
      </x:c>
      <x:c r="C39" t="str">
        <x:v>21133329</x:v>
      </x:c>
      <x:c r="D39" s="14" t="str">
        <x:v>Speeding through the frat house: a qualitative exploration of nonmedical ADHD stimulant use in fraternities.</x:v>
      </x:c>
      <x:c r="E39" s="14" t="str">
        <x:v>Primary study - qualitative</x:v>
      </x:c>
      <x:c r="F39" s="14" t="str">
        <x:v>Development &amp; presentation; Family &amp; education; Social &amp; structural; Environmental &amp; lifestyle; Treatment &amp; support; Life outcomes &amp; lived experience</x:v>
      </x:c>
      <x:c r="G39" s="14" t="str">
        <x:v>Not specified</x:v>
      </x:c>
      <x:c r="H39" s="32" t="e">
        <x:f>HYPERLINK("https://pubmed.ncbi.nlm.nih.gov/"&amp;C39&amp;"/","Open PubMed")</x:f>
        <x:v>HYPERLINK is not implemented. linkLocation=https://pubmed.ncbi.nlm.nih.gov/21133329/, friendlyName=Open PubMed</x:v>
      </x:c>
    </x:row>
    <x:row r="40">
      <x:c r="A40" t="str">
        <x:v>PUBMED-21432603</x:v>
      </x:c>
      <x:c r="B40" t="n">
        <x:v>2010</x:v>
      </x:c>
      <x:c r="C40" t="str">
        <x:v>21432603</x:v>
      </x:c>
      <x:c r="D40" s="14" t="str">
        <x:v>The quality of life of children and adolescents with ADHD undergoing outpatient psychiatric treatment: simple disorders of activity and attention and hyperkinetic conduct disorders in comparison with each other and with other diagnostic groups.</x:v>
      </x:c>
      <x:c r="E40" s="14" t="str">
        <x:v>Primary study - cross-sectional</x:v>
      </x:c>
      <x:c r="F40" s="14" t="str">
        <x:v>Development &amp; presentation; Recognition &amp; diagnosis; Family &amp; education; Social &amp; structural; Environmental &amp; lifestyle; Treatment &amp; support; Life outcomes &amp; lived experience</x:v>
      </x:c>
      <x:c r="G40" s="14" t="str">
        <x:v>Childhood; Adolescence</x:v>
      </x:c>
      <x:c r="H40" s="32" t="e">
        <x:f>HYPERLINK("https://pubmed.ncbi.nlm.nih.gov/"&amp;C40&amp;"/","Open PubMed")</x:f>
        <x:v>HYPERLINK is not implemented. linkLocation=https://pubmed.ncbi.nlm.nih.gov/21432603/, friendlyName=Open PubMed</x:v>
      </x:c>
    </x:row>
    <x:row r="41">
      <x:c r="A41" t="str">
        <x:v>PUBMED-21095960</x:v>
      </x:c>
      <x:c r="B41" t="n">
        <x:v>2010</x:v>
      </x:c>
      <x:c r="C41" t="str">
        <x:v>21095960</x:v>
      </x:c>
      <x:c r="D41" s="14" t="str">
        <x:v>Assisted diagnosis of attention-deficit hyperactivity disorder through EEG bandpower clustering with self-organizing maps.</x:v>
      </x:c>
      <x:c r="E41" s="14" t="str">
        <x:v>Primary study - case-control</x:v>
      </x:c>
      <x:c r="F41" s="14" t="str">
        <x:v>Development &amp; presentation; Recognition &amp; diagnosis; Social &amp; structural</x:v>
      </x:c>
      <x:c r="G41" s="14" t="str">
        <x:v>Childhood</x:v>
      </x:c>
      <x:c r="H41" s="32" t="e">
        <x:f>HYPERLINK("https://pubmed.ncbi.nlm.nih.gov/"&amp;C41&amp;"/","Open PubMed")</x:f>
        <x:v>HYPERLINK is not implemented. linkLocation=https://pubmed.ncbi.nlm.nih.gov/21095960/, friendlyName=Open PubMed</x:v>
      </x:c>
    </x:row>
    <x:row r="42">
      <x:c r="A42" t="str">
        <x:v>PUBMED-20814340</x:v>
      </x:c>
      <x:c r="B42" t="n">
        <x:v>2010</x:v>
      </x:c>
      <x:c r="C42" t="str">
        <x:v>20814340</x:v>
      </x:c>
      <x:c r="D42" s="14" t="str">
        <x:v>Associations between sleep and inattentive/hyperactive problem behavior among foster and community children.</x:v>
      </x:c>
      <x:c r="E42" s="14" t="str">
        <x:v>Primary study - case-control</x:v>
      </x:c>
      <x:c r="F42" s="14" t="str">
        <x:v>Development &amp; presentation; Recognition &amp; diagnosis; Family &amp; education; Social &amp; structural; Environmental &amp; lifestyle; Treatment &amp; support; Life outcomes &amp; lived experience</x:v>
      </x:c>
      <x:c r="G42" s="14" t="str">
        <x:v>Childhood</x:v>
      </x:c>
      <x:c r="H42" s="32" t="e">
        <x:f>HYPERLINK("https://pubmed.ncbi.nlm.nih.gov/"&amp;C42&amp;"/","Open PubMed")</x:f>
        <x:v>HYPERLINK is not implemented. linkLocation=https://pubmed.ncbi.nlm.nih.gov/20814340/, friendlyName=Open PubMed</x:v>
      </x:c>
    </x:row>
    <x:row r="43">
      <x:c r="A43" t="str">
        <x:v>PUBMED-20580842</x:v>
      </x:c>
      <x:c r="B43" t="n">
        <x:v>2010</x:v>
      </x:c>
      <x:c r="C43" t="str">
        <x:v>20580842</x:v>
      </x:c>
      <x:c r="D43" s="14" t="str">
        <x:v>Assessment of stigma associated with attention-deficit hyperactivity disorder: psychometric evaluation of the ADHD stigma questionnaire.</x:v>
      </x:c>
      <x:c r="E43" s="14" t="str">
        <x:v>Primary study - cohort</x:v>
      </x:c>
      <x:c r="F43" s="14" t="str">
        <x:v>Development &amp; presentation; Recognition &amp; diagnosis; Family &amp; education; Social &amp; structural; Life outcomes &amp; lived experience; Historical &amp; contemporary context</x:v>
      </x:c>
      <x:c r="G43" s="14" t="str">
        <x:v>Childhood; Adolescence</x:v>
      </x:c>
      <x:c r="H43" s="32" t="e">
        <x:f>HYPERLINK("https://pubmed.ncbi.nlm.nih.gov/"&amp;C43&amp;"/","Open PubMed")</x:f>
        <x:v>HYPERLINK is not implemented. linkLocation=https://pubmed.ncbi.nlm.nih.gov/20580842/, friendlyName=Open PubMed</x:v>
      </x:c>
    </x:row>
    <x:row r="44">
      <x:c r="A44" t="str">
        <x:v>PUBMED-20410701</x:v>
      </x:c>
      <x:c r="B44" t="n">
        <x:v>2010</x:v>
      </x:c>
      <x:c r="C44" t="str">
        <x:v>20410701</x:v>
      </x:c>
      <x:c r="D44" s="14" t="str">
        <x:v>Relationships between child-reported activity level and task orientation and parental attention-deficit/hyperactivity disorder symptom ratings.</x:v>
      </x:c>
      <x:c r="E44" s="14" t="str">
        <x:v>Primary study - cohort</x:v>
      </x:c>
      <x:c r="F44" s="14" t="str">
        <x:v>Development &amp; presentation; Recognition &amp; diagnosis; Family &amp; education; Social &amp; structural; Life outcomes &amp; lived experience</x:v>
      </x:c>
      <x:c r="G44" s="14" t="str">
        <x:v>Childhood</x:v>
      </x:c>
      <x:c r="H44" s="32" t="e">
        <x:f>HYPERLINK("https://pubmed.ncbi.nlm.nih.gov/"&amp;C44&amp;"/","Open PubMed")</x:f>
        <x:v>HYPERLINK is not implemented. linkLocation=https://pubmed.ncbi.nlm.nih.gov/20410701/, friendlyName=Open PubMed</x:v>
      </x:c>
    </x:row>
    <x:row r="45">
      <x:c r="A45" t="str">
        <x:v>PUBMED-20218799</x:v>
      </x:c>
      <x:c r="B45" t="n">
        <x:v>2010</x:v>
      </x:c>
      <x:c r="C45" t="str">
        <x:v>20218799</x:v>
      </x:c>
      <x:c r="D45" s="14" t="str">
        <x:v>Neurochemical alterations in women with borderline personality disorder and comorbid attention-deficit hyperactivity disorder.</x:v>
      </x:c>
      <x:c r="E45" s="14" t="str">
        <x:v>Primary study - case-control</x:v>
      </x:c>
      <x:c r="F45" s="14" t="str">
        <x:v>Development &amp; presentation; Family &amp; education; Social &amp; structural; Treatment &amp; support</x:v>
      </x:c>
      <x:c r="G45" s="14" t="str">
        <x:v>Adulthood</x:v>
      </x:c>
      <x:c r="H45" s="32" t="e">
        <x:f>HYPERLINK("https://pubmed.ncbi.nlm.nih.gov/"&amp;C45&amp;"/","Open PubMed")</x:f>
        <x:v>HYPERLINK is not implemented. linkLocation=https://pubmed.ncbi.nlm.nih.gov/20218799/, friendlyName=Open PubMed</x:v>
      </x:c>
    </x:row>
    <x:row r="46">
      <x:c r="A46" t="str">
        <x:v>PUBMED-20730307</x:v>
      </x:c>
      <x:c r="B46" t="n">
        <x:v>2010</x:v>
      </x:c>
      <x:c r="C46" t="str">
        <x:v>20730307</x:v>
      </x:c>
      <x:c r="D46" s="14" t="str">
        <x:v>Executive dysfunction screening and intelectual coefficient measurement in children with attention deficit hyperactivity disorder.</x:v>
      </x:c>
      <x:c r="E46" s="14" t="str">
        <x:v>Primary study - case-control</x:v>
      </x:c>
      <x:c r="F46" s="14" t="str">
        <x:v>Development &amp; presentation; Recognition &amp; diagnosis; Family &amp; education; Social &amp; structural</x:v>
      </x:c>
      <x:c r="G46" s="14" t="str">
        <x:v>Childhood</x:v>
      </x:c>
      <x:c r="H46" s="32" t="e">
        <x:f>HYPERLINK("https://pubmed.ncbi.nlm.nih.gov/"&amp;C46&amp;"/","Open PubMed")</x:f>
        <x:v>HYPERLINK is not implemented. linkLocation=https://pubmed.ncbi.nlm.nih.gov/20730307/, friendlyName=Open PubMed</x:v>
      </x:c>
    </x:row>
    <x:row r="47">
      <x:c r="A47" t="str">
        <x:v>PUBMED-20675839</x:v>
      </x:c>
      <x:c r="B47" t="n">
        <x:v>2010</x:v>
      </x:c>
      <x:c r="C47" t="str">
        <x:v>20675839</x:v>
      </x:c>
      <x:c r="D47" s="14" t="str">
        <x:v>Trends in recognition of and service use for attention-deficit hyperactivity disorder in Britain, 1999-2004.</x:v>
      </x:c>
      <x:c r="E47" s="14" t="str">
        <x:v>Primary study - cross-sectional</x:v>
      </x:c>
      <x:c r="F47" s="14" t="str">
        <x:v>Development &amp; presentation; Recognition &amp; diagnosis; Family &amp; education; Social &amp; structural; Treatment &amp; support; Life outcomes &amp; lived experience</x:v>
      </x:c>
      <x:c r="G47" s="14" t="str">
        <x:v>Childhood; Adolescence</x:v>
      </x:c>
      <x:c r="H47" s="32" t="e">
        <x:f>HYPERLINK("https://pubmed.ncbi.nlm.nih.gov/"&amp;C47&amp;"/","Open PubMed")</x:f>
        <x:v>HYPERLINK is not implemented. linkLocation=https://pubmed.ncbi.nlm.nih.gov/20675839/, friendlyName=Open PubMed</x:v>
      </x:c>
    </x:row>
    <x:row r="48">
      <x:c r="A48" t="str">
        <x:v>PUBMED-20615495</x:v>
      </x:c>
      <x:c r="B48" t="n">
        <x:v>2010</x:v>
      </x:c>
      <x:c r="C48" t="str">
        <x:v>20615495</x:v>
      </x:c>
      <x:c r="D48" s="14" t="str">
        <x:v>What we can and cannot conclude about the relationship between steep temporal reward discounting and hyperactivity-impulsivity symptoms in attention-deficit/hyperactivity disorder.</x:v>
      </x:c>
      <x:c r="E48" s="14" t="str">
        <x:v>Primary study - case-control</x:v>
      </x:c>
      <x:c r="F48" s="14" t="str">
        <x:v>Development &amp; presentation; Life outcomes &amp; lived experience</x:v>
      </x:c>
      <x:c r="G48" s="14" t="str">
        <x:v>Not specified</x:v>
      </x:c>
      <x:c r="H48" s="32" t="e">
        <x:f>HYPERLINK("https://pubmed.ncbi.nlm.nih.gov/"&amp;C48&amp;"/","Open PubMed")</x:f>
        <x:v>HYPERLINK is not implemented. linkLocation=https://pubmed.ncbi.nlm.nih.gov/20615495/, friendlyName=Open PubMed</x:v>
      </x:c>
    </x:row>
    <x:row r="49">
      <x:c r="A49" t="str">
        <x:v>PUBMED-20349396</x:v>
      </x:c>
      <x:c r="B49" t="n">
        <x:v>2010</x:v>
      </x:c>
      <x:c r="C49" t="str">
        <x:v>20349396</x:v>
      </x:c>
      <x:c r="D49" s="14" t="str">
        <x:v>ADHD among a cohort of ethnic minority women.</x:v>
      </x:c>
      <x:c r="E49" s="14" t="str">
        <x:v>Primary study - cohort</x:v>
      </x:c>
      <x:c r="F49" s="14" t="str">
        <x:v>Development &amp; presentation; Recognition &amp; diagnosis; Family &amp; education; Social &amp; structural; Life outcomes &amp; lived experience</x:v>
      </x:c>
      <x:c r="G49" s="14" t="str">
        <x:v>Adolescence; Adulthood</x:v>
      </x:c>
      <x:c r="H49" s="32" t="e">
        <x:f>HYPERLINK("https://pubmed.ncbi.nlm.nih.gov/"&amp;C49&amp;"/","Open PubMed")</x:f>
        <x:v>HYPERLINK is not implemented. linkLocation=https://pubmed.ncbi.nlm.nih.gov/20349396/, friendlyName=Open PubMed</x:v>
      </x:c>
    </x:row>
    <x:row r="50">
      <x:c r="A50" t="str">
        <x:v>PUBMED-20200839</x:v>
      </x:c>
      <x:c r="B50" t="n">
        <x:v>2010</x:v>
      </x:c>
      <x:c r="C50" t="str">
        <x:v>20200839</x:v>
      </x:c>
      <x:c r="D50" s="14" t="str">
        <x:v>[Population-based diagnostic study to compare the DSM-IV and the Questionnaire for screening Latin American schoolchildren and adolescents for attention deficit hyperactivity disorder].</x:v>
      </x:c>
      <x:c r="E50" s="14" t="str">
        <x:v>Primary study - cross-sectional</x:v>
      </x:c>
      <x:c r="F50" s="14" t="str">
        <x:v>Development &amp; presentation; Recognition &amp; diagnosis; Family &amp; education; Social &amp; structural</x:v>
      </x:c>
      <x:c r="G50" s="14" t="str">
        <x:v>Childhood; Adolescence</x:v>
      </x:c>
      <x:c r="H50" s="32" t="e">
        <x:f>HYPERLINK("https://pubmed.ncbi.nlm.nih.gov/"&amp;C50&amp;"/","Open PubMed")</x:f>
        <x:v>HYPERLINK is not implemented. linkLocation=https://pubmed.ncbi.nlm.nih.gov/20200839/, friendlyName=Open PubMed</x:v>
      </x:c>
    </x:row>
    <x:row r="51">
      <x:c r="A51" t="str">
        <x:v>PUBMED-20080984</x:v>
      </x:c>
      <x:c r="B51" t="n">
        <x:v>2010</x:v>
      </x:c>
      <x:c r="C51" t="str">
        <x:v>20080984</x:v>
      </x:c>
      <x:c r="D51" s="14" t="str">
        <x:v>Adult psychiatric outcomes of girls with attention deficit hyperactivity disorder: 11-year follow-up in a longitudinal case-control study.</x:v>
      </x:c>
      <x:c r="E51" s="14" t="str">
        <x:v>Primary study - case-control</x:v>
      </x:c>
      <x:c r="F51" s="14" t="str">
        <x:v>Development &amp; presentation; Recognition &amp; diagnosis; Social &amp; structural; Treatment &amp; support; Life outcomes &amp; lived experience</x:v>
      </x:c>
      <x:c r="G51" s="14" t="str">
        <x:v>Childhood; Adolescence; Adulthood</x:v>
      </x:c>
      <x:c r="H51" s="32" t="e">
        <x:f>HYPERLINK("https://pubmed.ncbi.nlm.nih.gov/"&amp;C51&amp;"/","Open PubMed")</x:f>
        <x:v>HYPERLINK is not implemented. linkLocation=https://pubmed.ncbi.nlm.nih.gov/20080984/, friendlyName=Open PubMed</x:v>
      </x:c>
    </x:row>
    <x:row r="52">
      <x:c r="A52" t="str">
        <x:v>PUBMED-20080521</x:v>
      </x:c>
      <x:c r="B52" t="n">
        <x:v>2010</x:v>
      </x:c>
      <x:c r="C52" t="str">
        <x:v>20080521</x:v>
      </x:c>
      <x:c r="D52" s="14" t="str">
        <x:v>Information needs of parents of children with attention-deficit/hyperactivity disorder.</x:v>
      </x:c>
      <x:c r="E52" s="14" t="str">
        <x:v>Primary study - cohort</x:v>
      </x:c>
      <x:c r="F52" s="14" t="str">
        <x:v>Development &amp; presentation; Recognition &amp; diagnosis; Family &amp; education; Social &amp; structural; Treatment &amp; support; Historical &amp; contemporary context</x:v>
      </x:c>
      <x:c r="G52" s="14" t="str">
        <x:v>Childhood; Adolescence; Adulthood</x:v>
      </x:c>
      <x:c r="H52" s="32" t="e">
        <x:f>HYPERLINK("https://pubmed.ncbi.nlm.nih.gov/"&amp;C52&amp;"/","Open PubMed")</x:f>
        <x:v>HYPERLINK is not implemented. linkLocation=https://pubmed.ncbi.nlm.nih.gov/20080521/, friendlyName=Open PubMed</x:v>
      </x:c>
    </x:row>
    <x:row r="53">
      <x:c r="A53" t="str">
        <x:v>PUBMED-20026087</x:v>
      </x:c>
      <x:c r="B53" t="n">
        <x:v>2010</x:v>
      </x:c>
      <x:c r="C53" t="str">
        <x:v>20026087</x:v>
      </x:c>
      <x:c r="D53" s="14" t="str">
        <x:v>Action monitoring in children with or without a family history of ADHD--effects of gender on an endophenotype parameter.</x:v>
      </x:c>
      <x:c r="E53" s="14" t="str">
        <x:v>Primary study - case-control</x:v>
      </x:c>
      <x:c r="F53" s="14" t="str">
        <x:v>Development &amp; presentation; Recognition &amp; diagnosis; Family &amp; education; Social &amp; structural; Treatment &amp; support; Historical &amp; contemporary context</x:v>
      </x:c>
      <x:c r="G53" s="14" t="str">
        <x:v>Childhood; Adolescence</x:v>
      </x:c>
      <x:c r="H53" s="32" t="e">
        <x:f>HYPERLINK("https://pubmed.ncbi.nlm.nih.gov/"&amp;C53&amp;"/","Open PubMed")</x:f>
        <x:v>HYPERLINK is not implemented. linkLocation=https://pubmed.ncbi.nlm.nih.gov/20026087/, friendlyName=Open PubMed</x:v>
      </x:c>
    </x:row>
    <x:row r="54">
      <x:c r="A54" t="str">
        <x:v>PUBMED-19482837</x:v>
      </x:c>
      <x:c r="B54" t="n">
        <x:v>2010</x:v>
      </x:c>
      <x:c r="C54" t="str">
        <x:v>19482837</x:v>
      </x:c>
      <x:c r="D54" s="14" t="str">
        <x:v>The presence of attention-deficit hyperactivity disorder (ADHD) and obsessive-compulsive disorder worsen psychosocial and educational problems in Tourette syndrome.</x:v>
      </x:c>
      <x:c r="E54" s="14" t="str">
        <x:v>Primary study - cohort</x:v>
      </x:c>
      <x:c r="F54" s="14" t="str">
        <x:v>Development &amp; presentation; Family &amp; education; Social &amp; structural</x:v>
      </x:c>
      <x:c r="G54" s="14" t="str">
        <x:v>Childhood; Adolescence; Adulthood</x:v>
      </x:c>
      <x:c r="H54" s="32" t="e">
        <x:f>HYPERLINK("https://pubmed.ncbi.nlm.nih.gov/"&amp;C54&amp;"/","Open PubMed")</x:f>
        <x:v>HYPERLINK is not implemented. linkLocation=https://pubmed.ncbi.nlm.nih.gov/19482837/, friendlyName=Open PubMed</x:v>
      </x:c>
    </x:row>
    <x:row r="55">
      <x:c r="A55" t="str">
        <x:v>PUBMED-20488672</x:v>
      </x:c>
      <x:c r="B55" t="n">
        <x:v>2010</x:v>
      </x:c>
      <x:c r="C55" t="str">
        <x:v>20488672</x:v>
      </x:c>
      <x:c r="D55" s="14" t="str">
        <x:v>Quantitative MR analysis of caudate abnormalities in pediatric ADHD: proposal for a diagnostic test.</x:v>
      </x:c>
      <x:c r="E55" s="14" t="str">
        <x:v>Primary study - case-control</x:v>
      </x:c>
      <x:c r="F55" s="14" t="str">
        <x:v>Development &amp; presentation; Recognition &amp; diagnosis; Social &amp; structural</x:v>
      </x:c>
      <x:c r="G55" s="14" t="str">
        <x:v>Childhood; Adolescence</x:v>
      </x:c>
      <x:c r="H55" s="32" t="e">
        <x:f>HYPERLINK("https://pubmed.ncbi.nlm.nih.gov/"&amp;C55&amp;"/","Open PubMed")</x:f>
        <x:v>HYPERLINK is not implemented. linkLocation=https://pubmed.ncbi.nlm.nih.gov/20488672/, friendlyName=Open PubMed</x:v>
      </x:c>
    </x:row>
    <x:row r="56">
      <x:c r="A56" t="str">
        <x:v>PUBMED-20129005</x:v>
      </x:c>
      <x:c r="B56" t="n">
        <x:v>2010</x:v>
      </x:c>
      <x:c r="C56" t="str">
        <x:v>20129005</x:v>
      </x:c>
      <x:c r="D56" s="14" t="str">
        <x:v>Bipolar symptoms in adult attention-deficit/hyperactivity disorder: a cross-sectional study of 510 clinically diagnosed patients and 417 population-based controls.</x:v>
      </x:c>
      <x:c r="E56" s="14" t="str">
        <x:v>Primary study - cross-sectional</x:v>
      </x:c>
      <x:c r="F56" s="14" t="str">
        <x:v>Development &amp; presentation; Recognition &amp; diagnosis; Family &amp; education; Social &amp; structural; Life outcomes &amp; lived experience</x:v>
      </x:c>
      <x:c r="G56" s="14" t="str">
        <x:v>Adolescence; Adulthood</x:v>
      </x:c>
      <x:c r="H56" s="32" t="e">
        <x:f>HYPERLINK("https://pubmed.ncbi.nlm.nih.gov/"&amp;C56&amp;"/","Open PubMed")</x:f>
        <x:v>HYPERLINK is not implemented. linkLocation=https://pubmed.ncbi.nlm.nih.gov/20129005/, friendlyName=Open PubMed</x:v>
      </x:c>
    </x:row>
    <x:row r="57">
      <x:c r="A57" t="str">
        <x:v>PUBMED-21391409</x:v>
      </x:c>
      <x:c r="B57" t="n">
        <x:v>2010</x:v>
      </x:c>
      <x:c r="C57" t="str">
        <x:v>21391409</x:v>
      </x:c>
      <x:c r="D57" s="14" t="str">
        <x:v>Disparities in ADHD assessment, diagnosis, and treatment.</x:v>
      </x:c>
      <x:c r="E57" s="14" t="str">
        <x:v>Primary study - cross-sectional</x:v>
      </x:c>
      <x:c r="F57" s="14" t="str">
        <x:v>Development &amp; presentation; Recognition &amp; diagnosis; Family &amp; education; Social &amp; structural; Environmental &amp; lifestyle; Treatment &amp; support; Life outcomes &amp; lived experience</x:v>
      </x:c>
      <x:c r="G57" s="14" t="str">
        <x:v>Childhood; Adolescence</x:v>
      </x:c>
      <x:c r="H57" s="32" t="e">
        <x:f>HYPERLINK("https://pubmed.ncbi.nlm.nih.gov/"&amp;C57&amp;"/","Open PubMed")</x:f>
        <x:v>HYPERLINK is not implemented. linkLocation=https://pubmed.ncbi.nlm.nih.gov/21391409/, friendlyName=Open PubMed</x:v>
      </x:c>
    </x:row>
    <x:row r="58">
      <x:c r="A58" t="str">
        <x:v>PUBMED-21391408</x:v>
      </x:c>
      <x:c r="B58" t="n">
        <x:v>2010</x:v>
      </x:c>
      <x:c r="C58" t="str">
        <x:v>21391408</x:v>
      </x:c>
      <x:c r="D58" s="14" t="str">
        <x:v>Geographic analysis of diagnosis of Attention-Deficit/Hyperactivity Disorder in children: Eastern Wisconsin, USA.</x:v>
      </x:c>
      <x:c r="E58" s="14" t="str">
        <x:v>Primary study - cross-sectional</x:v>
      </x:c>
      <x:c r="F58" s="14" t="str">
        <x:v>Development &amp; presentation; Recognition &amp; diagnosis; Family &amp; education; Social &amp; structural; Environmental &amp; lifestyle</x:v>
      </x:c>
      <x:c r="G58" s="14" t="str">
        <x:v>Childhood; Adolescence</x:v>
      </x:c>
      <x:c r="H58" s="32" t="e">
        <x:f>HYPERLINK("https://pubmed.ncbi.nlm.nih.gov/"&amp;C58&amp;"/","Open PubMed")</x:f>
        <x:v>HYPERLINK is not implemented. linkLocation=https://pubmed.ncbi.nlm.nih.gov/21391408/, friendlyName=Open PubMed</x:v>
      </x:c>
    </x:row>
    <x:row r="59">
      <x:c r="A59" t="str">
        <x:v>PUBMED-19418498</x:v>
      </x:c>
      <x:c r="B59" t="n">
        <x:v>2010</x:v>
      </x:c>
      <x:c r="C59" t="str">
        <x:v>19418498</x:v>
      </x:c>
      <x:c r="D59" s="14" t="str">
        <x:v>Familiality and molecular genetics of attention networks in ADHD.</x:v>
      </x:c>
      <x:c r="E59" s="14" t="str">
        <x:v>Primary study - case-control</x:v>
      </x:c>
      <x:c r="F59" s="14" t="str">
        <x:v>Development &amp; presentation; Recognition &amp; diagnosis; Social &amp; structural; Treatment &amp; support</x:v>
      </x:c>
      <x:c r="G59" s="14" t="str">
        <x:v>Childhood</x:v>
      </x:c>
      <x:c r="H59" s="32" t="e">
        <x:f>HYPERLINK("https://pubmed.ncbi.nlm.nih.gov/"&amp;C59&amp;"/","Open PubMed")</x:f>
        <x:v>HYPERLINK is not implemented. linkLocation=https://pubmed.ncbi.nlm.nih.gov/19418498/, friendlyName=Open PubMed</x:v>
      </x:c>
    </x:row>
    <x:row r="60">
      <x:c r="A60" t="str">
        <x:v>PUBMED-20410711</x:v>
      </x:c>
      <x:c r="B60" t="n">
        <x:v>2010</x:v>
      </x:c>
      <x:c r="C60" t="str">
        <x:v>20410711</x:v>
      </x:c>
      <x:c r="D60" s="14" t="str">
        <x:v>Sex and age differences in attention-deficit/hyperactivity disorder symptoms and diagnoses: implications for DSM-V and ICD-11.</x:v>
      </x:c>
      <x:c r="E60" s="14" t="str">
        <x:v>Primary study - cohort</x:v>
      </x:c>
      <x:c r="F60" s="14" t="str">
        <x:v>Development &amp; presentation; Recognition &amp; diagnosis; Social &amp; structural; Environmental &amp; lifestyle; Historical &amp; contemporary context</x:v>
      </x:c>
      <x:c r="G60" s="14" t="str">
        <x:v>Childhood; Adolescence; Adulthood</x:v>
      </x:c>
      <x:c r="H60" s="32" t="e">
        <x:f>HYPERLINK("https://pubmed.ncbi.nlm.nih.gov/"&amp;C60&amp;"/","Open PubMed")</x:f>
        <x:v>HYPERLINK is not implemented. linkLocation=https://pubmed.ncbi.nlm.nih.gov/20410711/, friendlyName=Open PubMed</x:v>
      </x:c>
    </x:row>
    <x:row r="61">
      <x:c r="A61" t="str">
        <x:v>PUBMED-20140491</x:v>
      </x:c>
      <x:c r="B61" t="n">
        <x:v>2010</x:v>
      </x:c>
      <x:c r="C61" t="str">
        <x:v>20140491</x:v>
      </x:c>
      <x:c r="D61" s="14" t="str">
        <x:v>Competing core processes in attention-deficit/hyperactivity disorder (ADHD): do working memory deficiencies underlie behavioral inhibition deficits?</x:v>
      </x:c>
      <x:c r="E61" s="14" t="str">
        <x:v>Primary study - case-control</x:v>
      </x:c>
      <x:c r="F61" s="14" t="str">
        <x:v>Development &amp; presentation; Recognition &amp; diagnosis; Treatment &amp; support; Life outcomes &amp; lived experience</x:v>
      </x:c>
      <x:c r="G61" s="14" t="str">
        <x:v>Childhood</x:v>
      </x:c>
      <x:c r="H61" s="32" t="e">
        <x:f>HYPERLINK("https://pubmed.ncbi.nlm.nih.gov/"&amp;C61&amp;"/","Open PubMed")</x:f>
        <x:v>HYPERLINK is not implemented. linkLocation=https://pubmed.ncbi.nlm.nih.gov/20140491/, friendlyName=Open PubMed</x:v>
      </x:c>
    </x:row>
    <x:row r="62">
      <x:c r="A62" t="str">
        <x:v>PUBMED-20106937</x:v>
      </x:c>
      <x:c r="B62" t="n">
        <x:v>2010</x:v>
      </x:c>
      <x:c r="C62" t="str">
        <x:v>20106937</x:v>
      </x:c>
      <x:c r="D62" s="14" t="str">
        <x:v>Prenatal organochlorine exposure and behaviors associated with attention deficit hyperactivity disorder in school-aged children.</x:v>
      </x:c>
      <x:c r="E62" s="14" t="str">
        <x:v>Primary study - cohort</x:v>
      </x:c>
      <x:c r="F62" s="14" t="str">
        <x:v>Development &amp; presentation; Recognition &amp; diagnosis; Family &amp; education; Social &amp; structural; Environmental &amp; lifestyle; Treatment &amp; support; Life outcomes &amp; lived experience</x:v>
      </x:c>
      <x:c r="G62" s="14" t="str">
        <x:v>Childhood; Adolescence; Adulthood</x:v>
      </x:c>
      <x:c r="H62" s="32" t="e">
        <x:f>HYPERLINK("https://pubmed.ncbi.nlm.nih.gov/"&amp;C62&amp;"/","Open PubMed")</x:f>
        <x:v>HYPERLINK is not implemented. linkLocation=https://pubmed.ncbi.nlm.nih.gov/20106937/, friendlyName=Open PubMed</x:v>
      </x:c>
    </x:row>
    <x:row r="63">
      <x:c r="A63" t="str">
        <x:v>PUBMED-20002622</x:v>
      </x:c>
      <x:c r="B63" t="n">
        <x:v>2010</x:v>
      </x:c>
      <x:c r="C63" t="str">
        <x:v>20002622</x:v>
      </x:c>
      <x:c r="D63" s="14" t="str">
        <x:v>Social adversity predicts ADHD-medication in school children--a national cohort study.</x:v>
      </x:c>
      <x:c r="E63" s="14" t="str">
        <x:v>Primary study - cohort</x:v>
      </x:c>
      <x:c r="F63" s="14" t="str">
        <x:v>Development &amp; presentation; Family &amp; education; Social &amp; structural; Environmental &amp; lifestyle; Treatment &amp; support</x:v>
      </x:c>
      <x:c r="G63" s="14" t="str">
        <x:v>Childhood</x:v>
      </x:c>
      <x:c r="H63" s="32" t="e">
        <x:f>HYPERLINK("https://pubmed.ncbi.nlm.nih.gov/"&amp;C63&amp;"/","Open PubMed")</x:f>
        <x:v>HYPERLINK is not implemented. linkLocation=https://pubmed.ncbi.nlm.nih.gov/20002622/, friendlyName=Open PubMed</x:v>
      </x:c>
    </x:row>
    <x:row r="64">
      <x:c r="A64" t="str">
        <x:v>PUBMED-19692717</x:v>
      </x:c>
      <x:c r="B64" t="n">
        <x:v>2010</x:v>
      </x:c>
      <x:c r="C64" t="str">
        <x:v>19692717</x:v>
      </x:c>
      <x:c r="D64" s="14" t="str">
        <x:v>Association of attention-deficit/hyperactivity disorder and atopic eczema modified by sleep disturbance in a large population-based sample.</x:v>
      </x:c>
      <x:c r="E64" s="14" t="str">
        <x:v>Primary study - cross-sectional</x:v>
      </x:c>
      <x:c r="F64" s="14" t="str">
        <x:v>Development &amp; presentation; Recognition &amp; diagnosis; Family &amp; education; Social &amp; structural; Environmental &amp; lifestyle</x:v>
      </x:c>
      <x:c r="G64" s="14" t="str">
        <x:v>Childhood; Adolescence</x:v>
      </x:c>
      <x:c r="H64" s="32" t="e">
        <x:f>HYPERLINK("https://pubmed.ncbi.nlm.nih.gov/"&amp;C64&amp;"/","Open PubMed")</x:f>
        <x:v>HYPERLINK is not implemented. linkLocation=https://pubmed.ncbi.nlm.nih.gov/19692717/, friendlyName=Open PubMed</x:v>
      </x:c>
    </x:row>
    <x:row r="65">
      <x:c r="A65" t="str">
        <x:v>PUBMED-19365085</x:v>
      </x:c>
      <x:c r="B65" t="n">
        <x:v>2010</x:v>
      </x:c>
      <x:c r="C65" t="str">
        <x:v>19365085</x:v>
      </x:c>
      <x:c r="D65" s="14" t="str">
        <x:v>Attention deficit/hyperactivity disorder: a survey on prevalence rate among male subjects in elementary school (7 to 9 years old) in Iran.</x:v>
      </x:c>
      <x:c r="E65" s="14" t="str">
        <x:v>Primary study - cross-sectional</x:v>
      </x:c>
      <x:c r="F65" s="14" t="str">
        <x:v>Development &amp; presentation; Recognition &amp; diagnosis; Family &amp; education; Social &amp; structural</x:v>
      </x:c>
      <x:c r="G65" s="14" t="str">
        <x:v>Childhood</x:v>
      </x:c>
      <x:c r="H65" s="32" t="e">
        <x:f>HYPERLINK("https://pubmed.ncbi.nlm.nih.gov/"&amp;C65&amp;"/","Open PubMed")</x:f>
        <x:v>HYPERLINK is not implemented. linkLocation=https://pubmed.ncbi.nlm.nih.gov/19365085/, friendlyName=Open PubMed</x:v>
      </x:c>
    </x:row>
    <x:row r="66">
      <x:c r="A66" t="str">
        <x:v>PUBMED-19270267</x:v>
      </x:c>
      <x:c r="B66" t="n">
        <x:v>2010</x:v>
      </x:c>
      <x:c r="C66" t="str">
        <x:v>19270267</x:v>
      </x:c>
      <x:c r="D66" s="14" t="str">
        <x:v>Attention deficit hyperactivity disorder in men and women newly committed to prison: clinical characteristics, psychiatric comorbidity, and quality of life.</x:v>
      </x:c>
      <x:c r="E66" s="14" t="str">
        <x:v>Primary study - cross-sectional</x:v>
      </x:c>
      <x:c r="F66" s="14" t="str">
        <x:v>Development &amp; presentation; Recognition &amp; diagnosis; Social &amp; structural; Life outcomes &amp; lived experience</x:v>
      </x:c>
      <x:c r="G66" s="14" t="str">
        <x:v>Adulthood</x:v>
      </x:c>
      <x:c r="H66" s="32" t="e">
        <x:f>HYPERLINK("https://pubmed.ncbi.nlm.nih.gov/"&amp;C66&amp;"/","Open PubMed")</x:f>
        <x:v>HYPERLINK is not implemented. linkLocation=https://pubmed.ncbi.nlm.nih.gov/19270267/, friendlyName=Open PubMed</x:v>
      </x:c>
    </x:row>
    <x:row r="67">
      <x:c r="A67" t="str">
        <x:v>PUBMED-42297780</x:v>
      </x:c>
      <x:c r="B67" t="n">
        <x:v>2026</x:v>
      </x:c>
      <x:c r="C67" t="str">
        <x:v>42297780</x:v>
      </x:c>
      <x:c r="D67" s="14" t="str">
        <x:v>Dynamic relationship and pleiotropic loci of attention deficit hyperactivity disorder with sleep traits.</x:v>
      </x:c>
      <x:c r="E67" s="14" t="str">
        <x:v>Primary study - cohort</x:v>
      </x:c>
      <x:c r="F67" s="14" t="str">
        <x:v>Development &amp; presentation; Social &amp; structural; Environmental &amp; lifestyle; Treatment &amp; support; Life outcomes &amp; lived experience</x:v>
      </x:c>
      <x:c r="G67" s="14" t="str">
        <x:v>Childhood; Adolescence</x:v>
      </x:c>
      <x:c r="H67" s="32" t="e">
        <x:f>HYPERLINK("https://pubmed.ncbi.nlm.nih.gov/"&amp;C67&amp;"/","Open PubMed")</x:f>
        <x:v>HYPERLINK is not implemented. linkLocation=https://pubmed.ncbi.nlm.nih.gov/42297780/, friendlyName=Open PubMed</x:v>
      </x:c>
    </x:row>
    <x:row r="68">
      <x:c r="A68" t="str">
        <x:v>PUBMED-42371637</x:v>
      </x:c>
      <x:c r="B68" t="n">
        <x:v>2026</x:v>
      </x:c>
      <x:c r="C68" t="str">
        <x:v>42371637</x:v>
      </x:c>
      <x:c r="D68" s="14" t="str">
        <x:v>Prenatal Acetaminophen (Paracetamol) Use and the Risk of Autism and/or Attention-Deficit/Hyperactivity Disorder Among Sibling-Matched Cohorts.</x:v>
      </x:c>
      <x:c r="E68" s="14" t="str">
        <x:v>Primary study - cohort</x:v>
      </x:c>
      <x:c r="F68" s="14" t="str">
        <x:v>Development &amp; presentation; Recognition &amp; diagnosis; Family &amp; education; Social &amp; structural; Environmental &amp; lifestyle; Treatment &amp; support; Life outcomes &amp; lived experience</x:v>
      </x:c>
      <x:c r="G68" s="14" t="str">
        <x:v>Childhood; Adulthood</x:v>
      </x:c>
      <x:c r="H68" s="32" t="e">
        <x:f>HYPERLINK("https://pubmed.ncbi.nlm.nih.gov/"&amp;C68&amp;"/","Open PubMed")</x:f>
        <x:v>HYPERLINK is not implemented. linkLocation=https://pubmed.ncbi.nlm.nih.gov/42371637/, friendlyName=Open PubMed</x:v>
      </x:c>
    </x:row>
    <x:row r="69">
      <x:c r="A69" t="str">
        <x:v>PUBMED-42467432</x:v>
      </x:c>
      <x:c r="B69" t="n">
        <x:v>2026</x:v>
      </x:c>
      <x:c r="C69" t="str">
        <x:v>42467432</x:v>
      </x:c>
      <x:c r="D69" s="14" t="str">
        <x:v>Problematic Social Media Use and Attention-Deficit/Hyperactivity Disorder Symptoms in Adolescents.</x:v>
      </x:c>
      <x:c r="E69" s="14" t="str">
        <x:v>Primary study - cohort</x:v>
      </x:c>
      <x:c r="F69" s="14" t="str">
        <x:v>Development &amp; presentation; Recognition &amp; diagnosis; Family &amp; education; Social &amp; structural; Environmental &amp; lifestyle; Life outcomes &amp; lived experience; Historical &amp; contemporary context</x:v>
      </x:c>
      <x:c r="G69" s="14" t="str">
        <x:v>Childhood; Adolescence</x:v>
      </x:c>
      <x:c r="H69" s="32" t="e">
        <x:f>HYPERLINK("https://pubmed.ncbi.nlm.nih.gov/"&amp;C69&amp;"/","Open PubMed")</x:f>
        <x:v>HYPERLINK is not implemented. linkLocation=https://pubmed.ncbi.nlm.nih.gov/42467432/, friendlyName=Open PubMed</x:v>
      </x:c>
    </x:row>
    <x:row r="70">
      <x:c r="A70" t="str">
        <x:v>PUBMED-42268594</x:v>
      </x:c>
      <x:c r="B70" t="n">
        <x:v>2026</x:v>
      </x:c>
      <x:c r="C70" t="str">
        <x:v>42268594</x:v>
      </x:c>
      <x:c r="D70" s="14" t="str">
        <x:v>Changes in Genetic Contributions to ASD and ADHD by Year of Diagnosis.</x:v>
      </x:c>
      <x:c r="E70" s="14" t="str">
        <x:v>Primary study - cohort</x:v>
      </x:c>
      <x:c r="F70" s="14" t="str">
        <x:v>Development &amp; presentation; Recognition &amp; diagnosis; Family &amp; education; Social &amp; structural; Environmental &amp; lifestyle; Treatment &amp; support; Life outcomes &amp; lived experience</x:v>
      </x:c>
      <x:c r="G70" s="14" t="str">
        <x:v>Childhood; Adolescence</x:v>
      </x:c>
      <x:c r="H70" s="32" t="e">
        <x:f>HYPERLINK("https://pubmed.ncbi.nlm.nih.gov/"&amp;C70&amp;"/","Open PubMed")</x:f>
        <x:v>HYPERLINK is not implemented. linkLocation=https://pubmed.ncbi.nlm.nih.gov/42268594/, friendlyName=Open PubMed</x:v>
      </x:c>
    </x:row>
    <x:row r="71">
      <x:c r="A71" t="str">
        <x:v>PUBMED-42185531</x:v>
      </x:c>
      <x:c r="B71" t="n">
        <x:v>2026</x:v>
      </x:c>
      <x:c r="C71" t="str">
        <x:v>42185531</x:v>
      </x:c>
      <x:c r="D71" s="14" t="str">
        <x:v>Genetic investigation of the association between maternal dietary patterns and offspring ADHD.</x:v>
      </x:c>
      <x:c r="E71" s="14" t="str">
        <x:v>Primary study - cohort</x:v>
      </x:c>
      <x:c r="F71" s="14" t="str">
        <x:v>Development &amp; presentation; Recognition &amp; diagnosis; Social &amp; structural; Environmental &amp; lifestyle; Treatment &amp; support</x:v>
      </x:c>
      <x:c r="G71" s="14" t="str">
        <x:v>Childhood</x:v>
      </x:c>
      <x:c r="H71" s="32" t="e">
        <x:f>HYPERLINK("https://pubmed.ncbi.nlm.nih.gov/"&amp;C71&amp;"/","Open PubMed")</x:f>
        <x:v>HYPERLINK is not implemented. linkLocation=https://pubmed.ncbi.nlm.nih.gov/42185531/, friendlyName=Open PubMed</x:v>
      </x:c>
    </x:row>
    <x:row r="72">
      <x:c r="A72" t="str">
        <x:v>PUBMED-42537007</x:v>
      </x:c>
      <x:c r="B72" t="n">
        <x:v>2026</x:v>
      </x:c>
      <x:c r="C72" t="str">
        <x:v>42537007</x:v>
      </x:c>
      <x:c r="D72" s="14" t="str">
        <x:v>Attention deficit/hyperactivity disorder diagnosis in adulthood: Prevalence and predictive utility of neuropsychological scales.</x:v>
      </x:c>
      <x:c r="E72" s="14" t="str">
        <x:v>Primary study - cross-sectional</x:v>
      </x:c>
      <x:c r="F72" s="14" t="str">
        <x:v>Development &amp; presentation; Recognition &amp; diagnosis; Family &amp; education; Social &amp; structural</x:v>
      </x:c>
      <x:c r="G72" s="14" t="str">
        <x:v>Adulthood</x:v>
      </x:c>
      <x:c r="H72" s="32" t="e">
        <x:f>HYPERLINK("https://pubmed.ncbi.nlm.nih.gov/"&amp;C72&amp;"/","Open PubMed")</x:f>
        <x:v>HYPERLINK is not implemented. linkLocation=https://pubmed.ncbi.nlm.nih.gov/42537007/, friendlyName=Open PubMed</x:v>
      </x:c>
    </x:row>
    <x:row r="73">
      <x:c r="A73" t="str">
        <x:v>PUBMED-42390514</x:v>
      </x:c>
      <x:c r="B73" t="n">
        <x:v>2026</x:v>
      </x:c>
      <x:c r="C73" t="str">
        <x:v>42390514</x:v>
      </x:c>
      <x:c r="D73" s="14" t="str">
        <x:v>What Predicts Attention-Deficit/Hyperactivity Disorder Literacy in Primary Schoolteachers?</x:v>
      </x:c>
      <x:c r="E73" s="14" t="str">
        <x:v>Primary study - cross-sectional</x:v>
      </x:c>
      <x:c r="F73" s="14" t="str">
        <x:v>Development &amp; presentation; Family &amp; education; Social &amp; structural; Historical &amp; contemporary context</x:v>
      </x:c>
      <x:c r="G73" s="14" t="str">
        <x:v>Childhood; Adulthood</x:v>
      </x:c>
      <x:c r="H73" s="32" t="e">
        <x:f>HYPERLINK("https://pubmed.ncbi.nlm.nih.gov/"&amp;C73&amp;"/","Open PubMed")</x:f>
        <x:v>HYPERLINK is not implemented. linkLocation=https://pubmed.ncbi.nlm.nih.gov/42390514/, friendlyName=Open PubMed</x:v>
      </x:c>
    </x:row>
    <x:row r="74">
      <x:c r="A74" t="str">
        <x:v>PUBMED-42226168</x:v>
      </x:c>
      <x:c r="B74" t="n">
        <x:v>2026</x:v>
      </x:c>
      <x:c r="C74" t="str">
        <x:v>42226168</x:v>
      </x:c>
      <x:c r="D74" s="14" t="str">
        <x:v>Physical activity profiles of attention-deficit/hyperactivity disorder symptoms among preschool children.</x:v>
      </x:c>
      <x:c r="E74" s="14" t="str">
        <x:v>Primary study - case-control</x:v>
      </x:c>
      <x:c r="F74" s="14" t="str">
        <x:v>Development &amp; presentation; Recognition &amp; diagnosis; Family &amp; education; Environmental &amp; lifestyle; Treatment &amp; support</x:v>
      </x:c>
      <x:c r="G74" s="14" t="str">
        <x:v>Childhood</x:v>
      </x:c>
      <x:c r="H74" s="32" t="e">
        <x:f>HYPERLINK("https://pubmed.ncbi.nlm.nih.gov/"&amp;C74&amp;"/","Open PubMed")</x:f>
        <x:v>HYPERLINK is not implemented. linkLocation=https://pubmed.ncbi.nlm.nih.gov/42226168/, friendlyName=Open PubMed</x:v>
      </x:c>
    </x:row>
    <x:row r="75">
      <x:c r="A75" t="str">
        <x:v>PUBMED-42466994</x:v>
      </x:c>
      <x:c r="B75" t="n">
        <x:v>2026</x:v>
      </x:c>
      <x:c r="C75" t="str">
        <x:v>42466994</x:v>
      </x:c>
      <x:c r="D75" s="14" t="str">
        <x:v>"Hormones rule me": A qualitative exploration of the impact of perimenopause on women with ADHD.</x:v>
      </x:c>
      <x:c r="E75" s="14" t="str">
        <x:v>Primary study - qualitative</x:v>
      </x:c>
      <x:c r="F75" s="14" t="str">
        <x:v>Development &amp; presentation; Social &amp; structural; Life outcomes &amp; lived experience; Historical &amp; contemporary context</x:v>
      </x:c>
      <x:c r="G75" s="14" t="str">
        <x:v>Adulthood</x:v>
      </x:c>
      <x:c r="H75" s="32" t="e">
        <x:f>HYPERLINK("https://pubmed.ncbi.nlm.nih.gov/"&amp;C75&amp;"/","Open PubMed")</x:f>
        <x:v>HYPERLINK is not implemented. linkLocation=https://pubmed.ncbi.nlm.nih.gov/42466994/, friendlyName=Open PubMed</x:v>
      </x:c>
    </x:row>
    <x:row r="76">
      <x:c r="A76" t="str">
        <x:v>PUBMED-42579111</x:v>
      </x:c>
      <x:c r="B76" t="n">
        <x:v>2026</x:v>
      </x:c>
      <x:c r="C76" t="str">
        <x:v>42579111</x:v>
      </x:c>
      <x:c r="D76" s="14" t="str">
        <x:v>Sex- and Trimester-Specific Associations of Prenatal Co-Exposure to Organophosphate Esters and Phthalates with Preschoolers' Trajectories of Co-Occurring ADHD and ASD Symptoms: Cord Blood Metabolomic Study in the Ma'anshan Birth Cohort.</x:v>
      </x:c>
      <x:c r="E76" s="14" t="str">
        <x:v>Primary study - cohort</x:v>
      </x:c>
      <x:c r="F76" s="14" t="str">
        <x:v>Development &amp; presentation; Family &amp; education; Social &amp; structural; Environmental &amp; lifestyle</x:v>
      </x:c>
      <x:c r="G76" s="14" t="str">
        <x:v>Childhood</x:v>
      </x:c>
      <x:c r="H76" s="32" t="e">
        <x:f>HYPERLINK("https://pubmed.ncbi.nlm.nih.gov/"&amp;C76&amp;"/","Open PubMed")</x:f>
        <x:v>HYPERLINK is not implemented. linkLocation=https://pubmed.ncbi.nlm.nih.gov/42579111/, friendlyName=Open PubMed</x:v>
      </x:c>
    </x:row>
    <x:row r="77">
      <x:c r="A77" t="str">
        <x:v>PUBMED-42218194</x:v>
      </x:c>
      <x:c r="B77" t="n">
        <x:v>2026</x:v>
      </x:c>
      <x:c r="C77" t="str">
        <x:v>42218194</x:v>
      </x:c>
      <x:c r="D77" s="14" t="str">
        <x:v>Machine learning-based screening model for Tic disorders comorbid with attention-deficit/hyperactivity disorder in children and SHAP value interpretation: a retrospective observational study.</x:v>
      </x:c>
      <x:c r="E77" s="14" t="str">
        <x:v>Primary study - cohort</x:v>
      </x:c>
      <x:c r="F77" s="14" t="str">
        <x:v>Development &amp; presentation; Recognition &amp; diagnosis; Family &amp; education; Social &amp; structural; Environmental &amp; lifestyle; Treatment &amp; support; Historical &amp; contemporary context</x:v>
      </x:c>
      <x:c r="G77" s="14" t="str">
        <x:v>Childhood; Adolescence</x:v>
      </x:c>
      <x:c r="H77" s="32" t="e">
        <x:f>HYPERLINK("https://pubmed.ncbi.nlm.nih.gov/"&amp;C77&amp;"/","Open PubMed")</x:f>
        <x:v>HYPERLINK is not implemented. linkLocation=https://pubmed.ncbi.nlm.nih.gov/42218194/, friendlyName=Open PubMed</x:v>
      </x:c>
    </x:row>
    <x:row r="78">
      <x:c r="A78" t="str">
        <x:v>PUBMED-41982046</x:v>
      </x:c>
      <x:c r="B78" t="n">
        <x:v>2026</x:v>
      </x:c>
      <x:c r="C78" t="str">
        <x:v>41982046</x:v>
      </x:c>
      <x:c r="D78" s="14" t="str">
        <x:v>Mental Health and Coping in Women With ADHD During the Pandemic.</x:v>
      </x:c>
      <x:c r="E78" s="14" t="str">
        <x:v>Primary study - qualitative</x:v>
      </x:c>
      <x:c r="F78" s="14" t="str">
        <x:v>Development &amp; presentation; Recognition &amp; diagnosis; Social &amp; structural; Environmental &amp; lifestyle; Treatment &amp; support; Life outcomes &amp; lived experience; Historical &amp; contemporary context</x:v>
      </x:c>
      <x:c r="G78" s="14" t="str">
        <x:v>Adolescence; Adulthood</x:v>
      </x:c>
      <x:c r="H78" s="32" t="e">
        <x:f>HYPERLINK("https://pubmed.ncbi.nlm.nih.gov/"&amp;C78&amp;"/","Open PubMed")</x:f>
        <x:v>HYPERLINK is not implemented. linkLocation=https://pubmed.ncbi.nlm.nih.gov/41982046/, friendlyName=Open PubMed</x:v>
      </x:c>
    </x:row>
    <x:row r="79">
      <x:c r="A79" t="str">
        <x:v>PUBMED-42664236</x:v>
      </x:c>
      <x:c r="B79" t="n">
        <x:v>2026</x:v>
      </x:c>
      <x:c r="C79" t="str">
        <x:v>42664236</x:v>
      </x:c>
      <x:c r="D79" s="14" t="str">
        <x:v>Long-term effects of cognitive behavioural therapy on the quality of life in adult ADHD.</x:v>
      </x:c>
      <x:c r="E79" s="14" t="str">
        <x:v>Primary study - cohort</x:v>
      </x:c>
      <x:c r="F79" s="14" t="str">
        <x:v>Development &amp; presentation; Family &amp; education; Social &amp; structural; Treatment &amp; support; Life outcomes &amp; lived experience</x:v>
      </x:c>
      <x:c r="G79" s="14" t="str">
        <x:v>Adulthood</x:v>
      </x:c>
      <x:c r="H79" s="32" t="e">
        <x:f>HYPERLINK("https://pubmed.ncbi.nlm.nih.gov/"&amp;C79&amp;"/","Open PubMed")</x:f>
        <x:v>HYPERLINK is not implemented. linkLocation=https://pubmed.ncbi.nlm.nih.gov/42664236/, friendlyName=Open PubMed</x:v>
      </x:c>
    </x:row>
    <x:row r="80">
      <x:c r="A80" t="str">
        <x:v>PUBMED-42419075</x:v>
      </x:c>
      <x:c r="B80" t="n">
        <x:v>2026</x:v>
      </x:c>
      <x:c r="C80" t="str">
        <x:v>42419075</x:v>
      </x:c>
      <x:c r="D80" s="14" t="str">
        <x:v>Diagnostic stickiness and shifting relevance: Reassessing autism spectrum disorder (ASD) and/or attention-deficit hyperactivity disorder (ADHD) diagnoses. A qualitative interview study.</x:v>
      </x:c>
      <x:c r="E80" s="14" t="str">
        <x:v>Primary study - qualitative</x:v>
      </x:c>
      <x:c r="F80" s="14" t="str">
        <x:v>Development &amp; presentation; Recognition &amp; diagnosis; Family &amp; education; Social &amp; structural; Life outcomes &amp; lived experience</x:v>
      </x:c>
      <x:c r="G80" s="14" t="str">
        <x:v>Childhood; Adolescence; Adulthood</x:v>
      </x:c>
      <x:c r="H80" s="32" t="e">
        <x:f>HYPERLINK("https://pubmed.ncbi.nlm.nih.gov/"&amp;C80&amp;"/","Open PubMed")</x:f>
        <x:v>HYPERLINK is not implemented. linkLocation=https://pubmed.ncbi.nlm.nih.gov/42419075/, friendlyName=Open PubMed</x:v>
      </x:c>
    </x:row>
    <x:row r="81">
      <x:c r="A81" t="str">
        <x:v>PUBMED-42449456</x:v>
      </x:c>
      <x:c r="B81" t="n">
        <x:v>2026</x:v>
      </x:c>
      <x:c r="C81" t="str">
        <x:v>42449456</x:v>
      </x:c>
      <x:c r="D81" s="14" t="str">
        <x:v>Problematic digital use in adolescents with ADHD: impulsivity, obsessive-compulsive symptoms, and perceived cognitive flexibility.</x:v>
      </x:c>
      <x:c r="E81" s="14" t="str">
        <x:v>Primary study - case-control</x:v>
      </x:c>
      <x:c r="F81" s="14" t="str">
        <x:v>Development &amp; presentation; Recognition &amp; diagnosis; Family &amp; education; Social &amp; structural; Environmental &amp; lifestyle; Treatment &amp; support; Historical &amp; contemporary context</x:v>
      </x:c>
      <x:c r="G81" s="14" t="str">
        <x:v>Childhood; Adolescence</x:v>
      </x:c>
      <x:c r="H81" s="32" t="e">
        <x:f>HYPERLINK("https://pubmed.ncbi.nlm.nih.gov/"&amp;C81&amp;"/","Open PubMed")</x:f>
        <x:v>HYPERLINK is not implemented. linkLocation=https://pubmed.ncbi.nlm.nih.gov/42449456/, friendlyName=Open PubMed</x:v>
      </x:c>
    </x:row>
    <x:row r="82">
      <x:c r="A82" t="str">
        <x:v>PUBMED-41894523</x:v>
      </x:c>
      <x:c r="B82" t="n">
        <x:v>2026</x:v>
      </x:c>
      <x:c r="C82" t="str">
        <x:v>41894523</x:v>
      </x:c>
      <x:c r="D82" s="14" t="str">
        <x:v>Measuring Accuracy (Classification Probabilities, Positive, and Negative Predictive Values) of Executive Function Electroencephalogram Metrics in Attention-Deficit/Hyperactivity Disorder Diagnosis: Protocol for and Perspectives From the SINCRONIA Study.</x:v>
      </x:c>
      <x:c r="E82" s="14" t="str">
        <x:v>Primary study - case-control</x:v>
      </x:c>
      <x:c r="F82" s="14" t="str">
        <x:v>Development &amp; presentation; Recognition &amp; diagnosis; Family &amp; education; Social &amp; structural</x:v>
      </x:c>
      <x:c r="G82" s="14" t="str">
        <x:v>Childhood; Adulthood</x:v>
      </x:c>
      <x:c r="H82" s="32" t="e">
        <x:f>HYPERLINK("https://pubmed.ncbi.nlm.nih.gov/"&amp;C82&amp;"/","Open PubMed")</x:f>
        <x:v>HYPERLINK is not implemented. linkLocation=https://pubmed.ncbi.nlm.nih.gov/41894523/, friendlyName=Open PubMed</x:v>
      </x:c>
    </x:row>
    <x:row r="83">
      <x:c r="A83" t="str">
        <x:v>PUBMED-42184802</x:v>
      </x:c>
      <x:c r="B83" t="n">
        <x:v>2026</x:v>
      </x:c>
      <x:c r="C83" t="str">
        <x:v>42184802</x:v>
      </x:c>
      <x:c r="D83" s="14" t="str">
        <x:v>The relationship between ADHD, OCD, and problematic social media use.</x:v>
      </x:c>
      <x:c r="E83" s="14" t="str">
        <x:v>Primary study - cross-sectional</x:v>
      </x:c>
      <x:c r="F83" s="14" t="str">
        <x:v>Development &amp; presentation; Social &amp; structural; Environmental &amp; lifestyle; Life outcomes &amp; lived experience; Historical &amp; contemporary context</x:v>
      </x:c>
      <x:c r="G83" s="14" t="str">
        <x:v>Adolescence; Adulthood</x:v>
      </x:c>
      <x:c r="H83" s="32" t="e">
        <x:f>HYPERLINK("https://pubmed.ncbi.nlm.nih.gov/"&amp;C83&amp;"/","Open PubMed")</x:f>
        <x:v>HYPERLINK is not implemented. linkLocation=https://pubmed.ncbi.nlm.nih.gov/42184802/, friendlyName=Open PubMed</x:v>
      </x:c>
    </x:row>
    <x:row r="84">
      <x:c r="A84" t="str">
        <x:v>PUBMED-42566631</x:v>
      </x:c>
      <x:c r="B84" t="n">
        <x:v>2026</x:v>
      </x:c>
      <x:c r="C84" t="str">
        <x:v>42566631</x:v>
      </x:c>
      <x:c r="D84" s="14" t="str">
        <x:v>Quality assessment of ADHD-related short videos on Chinese social media: A cross-sectional study.</x:v>
      </x:c>
      <x:c r="E84" s="14" t="str">
        <x:v>Primary study - cross-sectional</x:v>
      </x:c>
      <x:c r="F84" s="14" t="str">
        <x:v>Development &amp; presentation; Recognition &amp; diagnosis; Social &amp; structural; Environmental &amp; lifestyle; Historical &amp; contemporary context</x:v>
      </x:c>
      <x:c r="G84" s="14" t="str">
        <x:v>Not specified</x:v>
      </x:c>
      <x:c r="H84" s="32" t="e">
        <x:f>HYPERLINK("https://pubmed.ncbi.nlm.nih.gov/"&amp;C84&amp;"/","Open PubMed")</x:f>
        <x:v>HYPERLINK is not implemented. linkLocation=https://pubmed.ncbi.nlm.nih.gov/42566631/, friendlyName=Open PubMed</x:v>
      </x:c>
    </x:row>
    <x:row r="85">
      <x:c r="A85" t="str">
        <x:v>PUBMED-42034880</x:v>
      </x:c>
      <x:c r="B85" t="n">
        <x:v>2026</x:v>
      </x:c>
      <x:c r="C85" t="str">
        <x:v>42034880</x:v>
      </x:c>
      <x:c r="D85" s="14" t="str">
        <x:v>The Role of Self-Concept Clarity in the Relations Between Disordered Eating, Gender Diversity, and Autistic and ADHD Traits.</x:v>
      </x:c>
      <x:c r="E85" s="14" t="str">
        <x:v>Primary study - cross-sectional</x:v>
      </x:c>
      <x:c r="F85" s="14" t="str">
        <x:v>Development &amp; presentation; Social &amp; structural; Environmental &amp; lifestyle; Historical &amp; contemporary context</x:v>
      </x:c>
      <x:c r="G85" s="14" t="str">
        <x:v>Adulthood</x:v>
      </x:c>
      <x:c r="H85" s="32" t="e">
        <x:f>HYPERLINK("https://pubmed.ncbi.nlm.nih.gov/"&amp;C85&amp;"/","Open PubMed")</x:f>
        <x:v>HYPERLINK is not implemented. linkLocation=https://pubmed.ncbi.nlm.nih.gov/42034880/, friendlyName=Open PubMed</x:v>
      </x:c>
    </x:row>
    <x:row r="86">
      <x:c r="A86" t="str">
        <x:v>PUBMED-42470898</x:v>
      </x:c>
      <x:c r="B86" t="n">
        <x:v>2026</x:v>
      </x:c>
      <x:c r="C86" t="str">
        <x:v>42470898</x:v>
      </x:c>
      <x:c r="D86" s="14" t="str">
        <x:v>Parent and carer perspectives on behavioural sleep management strategies for children with ADHD.</x:v>
      </x:c>
      <x:c r="E86" s="14" t="str">
        <x:v>Primary study - qualitative</x:v>
      </x:c>
      <x:c r="F86" s="14" t="str">
        <x:v>Development &amp; presentation; Family &amp; education; Social &amp; structural; Environmental &amp; lifestyle; Treatment &amp; support; Life outcomes &amp; lived experience; Historical &amp; contemporary context</x:v>
      </x:c>
      <x:c r="G86" s="14" t="str">
        <x:v>Childhood</x:v>
      </x:c>
      <x:c r="H86" s="32" t="e">
        <x:f>HYPERLINK("https://pubmed.ncbi.nlm.nih.gov/"&amp;C86&amp;"/","Open PubMed")</x:f>
        <x:v>HYPERLINK is not implemented. linkLocation=https://pubmed.ncbi.nlm.nih.gov/42470898/, friendlyName=Open PubMed</x:v>
      </x:c>
    </x:row>
    <x:row r="87">
      <x:c r="A87" t="str">
        <x:v>PUBMED-42157363</x:v>
      </x:c>
      <x:c r="B87" t="n">
        <x:v>2026</x:v>
      </x:c>
      <x:c r="C87" t="str">
        <x:v>42157363</x:v>
      </x:c>
      <x:c r="D87" s="14" t="str">
        <x:v>ADHD Prevalence in Turkish Preschoolers: Comorbidity and Associated Factors.</x:v>
      </x:c>
      <x:c r="E87" s="14" t="str">
        <x:v>Primary study - cross-sectional</x:v>
      </x:c>
      <x:c r="F87" s="14" t="str">
        <x:v>Development &amp; presentation; Recognition &amp; diagnosis; Family &amp; education; Social &amp; structural</x:v>
      </x:c>
      <x:c r="G87" s="14" t="str">
        <x:v>Childhood</x:v>
      </x:c>
      <x:c r="H87" s="32" t="e">
        <x:f>HYPERLINK("https://pubmed.ncbi.nlm.nih.gov/"&amp;C87&amp;"/","Open PubMed")</x:f>
        <x:v>HYPERLINK is not implemented. linkLocation=https://pubmed.ncbi.nlm.nih.gov/42157363/, friendlyName=Open PubMed</x:v>
      </x:c>
    </x:row>
    <x:row r="88">
      <x:c r="A88" t="str">
        <x:v>PUBMED-42336634</x:v>
      </x:c>
      <x:c r="B88" t="n">
        <x:v>2026</x:v>
      </x:c>
      <x:c r="C88" t="str">
        <x:v>42336634</x:v>
      </x:c>
      <x:c r="D88" s="14" t="str">
        <x:v>From early to fewer first births: ADHD and family formation among young adults.</x:v>
      </x:c>
      <x:c r="E88" s="14" t="str">
        <x:v>Primary study - cohort</x:v>
      </x:c>
      <x:c r="F88" s="14" t="str">
        <x:v>Development &amp; presentation; Recognition &amp; diagnosis; Family &amp; education; Social &amp; structural; Environmental &amp; lifestyle; Life outcomes &amp; lived experience; Historical &amp; contemporary context</x:v>
      </x:c>
      <x:c r="G88" s="14" t="str">
        <x:v>Adolescence; Adulthood</x:v>
      </x:c>
      <x:c r="H88" s="32" t="e">
        <x:f>HYPERLINK("https://pubmed.ncbi.nlm.nih.gov/"&amp;C88&amp;"/","Open PubMed")</x:f>
        <x:v>HYPERLINK is not implemented. linkLocation=https://pubmed.ncbi.nlm.nih.gov/42336634/, friendlyName=Open PubMed</x:v>
      </x:c>
    </x:row>
    <x:row r="89">
      <x:c r="A89" t="str">
        <x:v>PUBMED-42548071</x:v>
      </x:c>
      <x:c r="B89" t="n">
        <x:v>2026</x:v>
      </x:c>
      <x:c r="C89" t="str">
        <x:v>42548071</x:v>
      </x:c>
      <x:c r="D89" s="14" t="str">
        <x:v>Longitudinal associations among autism and ADHD traits, social maladjustment, and mental health in school-aged children.</x:v>
      </x:c>
      <x:c r="E89" s="14" t="str">
        <x:v>Primary study - cohort</x:v>
      </x:c>
      <x:c r="F89" s="14" t="str">
        <x:v>Development &amp; presentation; Family &amp; education; Social &amp; structural; Environmental &amp; lifestyle; Life outcomes &amp; lived experience</x:v>
      </x:c>
      <x:c r="G89" s="14" t="str">
        <x:v>Childhood; Adolescence</x:v>
      </x:c>
      <x:c r="H89" s="32" t="e">
        <x:f>HYPERLINK("https://pubmed.ncbi.nlm.nih.gov/"&amp;C89&amp;"/","Open PubMed")</x:f>
        <x:v>HYPERLINK is not implemented. linkLocation=https://pubmed.ncbi.nlm.nih.gov/42548071/, friendlyName=Open PubMed</x:v>
      </x:c>
    </x:row>
    <x:row r="90">
      <x:c r="A90" t="str">
        <x:v>PUBMED-42669614</x:v>
      </x:c>
      <x:c r="B90" t="n">
        <x:v>2026</x:v>
      </x:c>
      <x:c r="C90" t="str">
        <x:v>42669614</x:v>
      </x:c>
      <x:c r="D90" s="14" t="str">
        <x:v>Regional Variation in ADHD Treatment and Diagnosis Among Children and Adolescents in Denmark.</x:v>
      </x:c>
      <x:c r="E90" s="14" t="str">
        <x:v>Primary study - cross-sectional</x:v>
      </x:c>
      <x:c r="F90" s="14" t="str">
        <x:v>Development &amp; presentation; Recognition &amp; diagnosis; Family &amp; education; Social &amp; structural; Treatment &amp; support; Life outcomes &amp; lived experience</x:v>
      </x:c>
      <x:c r="G90" s="14" t="str">
        <x:v>Childhood; Adolescence</x:v>
      </x:c>
      <x:c r="H90" s="32" t="e">
        <x:f>HYPERLINK("https://pubmed.ncbi.nlm.nih.gov/"&amp;C90&amp;"/","Open PubMed")</x:f>
        <x:v>HYPERLINK is not implemented. linkLocation=https://pubmed.ncbi.nlm.nih.gov/42669614/, friendlyName=Open PubMed</x:v>
      </x:c>
    </x:row>
    <x:row r="91">
      <x:c r="A91" t="str">
        <x:v>PUBMED-42070196</x:v>
      </x:c>
      <x:c r="B91" t="n">
        <x:v>2026</x:v>
      </x:c>
      <x:c r="C91" t="str">
        <x:v>42070196</x:v>
      </x:c>
      <x:c r="D91" s="14" t="str">
        <x:v>Association between child ADHD and caregivers' mental health and health-related quality of life: results from a population-based study.</x:v>
      </x:c>
      <x:c r="E91" s="14" t="str">
        <x:v>Primary study - cross-sectional</x:v>
      </x:c>
      <x:c r="F91" s="14" t="str">
        <x:v>Development &amp; presentation; Recognition &amp; diagnosis; Family &amp; education; Social &amp; structural; Environmental &amp; lifestyle; Life outcomes &amp; lived experience</x:v>
      </x:c>
      <x:c r="G91" s="14" t="str">
        <x:v>Childhood; Adulthood</x:v>
      </x:c>
      <x:c r="H91" s="32" t="e">
        <x:f>HYPERLINK("https://pubmed.ncbi.nlm.nih.gov/"&amp;C91&amp;"/","Open PubMed")</x:f>
        <x:v>HYPERLINK is not implemented. linkLocation=https://pubmed.ncbi.nlm.nih.gov/42070196/, friendlyName=Open PubMed</x:v>
      </x:c>
    </x:row>
    <x:row r="92">
      <x:c r="A92" t="str">
        <x:v>PUBMED-42321759</x:v>
      </x:c>
      <x:c r="B92" t="n">
        <x:v>2026</x:v>
      </x:c>
      <x:c r="C92" t="str">
        <x:v>42321759</x:v>
      </x:c>
      <x:c r="D92" s="14" t="str">
        <x:v>Exploring central sensitization symptoms in children with ADHD and their parents: a case-control study.</x:v>
      </x:c>
      <x:c r="E92" s="14" t="str">
        <x:v>Primary study - case-control</x:v>
      </x:c>
      <x:c r="F92" s="14" t="str">
        <x:v>Development &amp; presentation; Recognition &amp; diagnosis; Family &amp; education; Social &amp; structural; Life outcomes &amp; lived experience</x:v>
      </x:c>
      <x:c r="G92" s="14" t="str">
        <x:v>Childhood; Adolescence; Adulthood</x:v>
      </x:c>
      <x:c r="H92" s="32" t="e">
        <x:f>HYPERLINK("https://pubmed.ncbi.nlm.nih.gov/"&amp;C92&amp;"/","Open PubMed")</x:f>
        <x:v>HYPERLINK is not implemented. linkLocation=https://pubmed.ncbi.nlm.nih.gov/42321759/, friendlyName=Open PubMed</x:v>
      </x:c>
    </x:row>
    <x:row r="93">
      <x:c r="A93" t="str">
        <x:v>PUBMED-42334100</x:v>
      </x:c>
      <x:c r="B93" t="n">
        <x:v>2026</x:v>
      </x:c>
      <x:c r="C93" t="str">
        <x:v>42334100</x:v>
      </x:c>
      <x:c r="D93" s="14" t="str">
        <x:v>Stigmatising Attitudes Towards People With Depression, Bipolar Disorder, Borderline Personality, ADHD and Early and Long-Term/Untreated Schizophrenia: Representative Survey of Australian Adults.</x:v>
      </x:c>
      <x:c r="E93" s="14" t="str">
        <x:v>Primary study - cross-sectional</x:v>
      </x:c>
      <x:c r="F93" s="14" t="str">
        <x:v>Development &amp; presentation; Family &amp; education; Social &amp; structural; Treatment &amp; support; Life outcomes &amp; lived experience; Historical &amp; contemporary context</x:v>
      </x:c>
      <x:c r="G93" s="14" t="str">
        <x:v>Adolescence; Adulthood</x:v>
      </x:c>
      <x:c r="H93" s="32" t="e">
        <x:f>HYPERLINK("https://pubmed.ncbi.nlm.nih.gov/"&amp;C93&amp;"/","Open PubMed")</x:f>
        <x:v>HYPERLINK is not implemented. linkLocation=https://pubmed.ncbi.nlm.nih.gov/42334100/, friendlyName=Open PubMed</x:v>
      </x:c>
    </x:row>
    <x:row r="94">
      <x:c r="A94" t="str">
        <x:v>PUBMED-42178670</x:v>
      </x:c>
      <x:c r="B94" t="n">
        <x:v>2026</x:v>
      </x:c>
      <x:c r="C94" t="str">
        <x:v>42178670</x:v>
      </x:c>
      <x:c r="D94" s="14" t="str">
        <x:v>Parental Knowledge and Recognition of Preschool Manifestations of ADHD in Preterm Children: A Cross-Sectional Study.</x:v>
      </x:c>
      <x:c r="E94" s="14" t="str">
        <x:v>Primary study - cross-sectional</x:v>
      </x:c>
      <x:c r="F94" s="14" t="str">
        <x:v>Development &amp; presentation; Recognition &amp; diagnosis; Family &amp; education; Social &amp; structural; Environmental &amp; lifestyle; Life outcomes &amp; lived experience; Historical &amp; contemporary context</x:v>
      </x:c>
      <x:c r="G94" s="14" t="str">
        <x:v>Childhood; Adulthood</x:v>
      </x:c>
      <x:c r="H94" s="32" t="e">
        <x:f>HYPERLINK("https://pubmed.ncbi.nlm.nih.gov/"&amp;C94&amp;"/","Open PubMed")</x:f>
        <x:v>HYPERLINK is not implemented. linkLocation=https://pubmed.ncbi.nlm.nih.gov/42178670/, friendlyName=Open PubMed</x:v>
      </x:c>
    </x:row>
    <x:row r="95">
      <x:c r="A95" t="str">
        <x:v>PUBMED-42480509</x:v>
      </x:c>
      <x:c r="B95" t="n">
        <x:v>2026</x:v>
      </x:c>
      <x:c r="C95" t="str">
        <x:v>42480509</x:v>
      </x:c>
      <x:c r="D95" s="14" t="str">
        <x:v>Diagnostic Discrimination of BOKE STARS, a Bimodal Continuous Performance Test, for Attention-Deficit/Hyperactivity Disorder Assessment in Chinese Children: Single-Center Case-Control Study.</x:v>
      </x:c>
      <x:c r="E95" s="14" t="str">
        <x:v>Primary study - case-control</x:v>
      </x:c>
      <x:c r="F95" s="14" t="str">
        <x:v>Development &amp; presentation; Recognition &amp; diagnosis; Family &amp; education; Social &amp; structural</x:v>
      </x:c>
      <x:c r="G95" s="14" t="str">
        <x:v>Childhood</x:v>
      </x:c>
      <x:c r="H95" s="32" t="e">
        <x:f>HYPERLINK("https://pubmed.ncbi.nlm.nih.gov/"&amp;C95&amp;"/","Open PubMed")</x:f>
        <x:v>HYPERLINK is not implemented. linkLocation=https://pubmed.ncbi.nlm.nih.gov/42480509/, friendlyName=Open PubMed</x:v>
      </x:c>
    </x:row>
    <x:row r="96">
      <x:c r="A96" t="str">
        <x:v>PUBMED-42175808</x:v>
      </x:c>
      <x:c r="B96" t="n">
        <x:v>2026</x:v>
      </x:c>
      <x:c r="C96" t="str">
        <x:v>42175808</x:v>
      </x:c>
      <x:c r="D96" s="14" t="str">
        <x:v>Psychometric Assessment of the Arabic Translation of the Adult ADHD Self-Report Scale Version 1.1 6-Question Screener.</x:v>
      </x:c>
      <x:c r="E96" s="14" t="str">
        <x:v>Primary study - cross-sectional</x:v>
      </x:c>
      <x:c r="F96" s="14" t="str">
        <x:v>Development &amp; presentation; Recognition &amp; diagnosis; Family &amp; education; Social &amp; structural; Environmental &amp; lifestyle; Historical &amp; contemporary context</x:v>
      </x:c>
      <x:c r="G96" s="14" t="str">
        <x:v>Adulthood</x:v>
      </x:c>
      <x:c r="H96" s="32" t="e">
        <x:f>HYPERLINK("https://pubmed.ncbi.nlm.nih.gov/"&amp;C96&amp;"/","Open PubMed")</x:f>
        <x:v>HYPERLINK is not implemented. linkLocation=https://pubmed.ncbi.nlm.nih.gov/42175808/, friendlyName=Open PubMed</x:v>
      </x:c>
    </x:row>
    <x:row r="97">
      <x:c r="A97" t="str">
        <x:v>PUBMED-42151901</x:v>
      </x:c>
      <x:c r="B97" t="n">
        <x:v>2026</x:v>
      </x:c>
      <x:c r="C97" t="str">
        <x:v>42151901</x:v>
      </x:c>
      <x:c r="D97" s="14" t="str">
        <x:v>The association between ADHD symptoms and different dimensions of problematic use of social media among adolescent: results from the "LifeOnSoMe"-study.</x:v>
      </x:c>
      <x:c r="E97" s="14" t="str">
        <x:v>Primary study - cross-sectional</x:v>
      </x:c>
      <x:c r="F97" s="14" t="str">
        <x:v>Development &amp; presentation; Family &amp; education; Social &amp; structural; Environmental &amp; lifestyle; Historical &amp; contemporary context</x:v>
      </x:c>
      <x:c r="G97" s="14" t="str">
        <x:v>Adolescence</x:v>
      </x:c>
      <x:c r="H97" s="32" t="e">
        <x:f>HYPERLINK("https://pubmed.ncbi.nlm.nih.gov/"&amp;C97&amp;"/","Open PubMed")</x:f>
        <x:v>HYPERLINK is not implemented. linkLocation=https://pubmed.ncbi.nlm.nih.gov/42151901/, friendlyName=Open PubMed</x:v>
      </x:c>
    </x:row>
    <x:row r="98">
      <x:c r="A98" t="str">
        <x:v>PUBMED-42522250</x:v>
      </x:c>
      <x:c r="B98" t="n">
        <x:v>2026</x:v>
      </x:c>
      <x:c r="C98" t="str">
        <x:v>42522250</x:v>
      </x:c>
      <x:c r="D98" s="14" t="str">
        <x:v>Sleep quality and cognitive disengagement syndrome as sequential mediators linking chronotype to ADHD symptom dimensions in adults with attentional complaints.</x:v>
      </x:c>
      <x:c r="E98" s="14" t="str">
        <x:v>Primary study - cross-sectional</x:v>
      </x:c>
      <x:c r="F98" s="14" t="str">
        <x:v>Development &amp; presentation; Recognition &amp; diagnosis; Social &amp; structural; Environmental &amp; lifestyle; Treatment &amp; support</x:v>
      </x:c>
      <x:c r="G98" s="14" t="str">
        <x:v>Adulthood</x:v>
      </x:c>
      <x:c r="H98" s="32" t="e">
        <x:f>HYPERLINK("https://pubmed.ncbi.nlm.nih.gov/"&amp;C98&amp;"/","Open PubMed")</x:f>
        <x:v>HYPERLINK is not implemented. linkLocation=https://pubmed.ncbi.nlm.nih.gov/42522250/, friendlyName=Open PubMed</x:v>
      </x:c>
    </x:row>
    <x:row r="99">
      <x:c r="A99" t="str">
        <x:v>PUBMED-42740304</x:v>
      </x:c>
      <x:c r="B99" t="n">
        <x:v>2026</x:v>
      </x:c>
      <x:c r="C99" t="str">
        <x:v>42740304</x:v>
      </x:c>
      <x:c r="D99" s="14" t="str">
        <x:v>Neurophysiological Characterization of ADHD in Children Using EEG Signals: A Machine Learning Approach to Executive Function Networks.</x:v>
      </x:c>
      <x:c r="E99" s="14" t="str">
        <x:v>Primary study - cohort</x:v>
      </x:c>
      <x:c r="F99" s="14" t="str">
        <x:v>Development &amp; presentation; Recognition &amp; diagnosis; Social &amp; structural; Treatment &amp; support</x:v>
      </x:c>
      <x:c r="G99" s="14" t="str">
        <x:v>Childhood</x:v>
      </x:c>
      <x:c r="H99" s="32" t="e">
        <x:f>HYPERLINK("https://pubmed.ncbi.nlm.nih.gov/"&amp;C99&amp;"/","Open PubMed")</x:f>
        <x:v>HYPERLINK is not implemented. linkLocation=https://pubmed.ncbi.nlm.nih.gov/42740304/, friendlyName=Open PubMed</x:v>
      </x:c>
    </x:row>
    <x:row r="100">
      <x:c r="A100" t="str">
        <x:v>PUBMED-42659559</x:v>
      </x:c>
      <x:c r="B100" t="n">
        <x:v>2026</x:v>
      </x:c>
      <x:c r="C100" t="str">
        <x:v>42659559</x:v>
      </x:c>
      <x:c r="D100" s="14" t="str">
        <x:v>[Content validity and linguistic suitability of an ADHD assessment tool based on DSM-5 for parents and teachers: preliminary study].</x:v>
      </x:c>
      <x:c r="E100" s="14" t="str">
        <x:v>Primary study - qualitative</x:v>
      </x:c>
      <x:c r="F100" s="14" t="str">
        <x:v>Development &amp; presentation; Recognition &amp; diagnosis; Family &amp; education; Social &amp; structural; Life outcomes &amp; lived experience</x:v>
      </x:c>
      <x:c r="G100" s="14" t="str">
        <x:v>Childhood; Adolescence</x:v>
      </x:c>
      <x:c r="H100" s="32" t="e">
        <x:f>HYPERLINK("https://pubmed.ncbi.nlm.nih.gov/"&amp;C100&amp;"/","Open PubMed")</x:f>
        <x:v>HYPERLINK is not implemented. linkLocation=https://pubmed.ncbi.nlm.nih.gov/42659559/, friendlyName=Open PubMed</x:v>
      </x:c>
    </x:row>
    <x:row r="101">
      <x:c r="A101" t="str">
        <x:v>PUBMED-41914673</x:v>
      </x:c>
      <x:c r="B101" t="n">
        <x:v>2026</x:v>
      </x:c>
      <x:c r="C101" t="str">
        <x:v>41914673</x:v>
      </x:c>
      <x:c r="D101" s="14" t="str">
        <x:v>Impact of Medication Therapy on Social, Behavioral, and Employment Outcomes in Adults With ADHD.</x:v>
      </x:c>
      <x:c r="E101" s="14" t="str">
        <x:v>Primary study - cross-sectional</x:v>
      </x:c>
      <x:c r="F101" s="14" t="str">
        <x:v>Development &amp; presentation; Social &amp; structural; Environmental &amp; lifestyle; Treatment &amp; support; Life outcomes &amp; lived experience</x:v>
      </x:c>
      <x:c r="G101" s="14" t="str">
        <x:v>Adulthood</x:v>
      </x:c>
      <x:c r="H101" s="32" t="e">
        <x:f>HYPERLINK("https://pubmed.ncbi.nlm.nih.gov/"&amp;C101&amp;"/","Open PubMed")</x:f>
        <x:v>HYPERLINK is not implemented. linkLocation=https://pubmed.ncbi.nlm.nih.gov/41914673/, friendlyName=Open PubMed</x:v>
      </x:c>
    </x:row>
    <x:row r="102">
      <x:c r="A102" t="str">
        <x:v>PUBMED-41904958</x:v>
      </x:c>
      <x:c r="B102" t="n">
        <x:v>2026</x:v>
      </x:c>
      <x:c r="C102" t="str">
        <x:v>41904958</x:v>
      </x:c>
      <x:c r="D102" s="14" t="str">
        <x:v>A multi‑stakeholder preliminary needs assessment to inform the co‑design of a digital telerehabilitation tool for children and adolescents with ADHD.</x:v>
      </x:c>
      <x:c r="E102" s="14" t="str">
        <x:v>Primary study - qualitative</x:v>
      </x:c>
      <x:c r="F102" s="14" t="str">
        <x:v>Development &amp; presentation; Recognition &amp; diagnosis; Family &amp; education; Social &amp; structural; Environmental &amp; lifestyle; Treatment &amp; support; Life outcomes &amp; lived experience</x:v>
      </x:c>
      <x:c r="G102" s="14" t="str">
        <x:v>Childhood; Adolescence</x:v>
      </x:c>
      <x:c r="H102" s="32" t="e">
        <x:f>HYPERLINK("https://pubmed.ncbi.nlm.nih.gov/"&amp;C102&amp;"/","Open PubMed")</x:f>
        <x:v>HYPERLINK is not implemented. linkLocation=https://pubmed.ncbi.nlm.nih.gov/41904958/, friendlyName=Open PubMed</x:v>
      </x:c>
    </x:row>
    <x:row r="103">
      <x:c r="A103" t="str">
        <x:v>PUBMED-41904444</x:v>
      </x:c>
      <x:c r="B103" t="n">
        <x:v>2026</x:v>
      </x:c>
      <x:c r="C103" t="str">
        <x:v>41904444</x:v>
      </x:c>
      <x:c r="D103" s="14" t="str">
        <x:v>Socioeconomic burden of adult attention deficit/hyperactivity disorder in Japan: a nationwide cross-sectional observational study.</x:v>
      </x:c>
      <x:c r="E103" s="14" t="str">
        <x:v>Primary study - cross-sectional</x:v>
      </x:c>
      <x:c r="F103" s="14" t="str">
        <x:v>Development &amp; presentation; Recognition &amp; diagnosis; Family &amp; education; Social &amp; structural; Life outcomes &amp; lived experience</x:v>
      </x:c>
      <x:c r="G103" s="14" t="str">
        <x:v>Childhood; Adulthood</x:v>
      </x:c>
      <x:c r="H103" s="32" t="e">
        <x:f>HYPERLINK("https://pubmed.ncbi.nlm.nih.gov/"&amp;C103&amp;"/","Open PubMed")</x:f>
        <x:v>HYPERLINK is not implemented. linkLocation=https://pubmed.ncbi.nlm.nih.gov/41904444/, friendlyName=Open PubMed</x:v>
      </x:c>
    </x:row>
    <x:row r="104">
      <x:c r="A104" t="str">
        <x:v>PUBMED-41889008</x:v>
      </x:c>
      <x:c r="B104" t="n">
        <x:v>2026</x:v>
      </x:c>
      <x:c r="C104" t="str">
        <x:v>41889008</x:v>
      </x:c>
      <x:c r="D104" s="14" t="str">
        <x:v>"Controlled by Female Hormones": A Qualitative Interview Study of Swedish Women's Experiences of Gender-Specific Aspects of Life With ADHD.</x:v>
      </x:c>
      <x:c r="E104" s="14" t="str">
        <x:v>Primary study - qualitative</x:v>
      </x:c>
      <x:c r="F104" s="14" t="str">
        <x:v>Development &amp; presentation; Social &amp; structural; Treatment &amp; support; Life outcomes &amp; lived experience</x:v>
      </x:c>
      <x:c r="G104" s="14" t="str">
        <x:v>Adulthood</x:v>
      </x:c>
      <x:c r="H104" s="32" t="e">
        <x:f>HYPERLINK("https://pubmed.ncbi.nlm.nih.gov/"&amp;C104&amp;"/","Open PubMed")</x:f>
        <x:v>HYPERLINK is not implemented. linkLocation=https://pubmed.ncbi.nlm.nih.gov/41889008/, friendlyName=Open PubMed</x:v>
      </x:c>
    </x:row>
    <x:row r="105">
      <x:c r="A105" t="str">
        <x:v>PUBMED-41606005</x:v>
      </x:c>
      <x:c r="B105" t="n">
        <x:v>2026</x:v>
      </x:c>
      <x:c r="C105" t="str">
        <x:v>41606005</x:v>
      </x:c>
      <x:c r="D105" s="14" t="str">
        <x:v>Comparing qualitative thematic analysis and machine-based topic modelling in the analysis of autistic and ADHD young people's accounts of emotions.</x:v>
      </x:c>
      <x:c r="E105" s="14" t="str">
        <x:v>Primary study - qualitative</x:v>
      </x:c>
      <x:c r="F105" s="14" t="str">
        <x:v>Development &amp; presentation; Family &amp; education; Social &amp; structural; Life outcomes &amp; lived experience</x:v>
      </x:c>
      <x:c r="G105" s="14" t="str">
        <x:v>Adolescence</x:v>
      </x:c>
      <x:c r="H105" s="32" t="e">
        <x:f>HYPERLINK("https://pubmed.ncbi.nlm.nih.gov/"&amp;C105&amp;"/","Open PubMed")</x:f>
        <x:v>HYPERLINK is not implemented. linkLocation=https://pubmed.ncbi.nlm.nih.gov/41606005/, friendlyName=Open PubMed</x:v>
      </x:c>
    </x:row>
    <x:row r="106">
      <x:c r="A106" t="str">
        <x:v>PUBMED-41604392</x:v>
      </x:c>
      <x:c r="B106" t="n">
        <x:v>2026</x:v>
      </x:c>
      <x:c r="C106" t="str">
        <x:v>41604392</x:v>
      </x:c>
      <x:c r="D106" s="14" t="str">
        <x:v>From ADHD symptoms to parental stress: The roles of functional impairment, family functioning, and parental ADHD.</x:v>
      </x:c>
      <x:c r="E106" s="14" t="str">
        <x:v>Primary study - cross-sectional</x:v>
      </x:c>
      <x:c r="F106" s="14" t="str">
        <x:v>Development &amp; presentation; Family &amp; education; Social &amp; structural; Environmental &amp; lifestyle; Life outcomes &amp; lived experience</x:v>
      </x:c>
      <x:c r="G106" s="14" t="str">
        <x:v>Childhood; Adolescence</x:v>
      </x:c>
      <x:c r="H106" s="32" t="e">
        <x:f>HYPERLINK("https://pubmed.ncbi.nlm.nih.gov/"&amp;C106&amp;"/","Open PubMed")</x:f>
        <x:v>HYPERLINK is not implemented. linkLocation=https://pubmed.ncbi.nlm.nih.gov/41604392/, friendlyName=Open PubMed</x:v>
      </x:c>
    </x:row>
    <x:row r="107">
      <x:c r="A107" t="str">
        <x:v>PUBMED-41564005</x:v>
      </x:c>
      <x:c r="B107" t="n">
        <x:v>2026</x:v>
      </x:c>
      <x:c r="C107" t="str">
        <x:v>41564005</x:v>
      </x:c>
      <x:c r="D107" s="14" t="str">
        <x:v>The lived experience of rejection sensitivity in ADHD - A qualitative exploration.</x:v>
      </x:c>
      <x:c r="E107" s="14" t="str">
        <x:v>Primary study - qualitative</x:v>
      </x:c>
      <x:c r="F107" s="14" t="str">
        <x:v>Development &amp; presentation; Family &amp; education; Social &amp; structural; Life outcomes &amp; lived experience</x:v>
      </x:c>
      <x:c r="G107" s="14" t="str">
        <x:v>Adulthood</x:v>
      </x:c>
      <x:c r="H107" s="32" t="e">
        <x:f>HYPERLINK("https://pubmed.ncbi.nlm.nih.gov/"&amp;C107&amp;"/","Open PubMed")</x:f>
        <x:v>HYPERLINK is not implemented. linkLocation=https://pubmed.ncbi.nlm.nih.gov/41564005/, friendlyName=Open PubMed</x:v>
      </x:c>
    </x:row>
    <x:row r="108">
      <x:c r="A108" t="str">
        <x:v>PUBMED-41485000</x:v>
      </x:c>
      <x:c r="B108" t="n">
        <x:v>2026</x:v>
      </x:c>
      <x:c r="C108" t="str">
        <x:v>41485000</x:v>
      </x:c>
      <x:c r="D108" s="14" t="str">
        <x:v>Dietary inflammatory index (DII) and attention deficit hyperactivity disorder: a cross-sectional study in US children and adolescents and Mendelian randomization study.</x:v>
      </x:c>
      <x:c r="E108" s="14" t="str">
        <x:v>Primary study - cross-sectional</x:v>
      </x:c>
      <x:c r="F108" s="14" t="str">
        <x:v>Development &amp; presentation; Social &amp; structural; Environmental &amp; lifestyle; Treatment &amp; support; Life outcomes &amp; lived experience</x:v>
      </x:c>
      <x:c r="G108" s="14" t="str">
        <x:v>Childhood; Adolescence; Adulthood</x:v>
      </x:c>
      <x:c r="H108" s="32" t="e">
        <x:f>HYPERLINK("https://pubmed.ncbi.nlm.nih.gov/"&amp;C108&amp;"/","Open PubMed")</x:f>
        <x:v>HYPERLINK is not implemented. linkLocation=https://pubmed.ncbi.nlm.nih.gov/41485000/, friendlyName=Open PubMed</x:v>
      </x:c>
    </x:row>
    <x:row r="109">
      <x:c r="A109" t="str">
        <x:v>PUBMED-41197219</x:v>
      </x:c>
      <x:c r="B109" t="n">
        <x:v>2026</x:v>
      </x:c>
      <x:c r="C109" t="str">
        <x:v>41197219</x:v>
      </x:c>
      <x:c r="D109" s="14" t="str">
        <x:v>Association of ADHD/ASD traits with premenstrual dysphoric disorder among full-time employed women in Japan: A cross-sectional study.</x:v>
      </x:c>
      <x:c r="E109" s="14" t="str">
        <x:v>Primary study - cross-sectional</x:v>
      </x:c>
      <x:c r="F109" s="14" t="str">
        <x:v>Development &amp; presentation; Recognition &amp; diagnosis; Family &amp; education; Social &amp; structural; Life outcomes &amp; lived experience; Historical &amp; contemporary context</x:v>
      </x:c>
      <x:c r="G109" s="14" t="str">
        <x:v>Adulthood</x:v>
      </x:c>
      <x:c r="H109" s="32" t="e">
        <x:f>HYPERLINK("https://pubmed.ncbi.nlm.nih.gov/"&amp;C109&amp;"/","Open PubMed")</x:f>
        <x:v>HYPERLINK is not implemented. linkLocation=https://pubmed.ncbi.nlm.nih.gov/41197219/, friendlyName=Open PubMed</x:v>
      </x:c>
    </x:row>
    <x:row r="110">
      <x:c r="A110" t="str">
        <x:v>PUBMED-41067916</x:v>
      </x:c>
      <x:c r="B110" t="n">
        <x:v>2026</x:v>
      </x:c>
      <x:c r="C110" t="str">
        <x:v>41067916</x:v>
      </x:c>
      <x:c r="D110" s="14" t="str">
        <x:v>Maternal ADHD Diagnoses Before and After Childbirth: A Danish Population-Based Cohort Study.</x:v>
      </x:c>
      <x:c r="E110" s="14" t="str">
        <x:v>Primary study - cohort</x:v>
      </x:c>
      <x:c r="F110" s="14" t="str">
        <x:v>Development &amp; presentation; Recognition &amp; diagnosis; Social &amp; structural; Environmental &amp; lifestyle; Treatment &amp; support</x:v>
      </x:c>
      <x:c r="G110" s="14" t="str">
        <x:v>Adulthood</x:v>
      </x:c>
      <x:c r="H110" s="32" t="e">
        <x:f>HYPERLINK("https://pubmed.ncbi.nlm.nih.gov/"&amp;C110&amp;"/","Open PubMed")</x:f>
        <x:v>HYPERLINK is not implemented. linkLocation=https://pubmed.ncbi.nlm.nih.gov/41067916/, friendlyName=Open PubMed</x:v>
      </x:c>
    </x:row>
    <x:row r="111">
      <x:c r="A111" t="str">
        <x:v>PUBMED-40737052</x:v>
      </x:c>
      <x:c r="B111" t="n">
        <x:v>2026</x:v>
      </x:c>
      <x:c r="C111" t="str">
        <x:v>40737052</x:v>
      </x:c>
      <x:c r="D111" s="14" t="str">
        <x:v>Equity-Centered Development of a Community Health Worker Intervention to Improve Engagement in Care for ADHD.</x:v>
      </x:c>
      <x:c r="E111" s="14" t="str">
        <x:v>Primary study - qualitative</x:v>
      </x:c>
      <x:c r="F111" s="14" t="str">
        <x:v>Development &amp; presentation; Recognition &amp; diagnosis; Family &amp; education; Social &amp; structural; Treatment &amp; support; Life outcomes &amp; lived experience</x:v>
      </x:c>
      <x:c r="G111" s="14" t="str">
        <x:v>Childhood; Adulthood</x:v>
      </x:c>
      <x:c r="H111" s="32" t="e">
        <x:f>HYPERLINK("https://pubmed.ncbi.nlm.nih.gov/"&amp;C111&amp;"/","Open PubMed")</x:f>
        <x:v>HYPERLINK is not implemented. linkLocation=https://pubmed.ncbi.nlm.nih.gov/40737052/, friendlyName=Open PubMed</x:v>
      </x:c>
    </x:row>
    <x:row r="112">
      <x:c r="A112" t="str">
        <x:v>PUBMED-40638003</x:v>
      </x:c>
      <x:c r="B112" t="n">
        <x:v>2026</x:v>
      </x:c>
      <x:c r="C112" t="str">
        <x:v>40638003</x:v>
      </x:c>
      <x:c r="D112" s="14" t="str">
        <x:v>Peripheral Inflammation In Adult ADHD: Sex Differences And Hematological Markers.</x:v>
      </x:c>
      <x:c r="E112" s="14" t="str">
        <x:v>Primary study - cross-sectional</x:v>
      </x:c>
      <x:c r="F112" s="14" t="str">
        <x:v>Development &amp; presentation; Recognition &amp; diagnosis; Social &amp; structural; Treatment &amp; support</x:v>
      </x:c>
      <x:c r="G112" s="14" t="str">
        <x:v>Adolescence; Adulthood</x:v>
      </x:c>
      <x:c r="H112" s="32" t="e">
        <x:f>HYPERLINK("https://pubmed.ncbi.nlm.nih.gov/"&amp;C112&amp;"/","Open PubMed")</x:f>
        <x:v>HYPERLINK is not implemented. linkLocation=https://pubmed.ncbi.nlm.nih.gov/40638003/, friendlyName=Open PubMed</x:v>
      </x:c>
    </x:row>
    <x:row r="113">
      <x:c r="A113" t="str">
        <x:v>PUBMED-40417822</x:v>
      </x:c>
      <x:c r="B113" t="n">
        <x:v>2026</x:v>
      </x:c>
      <x:c r="C113" t="str">
        <x:v>40417822</x:v>
      </x:c>
      <x:c r="D113" s="14" t="str">
        <x:v>The Family Quality of Life of Children With Specific Learning Disabilities, Attention-Deficit/Hyperactivity Disorder, and Their Co-Occurrence: A Cross-Sectional Study.</x:v>
      </x:c>
      <x:c r="E113" s="14" t="str">
        <x:v>Primary study - cross-sectional</x:v>
      </x:c>
      <x:c r="F113" s="14" t="str">
        <x:v>Development &amp; presentation; Family &amp; education; Social &amp; structural; Life outcomes &amp; lived experience</x:v>
      </x:c>
      <x:c r="G113" s="14" t="str">
        <x:v>Childhood; Adolescence</x:v>
      </x:c>
      <x:c r="H113" s="32" t="e">
        <x:f>HYPERLINK("https://pubmed.ncbi.nlm.nih.gov/"&amp;C113&amp;"/","Open PubMed")</x:f>
        <x:v>HYPERLINK is not implemented. linkLocation=https://pubmed.ncbi.nlm.nih.gov/40417822/, friendlyName=Open PubMed</x:v>
      </x:c>
    </x:row>
    <x:row r="114">
      <x:c r="A114" t="str">
        <x:v>PUBMED-38809476</x:v>
      </x:c>
      <x:c r="B114" t="n">
        <x:v>2026</x:v>
      </x:c>
      <x:c r="C114" t="str">
        <x:v>38809476</x:v>
      </x:c>
      <x:c r="D114" s="14" t="str">
        <x:v>Relations Between Social Camouflaging, Life Satisfaction, and Depression Among Polish Women with ADHD.</x:v>
      </x:c>
      <x:c r="E114" s="14" t="str">
        <x:v>Primary study - cross-sectional</x:v>
      </x:c>
      <x:c r="F114" s="14" t="str">
        <x:v>Development &amp; presentation; Recognition &amp; diagnosis; Social &amp; structural; Life outcomes &amp; lived experience; Historical &amp; contemporary context</x:v>
      </x:c>
      <x:c r="G114" s="14" t="str">
        <x:v>Adolescence; Adulthood</x:v>
      </x:c>
      <x:c r="H114" s="32" t="e">
        <x:f>HYPERLINK("https://pubmed.ncbi.nlm.nih.gov/"&amp;C114&amp;"/","Open PubMed")</x:f>
        <x:v>HYPERLINK is not implemented. linkLocation=https://pubmed.ncbi.nlm.nih.gov/38809476/, friendlyName=Open PubMed</x:v>
      </x:c>
    </x:row>
    <x:row r="115">
      <x:c r="A115" t="str">
        <x:v>PUBMED-42760662</x:v>
      </x:c>
      <x:c r="B115" t="n">
        <x:v>2026</x:v>
      </x:c>
      <x:c r="C115" t="str">
        <x:v>42760662</x:v>
      </x:c>
      <x:c r="D115" s="14" t="str">
        <x:v>The relationship between problematic social media use and psychological factors among university students with evaluation of ADHD, social anxiety and self-esteem.</x:v>
      </x:c>
      <x:c r="E115" s="14" t="str">
        <x:v>Primary study - cross-sectional</x:v>
      </x:c>
      <x:c r="F115" s="14" t="str">
        <x:v>Development &amp; presentation; Recognition &amp; diagnosis; Social &amp; structural; Environmental &amp; lifestyle; Life outcomes &amp; lived experience; Historical &amp; contemporary context</x:v>
      </x:c>
      <x:c r="G115" s="14" t="str">
        <x:v>Adolescence; Adulthood</x:v>
      </x:c>
      <x:c r="H115" s="32" t="e">
        <x:f>HYPERLINK("https://pubmed.ncbi.nlm.nih.gov/"&amp;C115&amp;"/","Open PubMed")</x:f>
        <x:v>HYPERLINK is not implemented. linkLocation=https://pubmed.ncbi.nlm.nih.gov/42760662/, friendlyName=Open PubMed</x:v>
      </x:c>
    </x:row>
    <x:row r="116">
      <x:c r="A116" t="str">
        <x:v>PUBMED-42288756</x:v>
      </x:c>
      <x:c r="B116" t="n">
        <x:v>2026</x:v>
      </x:c>
      <x:c r="C116" t="str">
        <x:v>42288756</x:v>
      </x:c>
      <x:c r="D116" s="14" t="str">
        <x:v>Exploring adolescents' and parents' experiences of pharmacological and non-pharmacological treatment in ADHD: a qualitative study.</x:v>
      </x:c>
      <x:c r="E116" s="14" t="str">
        <x:v>Primary study - qualitative</x:v>
      </x:c>
      <x:c r="F116" s="14" t="str">
        <x:v>Development &amp; presentation; Recognition &amp; diagnosis; Family &amp; education; Social &amp; structural; Treatment &amp; support; Life outcomes &amp; lived experience</x:v>
      </x:c>
      <x:c r="G116" s="14" t="str">
        <x:v>Childhood; Adolescence</x:v>
      </x:c>
      <x:c r="H116" s="32" t="e">
        <x:f>HYPERLINK("https://pubmed.ncbi.nlm.nih.gov/"&amp;C116&amp;"/","Open PubMed")</x:f>
        <x:v>HYPERLINK is not implemented. linkLocation=https://pubmed.ncbi.nlm.nih.gov/42288756/, friendlyName=Open PubMed</x:v>
      </x:c>
    </x:row>
    <x:row r="117">
      <x:c r="A117" t="str">
        <x:v>PUBMED-41958508</x:v>
      </x:c>
      <x:c r="B117" t="n">
        <x:v>2026</x:v>
      </x:c>
      <x:c r="C117" t="str">
        <x:v>41958508</x:v>
      </x:c>
      <x:c r="D117" s="14" t="str">
        <x:v>Auditory integration training techniques for brain stimulation to reduce attention deficit hyperactivity disorder symptoms and improve academic and behavioral skills among children with learning disabilities.</x:v>
      </x:c>
      <x:c r="E117" s="14" t="str">
        <x:v>Primary study - qualitative</x:v>
      </x:c>
      <x:c r="F117" s="14" t="str">
        <x:v>Development &amp; presentation; Recognition &amp; diagnosis; Family &amp; education; Social &amp; structural; Treatment &amp; support; Life outcomes &amp; lived experience</x:v>
      </x:c>
      <x:c r="G117" s="14" t="str">
        <x:v>Childhood</x:v>
      </x:c>
      <x:c r="H117" s="32" t="e">
        <x:f>HYPERLINK("https://pubmed.ncbi.nlm.nih.gov/"&amp;C117&amp;"/","Open PubMed")</x:f>
        <x:v>HYPERLINK is not implemented. linkLocation=https://pubmed.ncbi.nlm.nih.gov/41958508/, friendlyName=Open PubMed</x:v>
      </x:c>
    </x:row>
    <x:row r="118">
      <x:c r="A118" t="str">
        <x:v>PUBMED-41949840</x:v>
      </x:c>
      <x:c r="B118" t="n">
        <x:v>2026</x:v>
      </x:c>
      <x:c r="C118" t="str">
        <x:v>41949840</x:v>
      </x:c>
      <x:c r="D118" s="14" t="str">
        <x:v>Age at First Attention-Deficit/Hyperactivity Disorder Diagnosis and Educational Outcomes.</x:v>
      </x:c>
      <x:c r="E118" s="14" t="str">
        <x:v>Primary study - cohort</x:v>
      </x:c>
      <x:c r="F118" s="14" t="str">
        <x:v>Development &amp; presentation; Recognition &amp; diagnosis; Family &amp; education; Social &amp; structural; Environmental &amp; lifestyle; Treatment &amp; support; Life outcomes &amp; lived experience</x:v>
      </x:c>
      <x:c r="G118" s="14" t="str">
        <x:v>Childhood; Adolescence; Adulthood</x:v>
      </x:c>
      <x:c r="H118" s="32" t="e">
        <x:f>HYPERLINK("https://pubmed.ncbi.nlm.nih.gov/"&amp;C118&amp;"/","Open PubMed")</x:f>
        <x:v>HYPERLINK is not implemented. linkLocation=https://pubmed.ncbi.nlm.nih.gov/41949840/, friendlyName=Open PubMed</x:v>
      </x:c>
    </x:row>
    <x:row r="119">
      <x:c r="A119" t="str">
        <x:v>PUBMED-41873451</x:v>
      </x:c>
      <x:c r="B119" t="n">
        <x:v>2026</x:v>
      </x:c>
      <x:c r="C119" t="str">
        <x:v>41873451</x:v>
      </x:c>
      <x:c r="D119" s="14" t="str">
        <x:v>The Effect of Methylphenidate Treatment on Oxidative Stress Levels in Children Diagnosed with Attention-Deficit/Hyperactivity Disorder: An Observational Study.</x:v>
      </x:c>
      <x:c r="E119" s="14" t="str">
        <x:v>Primary study - cohort</x:v>
      </x:c>
      <x:c r="F119" s="14" t="str">
        <x:v>Development &amp; presentation; Recognition &amp; diagnosis; Family &amp; education; Social &amp; structural; Environmental &amp; lifestyle; Treatment &amp; support; Life outcomes &amp; lived experience</x:v>
      </x:c>
      <x:c r="G119" s="14" t="str">
        <x:v>Childhood</x:v>
      </x:c>
      <x:c r="H119" s="32" t="e">
        <x:f>HYPERLINK("https://pubmed.ncbi.nlm.nih.gov/"&amp;C119&amp;"/","Open PubMed")</x:f>
        <x:v>HYPERLINK is not implemented. linkLocation=https://pubmed.ncbi.nlm.nih.gov/41873451/, friendlyName=Open PubMed</x:v>
      </x:c>
    </x:row>
    <x:row r="120">
      <x:c r="A120" t="str">
        <x:v>PUBMED-41833504</x:v>
      </x:c>
      <x:c r="B120" t="n">
        <x:v>2026</x:v>
      </x:c>
      <x:c r="C120" t="str">
        <x:v>41833504</x:v>
      </x:c>
      <x:c r="D120" s="14" t="str">
        <x:v>Experience of the diagnostic journey for ADHD in adulthood: A quantitative and qualitative study.</x:v>
      </x:c>
      <x:c r="E120" s="14" t="str">
        <x:v>Primary study - qualitative</x:v>
      </x:c>
      <x:c r="F120" s="14" t="str">
        <x:v>Development &amp; presentation; Recognition &amp; diagnosis; Social &amp; structural; Treatment &amp; support; Life outcomes &amp; lived experience; Historical &amp; contemporary context</x:v>
      </x:c>
      <x:c r="G120" s="14" t="str">
        <x:v>Childhood; Adolescence; Adulthood</x:v>
      </x:c>
      <x:c r="H120" s="32" t="e">
        <x:f>HYPERLINK("https://pubmed.ncbi.nlm.nih.gov/"&amp;C120&amp;"/","Open PubMed")</x:f>
        <x:v>HYPERLINK is not implemented. linkLocation=https://pubmed.ncbi.nlm.nih.gov/41833504/, friendlyName=Open PubMed</x:v>
      </x:c>
    </x:row>
    <x:row r="121">
      <x:c r="A121" t="str">
        <x:v>PUBMED-41205076</x:v>
      </x:c>
      <x:c r="B121" t="n">
        <x:v>2026</x:v>
      </x:c>
      <x:c r="C121" t="str">
        <x:v>41205076</x:v>
      </x:c>
      <x:c r="D121" s="14" t="str">
        <x:v>The diagnostic validity of central symptoms for major depressive disorder in adults with attention-deficit/hyperactivity disorder: a network analysis.</x:v>
      </x:c>
      <x:c r="E121" s="14" t="str">
        <x:v>Primary study - cohort</x:v>
      </x:c>
      <x:c r="F121" s="14" t="str">
        <x:v>Development &amp; presentation; Recognition &amp; diagnosis; Social &amp; structural</x:v>
      </x:c>
      <x:c r="G121" s="14" t="str">
        <x:v>Adulthood</x:v>
      </x:c>
      <x:c r="H121" s="32" t="e">
        <x:f>HYPERLINK("https://pubmed.ncbi.nlm.nih.gov/"&amp;C121&amp;"/","Open PubMed")</x:f>
        <x:v>HYPERLINK is not implemented. linkLocation=https://pubmed.ncbi.nlm.nih.gov/41205076/, friendlyName=Open PubMed</x:v>
      </x:c>
    </x:row>
    <x:row r="122">
      <x:c r="A122" t="str">
        <x:v>PUBMED-41110746</x:v>
      </x:c>
      <x:c r="B122" t="n">
        <x:v>2026</x:v>
      </x:c>
      <x:c r="C122" t="str">
        <x:v>41110746</x:v>
      </x:c>
      <x:c r="D122" s="14" t="str">
        <x:v>Circulating MicroRNAs in Cord Blood to Predict Attention-Deficit/Hyperactivity Disorder Diagnosis.</x:v>
      </x:c>
      <x:c r="E122" s="14" t="str">
        <x:v>Primary study - cohort</x:v>
      </x:c>
      <x:c r="F122" s="14" t="str">
        <x:v>Development &amp; presentation; Recognition &amp; diagnosis; Family &amp; education; Social &amp; structural; Environmental &amp; lifestyle; Life outcomes &amp; lived experience</x:v>
      </x:c>
      <x:c r="G122" s="14" t="str">
        <x:v>Childhood</x:v>
      </x:c>
      <x:c r="H122" s="32" t="e">
        <x:f>HYPERLINK("https://pubmed.ncbi.nlm.nih.gov/"&amp;C122&amp;"/","Open PubMed")</x:f>
        <x:v>HYPERLINK is not implemented. linkLocation=https://pubmed.ncbi.nlm.nih.gov/41110746/, friendlyName=Open PubMed</x:v>
      </x:c>
    </x:row>
    <x:row r="123">
      <x:c r="A123" t="str">
        <x:v>PUBMED-40962063</x:v>
      </x:c>
      <x:c r="B123" t="n">
        <x:v>2026</x:v>
      </x:c>
      <x:c r="C123" t="str">
        <x:v>40962063</x:v>
      </x:c>
      <x:c r="D123" s="14" t="str">
        <x:v>Alterations in gray matter volume and cortical thickness in medication-naive offspring with ADHD and a parental history of bipolar disorder.</x:v>
      </x:c>
      <x:c r="E123" s="14" t="str">
        <x:v>Primary study - cohort</x:v>
      </x:c>
      <x:c r="F123" s="14" t="str">
        <x:v>Development &amp; presentation; Recognition &amp; diagnosis; Family &amp; education; Social &amp; structural; Treatment &amp; support; Historical &amp; contemporary context</x:v>
      </x:c>
      <x:c r="G123" s="14" t="str">
        <x:v>Childhood; Adolescence</x:v>
      </x:c>
      <x:c r="H123" s="32" t="e">
        <x:f>HYPERLINK("https://pubmed.ncbi.nlm.nih.gov/"&amp;C123&amp;"/","Open PubMed")</x:f>
        <x:v>HYPERLINK is not implemented. linkLocation=https://pubmed.ncbi.nlm.nih.gov/40962063/, friendlyName=Open PubMed</x:v>
      </x:c>
    </x:row>
    <x:row r="124">
      <x:c r="A124" t="str">
        <x:v>PUBMED-40892097</x:v>
      </x:c>
      <x:c r="B124" t="n">
        <x:v>2026</x:v>
      </x:c>
      <x:c r="C124" t="str">
        <x:v>40892097</x:v>
      </x:c>
      <x:c r="D124" s="14" t="str">
        <x:v>Indirect associations between adolescent ADHD and/or oppositional defiant disorder symptoms and adult incomes: the mediating roles of education and co-occurring psychiatric disorders.</x:v>
      </x:c>
      <x:c r="E124" s="14" t="str">
        <x:v>Primary study - cohort</x:v>
      </x:c>
      <x:c r="F124" s="14" t="str">
        <x:v>Development &amp; presentation; Family &amp; education; Social &amp; structural; Environmental &amp; lifestyle; Life outcomes &amp; lived experience</x:v>
      </x:c>
      <x:c r="G124" s="14" t="str">
        <x:v>Adolescence; Adulthood</x:v>
      </x:c>
      <x:c r="H124" s="32" t="e">
        <x:f>HYPERLINK("https://pubmed.ncbi.nlm.nih.gov/"&amp;C124&amp;"/","Open PubMed")</x:f>
        <x:v>HYPERLINK is not implemented. linkLocation=https://pubmed.ncbi.nlm.nih.gov/40892097/, friendlyName=Open PubMed</x:v>
      </x:c>
    </x:row>
    <x:row r="125">
      <x:c r="A125" t="str">
        <x:v>PUBMED-39485594</x:v>
      </x:c>
      <x:c r="B125" t="n">
        <x:v>2026</x:v>
      </x:c>
      <x:c r="C125" t="str">
        <x:v>39485594</x:v>
      </x:c>
      <x:c r="D125" s="14" t="str">
        <x:v>Sleep Problems in Children with ADHD: Associations with Internalizing Symptoms and Physical Activity.</x:v>
      </x:c>
      <x:c r="E125" s="14" t="str">
        <x:v>Primary study - cross-sectional</x:v>
      </x:c>
      <x:c r="F125" s="14" t="str">
        <x:v>Development &amp; presentation; Social &amp; structural; Environmental &amp; lifestyle</x:v>
      </x:c>
      <x:c r="G125" s="14" t="str">
        <x:v>Childhood</x:v>
      </x:c>
      <x:c r="H125" s="32" t="e">
        <x:f>HYPERLINK("https://pubmed.ncbi.nlm.nih.gov/"&amp;C125&amp;"/","Open PubMed")</x:f>
        <x:v>HYPERLINK is not implemented. linkLocation=https://pubmed.ncbi.nlm.nih.gov/39485594/, friendlyName=Open PubMed</x:v>
      </x:c>
    </x:row>
    <x:row r="126">
      <x:c r="A126" t="str">
        <x:v>PUBMED-38992329</x:v>
      </x:c>
      <x:c r="B126" t="n">
        <x:v>2026</x:v>
      </x:c>
      <x:c r="C126" t="str">
        <x:v>38992329</x:v>
      </x:c>
      <x:c r="D126" s="14" t="str">
        <x:v>The Association Between the Impact of COVID-19 and Internalizing Problems Among Children and Adolescents with ADHD: The Moderating Role of Parental Anxiety.</x:v>
      </x:c>
      <x:c r="E126" s="14" t="str">
        <x:v>Primary study - cross-sectional</x:v>
      </x:c>
      <x:c r="F126" s="14" t="str">
        <x:v>Development &amp; presentation; Family &amp; education; Life outcomes &amp; lived experience; Historical &amp; contemporary context</x:v>
      </x:c>
      <x:c r="G126" s="14" t="str">
        <x:v>Childhood; Adolescence</x:v>
      </x:c>
      <x:c r="H126" s="32" t="e">
        <x:f>HYPERLINK("https://pubmed.ncbi.nlm.nih.gov/"&amp;C126&amp;"/","Open PubMed")</x:f>
        <x:v>HYPERLINK is not implemented. linkLocation=https://pubmed.ncbi.nlm.nih.gov/38992329/, friendlyName=Open PubMed</x:v>
      </x:c>
    </x:row>
    <x:row r="127">
      <x:c r="A127" t="str">
        <x:v>PUBMED-41739459</x:v>
      </x:c>
      <x:c r="B127" t="n">
        <x:v>2026</x:v>
      </x:c>
      <x:c r="C127" t="str">
        <x:v>41739459</x:v>
      </x:c>
      <x:c r="D127" s="14" t="str">
        <x:v>Mapping ADHD Heterogeneity and Biotypes by Topological Deviations in Morphometric Similarity Networks.</x:v>
      </x:c>
      <x:c r="E127" s="14" t="str">
        <x:v>Primary study - cohort</x:v>
      </x:c>
      <x:c r="F127" s="14" t="str">
        <x:v>Development &amp; presentation; Recognition &amp; diagnosis; Social &amp; structural; Environmental &amp; lifestyle; Life outcomes &amp; lived experience</x:v>
      </x:c>
      <x:c r="G127" s="14" t="str">
        <x:v>Childhood; Adolescence</x:v>
      </x:c>
      <x:c r="H127" s="32" t="e">
        <x:f>HYPERLINK("https://pubmed.ncbi.nlm.nih.gov/"&amp;C127&amp;"/","Open PubMed")</x:f>
        <x:v>HYPERLINK is not implemented. linkLocation=https://pubmed.ncbi.nlm.nih.gov/41739459/, friendlyName=Open PubMed</x:v>
      </x:c>
    </x:row>
    <x:row r="128">
      <x:c r="A128" t="str">
        <x:v>PUBMED-41759441</x:v>
      </x:c>
      <x:c r="B128" t="n">
        <x:v>2026</x:v>
      </x:c>
      <x:c r="C128" t="str">
        <x:v>41759441</x:v>
      </x:c>
      <x:c r="D128" s="14" t="str">
        <x:v>The effectiveness and feasibility of the new Forest parenting programme for Chinese children with attention-deficit/hyperactivity disorder and their families.</x:v>
      </x:c>
      <x:c r="E128" s="14" t="str">
        <x:v>Primary study - qualitative</x:v>
      </x:c>
      <x:c r="F128" s="14" t="str">
        <x:v>Development &amp; presentation; Family &amp; education; Social &amp; structural; Treatment &amp; support; Life outcomes &amp; lived experience</x:v>
      </x:c>
      <x:c r="G128" s="14" t="str">
        <x:v>Childhood</x:v>
      </x:c>
      <x:c r="H128" s="32" t="e">
        <x:f>HYPERLINK("https://pubmed.ncbi.nlm.nih.gov/"&amp;C128&amp;"/","Open PubMed")</x:f>
        <x:v>HYPERLINK is not implemented. linkLocation=https://pubmed.ncbi.nlm.nih.gov/41759441/, friendlyName=Open PubMed</x:v>
      </x:c>
    </x:row>
    <x:row r="129">
      <x:c r="A129" t="str">
        <x:v>PUBMED-41741629</x:v>
      </x:c>
      <x:c r="B129" t="n">
        <x:v>2026</x:v>
      </x:c>
      <x:c r="C129" t="str">
        <x:v>41741629</x:v>
      </x:c>
      <x:c r="D129" s="14" t="str">
        <x:v>Evaluation of the relationship between vitamin levels and symptom severity in adults with attention-deficit/hyperactivity disorder.</x:v>
      </x:c>
      <x:c r="E129" s="14" t="str">
        <x:v>Primary study - case-control</x:v>
      </x:c>
      <x:c r="F129" s="14" t="str">
        <x:v>Development &amp; presentation; Recognition &amp; diagnosis; Social &amp; structural; Environmental &amp; lifestyle; Life outcomes &amp; lived experience</x:v>
      </x:c>
      <x:c r="G129" s="14" t="str">
        <x:v>Adulthood</x:v>
      </x:c>
      <x:c r="H129" s="32" t="e">
        <x:f>HYPERLINK("https://pubmed.ncbi.nlm.nih.gov/"&amp;C129&amp;"/","Open PubMed")</x:f>
        <x:v>HYPERLINK is not implemented. linkLocation=https://pubmed.ncbi.nlm.nih.gov/41741629/, friendlyName=Open PubMed</x:v>
      </x:c>
    </x:row>
    <x:row r="130">
      <x:c r="A130" t="str">
        <x:v>PUBMED-41729271</x:v>
      </x:c>
      <x:c r="B130" t="n">
        <x:v>2026</x:v>
      </x:c>
      <x:c r="C130" t="str">
        <x:v>41729271</x:v>
      </x:c>
      <x:c r="D130" s="14" t="str">
        <x:v>Visual-spatial working memory in ADHD: new evidence for a storage rather than a processing deficit.</x:v>
      </x:c>
      <x:c r="E130" s="14" t="str">
        <x:v>Primary study - case-control</x:v>
      </x:c>
      <x:c r="F130" s="14" t="str">
        <x:v>Development &amp; presentation; Social &amp; structural; Life outcomes &amp; lived experience</x:v>
      </x:c>
      <x:c r="G130" s="14" t="str">
        <x:v>Childhood; Adolescence</x:v>
      </x:c>
      <x:c r="H130" s="32" t="e">
        <x:f>HYPERLINK("https://pubmed.ncbi.nlm.nih.gov/"&amp;C130&amp;"/","Open PubMed")</x:f>
        <x:v>HYPERLINK is not implemented. linkLocation=https://pubmed.ncbi.nlm.nih.gov/41729271/, friendlyName=Open PubMed</x:v>
      </x:c>
    </x:row>
    <x:row r="131">
      <x:c r="A131" t="str">
        <x:v>PUBMED-41620184</x:v>
      </x:c>
      <x:c r="B131" t="n">
        <x:v>2026</x:v>
      </x:c>
      <x:c r="C131" t="str">
        <x:v>41620184</x:v>
      </x:c>
      <x:c r="D131" s="14" t="str">
        <x:v>Development and multi-center validation of a school-home integrated machine learning model for early screening of attention-deficit/hyperactivity disorder in school-aged children.</x:v>
      </x:c>
      <x:c r="E131" s="14" t="str">
        <x:v>Primary study - cohort</x:v>
      </x:c>
      <x:c r="F131" s="14" t="str">
        <x:v>Development &amp; presentation; Recognition &amp; diagnosis; Family &amp; education; Social &amp; structural; Environmental &amp; lifestyle; Historical &amp; contemporary context</x:v>
      </x:c>
      <x:c r="G131" s="14" t="str">
        <x:v>Childhood; Adolescence</x:v>
      </x:c>
      <x:c r="H131" s="32" t="e">
        <x:f>HYPERLINK("https://pubmed.ncbi.nlm.nih.gov/"&amp;C131&amp;"/","Open PubMed")</x:f>
        <x:v>HYPERLINK is not implemented. linkLocation=https://pubmed.ncbi.nlm.nih.gov/41620184/, friendlyName=Open PubMed</x:v>
      </x:c>
    </x:row>
    <x:row r="132">
      <x:c r="A132" t="str">
        <x:v>PUBMED-41604884</x:v>
      </x:c>
      <x:c r="B132" t="n">
        <x:v>2026</x:v>
      </x:c>
      <x:c r="C132" t="str">
        <x:v>41604884</x:v>
      </x:c>
      <x:c r="D132" s="14" t="str">
        <x:v>Independent and joint associations of physical activity and sleep with ADHD in a population-based sample of children: A cross-sectional study.</x:v>
      </x:c>
      <x:c r="E132" s="14" t="str">
        <x:v>Primary study - cross-sectional</x:v>
      </x:c>
      <x:c r="F132" s="14" t="str">
        <x:v>Development &amp; presentation; Family &amp; education; Social &amp; structural; Environmental &amp; lifestyle</x:v>
      </x:c>
      <x:c r="G132" s="14" t="str">
        <x:v>Childhood; Adolescence</x:v>
      </x:c>
      <x:c r="H132" s="32" t="e">
        <x:f>HYPERLINK("https://pubmed.ncbi.nlm.nih.gov/"&amp;C132&amp;"/","Open PubMed")</x:f>
        <x:v>HYPERLINK is not implemented. linkLocation=https://pubmed.ncbi.nlm.nih.gov/41604884/, friendlyName=Open PubMed</x:v>
      </x:c>
    </x:row>
    <x:row r="133">
      <x:c r="A133" t="str">
        <x:v>PUBMED-41568706</x:v>
      </x:c>
      <x:c r="B133" t="n">
        <x:v>2026</x:v>
      </x:c>
      <x:c r="C133" t="str">
        <x:v>41568706</x:v>
      </x:c>
      <x:c r="D133" s="14" t="str">
        <x:v>Parent Perspectives on Barriers to Behavioral Health Services for Children With ADHD.</x:v>
      </x:c>
      <x:c r="E133" s="14" t="str">
        <x:v>Primary study - qualitative</x:v>
      </x:c>
      <x:c r="F133" s="14" t="str">
        <x:v>Development &amp; presentation; Recognition &amp; diagnosis; Family &amp; education; Social &amp; structural; Treatment &amp; support</x:v>
      </x:c>
      <x:c r="G133" s="14" t="str">
        <x:v>Childhood; Adulthood</x:v>
      </x:c>
      <x:c r="H133" s="32" t="e">
        <x:f>HYPERLINK("https://pubmed.ncbi.nlm.nih.gov/"&amp;C133&amp;"/","Open PubMed")</x:f>
        <x:v>HYPERLINK is not implemented. linkLocation=https://pubmed.ncbi.nlm.nih.gov/41568706/, friendlyName=Open PubMed</x:v>
      </x:c>
    </x:row>
    <x:row r="134">
      <x:c r="A134" t="str">
        <x:v>PUBMED-41507887</x:v>
      </x:c>
      <x:c r="B134" t="n">
        <x:v>2026</x:v>
      </x:c>
      <x:c r="C134" t="str">
        <x:v>41507887</x:v>
      </x:c>
      <x:c r="D134" s="14" t="str">
        <x:v>The role of executive function for differentiating symptoms of ADHD in preschoolers.</x:v>
      </x:c>
      <x:c r="E134" s="14" t="str">
        <x:v>Primary study - cohort</x:v>
      </x:c>
      <x:c r="F134" s="14" t="str">
        <x:v>Development &amp; presentation; Recognition &amp; diagnosis; Family &amp; education; Social &amp; structural</x:v>
      </x:c>
      <x:c r="G134" s="14" t="str">
        <x:v>Childhood</x:v>
      </x:c>
      <x:c r="H134" s="32" t="e">
        <x:f>HYPERLINK("https://pubmed.ncbi.nlm.nih.gov/"&amp;C134&amp;"/","Open PubMed")</x:f>
        <x:v>HYPERLINK is not implemented. linkLocation=https://pubmed.ncbi.nlm.nih.gov/41507887/, friendlyName=Open PubMed</x:v>
      </x:c>
    </x:row>
    <x:row r="135">
      <x:c r="A135" t="str">
        <x:v>PUBMED-41482947</x:v>
      </x:c>
      <x:c r="B135" t="n">
        <x:v>2026</x:v>
      </x:c>
      <x:c r="C135" t="str">
        <x:v>41482947</x:v>
      </x:c>
      <x:c r="D135" s="14" t="str">
        <x:v>Increased Serum Netrin-1 Levels Among Children Diagnosed With ADHD.</x:v>
      </x:c>
      <x:c r="E135" s="14" t="str">
        <x:v>Primary study - case-control</x:v>
      </x:c>
      <x:c r="F135" s="14" t="str">
        <x:v>Development &amp; presentation; Recognition &amp; diagnosis; Family &amp; education; Social &amp; structural; Life outcomes &amp; lived experience</x:v>
      </x:c>
      <x:c r="G135" s="14" t="str">
        <x:v>Childhood</x:v>
      </x:c>
      <x:c r="H135" s="32" t="e">
        <x:f>HYPERLINK("https://pubmed.ncbi.nlm.nih.gov/"&amp;C135&amp;"/","Open PubMed")</x:f>
        <x:v>HYPERLINK is not implemented. linkLocation=https://pubmed.ncbi.nlm.nih.gov/41482947/, friendlyName=Open PubMed</x:v>
      </x:c>
    </x:row>
    <x:row r="136">
      <x:c r="A136" t="str">
        <x:v>PUBMED-41315883</x:v>
      </x:c>
      <x:c r="B136" t="n">
        <x:v>2026</x:v>
      </x:c>
      <x:c r="C136" t="str">
        <x:v>41315883</x:v>
      </x:c>
      <x:c r="D136" s="14" t="str">
        <x:v>"I Felt Like a Burden": An Exploration Into the Experience of Romantic Relationships for People With ADHD.</x:v>
      </x:c>
      <x:c r="E136" s="14" t="str">
        <x:v>Primary study - qualitative</x:v>
      </x:c>
      <x:c r="F136" s="14" t="str">
        <x:v>Development &amp; presentation; Family &amp; education; Social &amp; structural; Life outcomes &amp; lived experience</x:v>
      </x:c>
      <x:c r="G136" s="14" t="str">
        <x:v>Adulthood</x:v>
      </x:c>
      <x:c r="H136" s="32" t="e">
        <x:f>HYPERLINK("https://pubmed.ncbi.nlm.nih.gov/"&amp;C136&amp;"/","Open PubMed")</x:f>
        <x:v>HYPERLINK is not implemented. linkLocation=https://pubmed.ncbi.nlm.nih.gov/41315883/, friendlyName=Open PubMed</x:v>
      </x:c>
    </x:row>
    <x:row r="137">
      <x:c r="A137" t="str">
        <x:v>PUBMED-41165045</x:v>
      </x:c>
      <x:c r="B137" t="n">
        <x:v>2026</x:v>
      </x:c>
      <x:c r="C137" t="str">
        <x:v>41165045</x:v>
      </x:c>
      <x:c r="D137" s="14" t="str">
        <x:v>Circadian rhythm patterns and screen time in relation to sleep quality in adults with attention-deficit/hyperactivity disorder.</x:v>
      </x:c>
      <x:c r="E137" s="14" t="str">
        <x:v>Primary study - case-control</x:v>
      </x:c>
      <x:c r="F137" s="14" t="str">
        <x:v>Development &amp; presentation; Recognition &amp; diagnosis; Social &amp; structural; Environmental &amp; lifestyle</x:v>
      </x:c>
      <x:c r="G137" s="14" t="str">
        <x:v>Adulthood</x:v>
      </x:c>
      <x:c r="H137" s="32" t="e">
        <x:f>HYPERLINK("https://pubmed.ncbi.nlm.nih.gov/"&amp;C137&amp;"/","Open PubMed")</x:f>
        <x:v>HYPERLINK is not implemented. linkLocation=https://pubmed.ncbi.nlm.nih.gov/41165045/, friendlyName=Open PubMed</x:v>
      </x:c>
    </x:row>
    <x:row r="138">
      <x:c r="A138" t="str">
        <x:v>PUBMED-41121671</x:v>
      </x:c>
      <x:c r="B138" t="n">
        <x:v>2026</x:v>
      </x:c>
      <x:c r="C138" t="str">
        <x:v>41121671</x:v>
      </x:c>
      <x:c r="D138" s="14" t="str">
        <x:v>Feasibility of the Psychoeducational Programme SKILLS for the Child's Social Network for Patients Newly Diagnosed With ADHD: A Mixed-Method Design Study.</x:v>
      </x:c>
      <x:c r="E138" s="14" t="str">
        <x:v>Primary study - qualitative</x:v>
      </x:c>
      <x:c r="F138" s="14" t="str">
        <x:v>Development &amp; presentation; Recognition &amp; diagnosis; Family &amp; education; Social &amp; structural; Environmental &amp; lifestyle; Treatment &amp; support; Life outcomes &amp; lived experience; Historical &amp; contemporary context</x:v>
      </x:c>
      <x:c r="G138" s="14" t="str">
        <x:v>Childhood; Adolescence; Adulthood</x:v>
      </x:c>
      <x:c r="H138" s="32" t="e">
        <x:f>HYPERLINK("https://pubmed.ncbi.nlm.nih.gov/"&amp;C138&amp;"/","Open PubMed")</x:f>
        <x:v>HYPERLINK is not implemented. linkLocation=https://pubmed.ncbi.nlm.nih.gov/41121671/, friendlyName=Open PubMed</x:v>
      </x:c>
    </x:row>
    <x:row r="139">
      <x:c r="A139" t="str">
        <x:v>PUBMED-41023579</x:v>
      </x:c>
      <x:c r="B139" t="n">
        <x:v>2026</x:v>
      </x:c>
      <x:c r="C139" t="str">
        <x:v>41023579</x:v>
      </x:c>
      <x:c r="D139" s="14" t="str">
        <x:v>The clinical utility of the BRIEF2 ERI in detecting comorbid conditions associated with ADHD: a retrospective cohort analysis of clinically referred school-aged children.</x:v>
      </x:c>
      <x:c r="E139" s="14" t="str">
        <x:v>Primary study - cohort</x:v>
      </x:c>
      <x:c r="F139" s="14" t="str">
        <x:v>Development &amp; presentation; Recognition &amp; diagnosis; Family &amp; education; Social &amp; structural; Treatment &amp; support</x:v>
      </x:c>
      <x:c r="G139" s="14" t="str">
        <x:v>Childhood</x:v>
      </x:c>
      <x:c r="H139" s="32" t="e">
        <x:f>HYPERLINK("https://pubmed.ncbi.nlm.nih.gov/"&amp;C139&amp;"/","Open PubMed")</x:f>
        <x:v>HYPERLINK is not implemented. linkLocation=https://pubmed.ncbi.nlm.nih.gov/41023579/, friendlyName=Open PubMed</x:v>
      </x:c>
    </x:row>
    <x:row r="140">
      <x:c r="A140" t="str">
        <x:v>PUBMED-39708078</x:v>
      </x:c>
      <x:c r="B140" t="n">
        <x:v>2026</x:v>
      </x:c>
      <x:c r="C140" t="str">
        <x:v>39708078</x:v>
      </x:c>
      <x:c r="D140" s="14" t="str">
        <x:v>Peer Problems and Prosocial Behavior Among Icelandic Children and Adolescents with ADHD and/or Autism: Gender and Age Differences.</x:v>
      </x:c>
      <x:c r="E140" s="14" t="str">
        <x:v>Primary study - cross-sectional</x:v>
      </x:c>
      <x:c r="F140" s="14" t="str">
        <x:v>Development &amp; presentation; Recognition &amp; diagnosis; Family &amp; education; Social &amp; structural; Life outcomes &amp; lived experience</x:v>
      </x:c>
      <x:c r="G140" s="14" t="str">
        <x:v>Childhood; Adolescence</x:v>
      </x:c>
      <x:c r="H140" s="32" t="e">
        <x:f>HYPERLINK("https://pubmed.ncbi.nlm.nih.gov/"&amp;C140&amp;"/","Open PubMed")</x:f>
        <x:v>HYPERLINK is not implemented. linkLocation=https://pubmed.ncbi.nlm.nih.gov/39708078/, friendlyName=Open PubMed</x:v>
      </x:c>
    </x:row>
    <x:row r="141">
      <x:c r="A141" t="str">
        <x:v>PUBMED-41062256</x:v>
      </x:c>
      <x:c r="B141" t="n">
        <x:v>2026</x:v>
      </x:c>
      <x:c r="C141" t="str">
        <x:v>41062256</x:v>
      </x:c>
      <x:c r="D141" s="14" t="str">
        <x:v>School readiness as a signal of attention-deficit hyperactivity disorder: a population-based cohort study highlighting structural inequalities.</x:v>
      </x:c>
      <x:c r="E141" s="14" t="str">
        <x:v>Primary study - cohort</x:v>
      </x:c>
      <x:c r="F141" s="14" t="str">
        <x:v>Development &amp; presentation; Recognition &amp; diagnosis; Family &amp; education; Social &amp; structural</x:v>
      </x:c>
      <x:c r="G141" s="14" t="str">
        <x:v>Childhood</x:v>
      </x:c>
      <x:c r="H141" s="32" t="e">
        <x:f>HYPERLINK("https://pubmed.ncbi.nlm.nih.gov/"&amp;C141&amp;"/","Open PubMed")</x:f>
        <x:v>HYPERLINK is not implemented. linkLocation=https://pubmed.ncbi.nlm.nih.gov/41062256/, friendlyName=Open PubMed</x:v>
      </x:c>
    </x:row>
    <x:row r="142">
      <x:c r="A142" t="str">
        <x:v>PUBMED-42069429</x:v>
      </x:c>
      <x:c r="B142" t="n">
        <x:v>2026</x:v>
      </x:c>
      <x:c r="C142" t="str">
        <x:v>42069429</x:v>
      </x:c>
      <x:c r="D142" s="14" t="str">
        <x:v>GENDER DIFFERENCES IN EMOTIONAL REGULATION AMONG ADOLESCENTS WITH ELEVATED ADHD SYMPTOMS: A SCHOOL-BASED STUDY.</x:v>
      </x:c>
      <x:c r="E142" s="14" t="str">
        <x:v>Primary study - cross-sectional</x:v>
      </x:c>
      <x:c r="F142" s="14" t="str">
        <x:v>Development &amp; presentation; Recognition &amp; diagnosis; Family &amp; education; Social &amp; structural; Treatment &amp; support; Life outcomes &amp; lived experience</x:v>
      </x:c>
      <x:c r="G142" s="14" t="str">
        <x:v>Childhood; Adolescence</x:v>
      </x:c>
      <x:c r="H142" s="32" t="e">
        <x:f>HYPERLINK("https://pubmed.ncbi.nlm.nih.gov/"&amp;C142&amp;"/","Open PubMed")</x:f>
        <x:v>HYPERLINK is not implemented. linkLocation=https://pubmed.ncbi.nlm.nih.gov/42069429/, friendlyName=Open PubMed</x:v>
      </x:c>
    </x:row>
    <x:row r="143">
      <x:c r="A143" t="str">
        <x:v>PUBMED-41945993</x:v>
      </x:c>
      <x:c r="B143" t="n">
        <x:v>2026</x:v>
      </x:c>
      <x:c r="C143" t="str">
        <x:v>41945993</x:v>
      </x:c>
      <x:c r="D143" s="14" t="str">
        <x:v>Parenting stressors, social support, and mental health of mothers of children with attention deficit hyperactivity disorder.</x:v>
      </x:c>
      <x:c r="E143" s="14" t="str">
        <x:v>Primary study - cross-sectional</x:v>
      </x:c>
      <x:c r="F143" s="14" t="str">
        <x:v>Development &amp; presentation; Recognition &amp; diagnosis; Family &amp; education; Social &amp; structural; Environmental &amp; lifestyle</x:v>
      </x:c>
      <x:c r="G143" s="14" t="str">
        <x:v>Childhood; Adolescence; Adulthood</x:v>
      </x:c>
      <x:c r="H143" s="32" t="e">
        <x:f>HYPERLINK("https://pubmed.ncbi.nlm.nih.gov/"&amp;C143&amp;"/","Open PubMed")</x:f>
        <x:v>HYPERLINK is not implemented. linkLocation=https://pubmed.ncbi.nlm.nih.gov/41945993/, friendlyName=Open PubMed</x:v>
      </x:c>
    </x:row>
    <x:row r="144">
      <x:c r="A144" t="str">
        <x:v>PUBMED-41928433</x:v>
      </x:c>
      <x:c r="B144" t="n">
        <x:v>2026</x:v>
      </x:c>
      <x:c r="C144" t="str">
        <x:v>41928433</x:v>
      </x:c>
      <x:c r="D144" s="14" t="str">
        <x:v>The Effects of Physical Activity Timing and Adherence to Physical Activity Guidelines on Sleep in Children With ADHD.</x:v>
      </x:c>
      <x:c r="E144" s="14" t="str">
        <x:v>Primary study - cross-sectional</x:v>
      </x:c>
      <x:c r="F144" s="14" t="str">
        <x:v>Development &amp; presentation; Social &amp; structural; Environmental &amp; lifestyle; Treatment &amp; support; Life outcomes &amp; lived experience</x:v>
      </x:c>
      <x:c r="G144" s="14" t="str">
        <x:v>Childhood</x:v>
      </x:c>
      <x:c r="H144" s="32" t="e">
        <x:f>HYPERLINK("https://pubmed.ncbi.nlm.nih.gov/"&amp;C144&amp;"/","Open PubMed")</x:f>
        <x:v>HYPERLINK is not implemented. linkLocation=https://pubmed.ncbi.nlm.nih.gov/41928433/, friendlyName=Open PubMed</x:v>
      </x:c>
    </x:row>
    <x:row r="145">
      <x:c r="A145" t="str">
        <x:v>PUBMED-41844271</x:v>
      </x:c>
      <x:c r="B145" t="n">
        <x:v>2026</x:v>
      </x:c>
      <x:c r="C145" t="str">
        <x:v>41844271</x:v>
      </x:c>
      <x:c r="D145" s="14" t="str">
        <x:v>Editorial: ADHD persistence - the interplay of genes, socioeconomic context, and symptom domains over development.</x:v>
      </x:c>
      <x:c r="E145" s="14" t="str">
        <x:v>Primary study - cross-sectional</x:v>
      </x:c>
      <x:c r="F145" s="14" t="str">
        <x:v>Development &amp; presentation; Social &amp; structural; Environmental &amp; lifestyle</x:v>
      </x:c>
      <x:c r="G145" s="14" t="str">
        <x:v>Childhood; Adolescence; Adulthood</x:v>
      </x:c>
      <x:c r="H145" s="32" t="e">
        <x:f>HYPERLINK("https://pubmed.ncbi.nlm.nih.gov/"&amp;C145&amp;"/","Open PubMed")</x:f>
        <x:v>HYPERLINK is not implemented. linkLocation=https://pubmed.ncbi.nlm.nih.gov/41844271/, friendlyName=Open PubMed</x:v>
      </x:c>
    </x:row>
    <x:row r="146">
      <x:c r="A146" t="str">
        <x:v>PUBMED-41823121</x:v>
      </x:c>
      <x:c r="B146" t="n">
        <x:v>2026</x:v>
      </x:c>
      <x:c r="C146" t="str">
        <x:v>41823121</x:v>
      </x:c>
      <x:c r="D146" s="14" t="str">
        <x:v>Screen time, social jetlag, future hope, and ADHD symptoms in university students.</x:v>
      </x:c>
      <x:c r="E146" s="14" t="str">
        <x:v>Primary study - cross-sectional</x:v>
      </x:c>
      <x:c r="F146" s="14" t="str">
        <x:v>Development &amp; presentation; Recognition &amp; diagnosis; Family &amp; education; Social &amp; structural; Environmental &amp; lifestyle; Treatment &amp; support</x:v>
      </x:c>
      <x:c r="G146" s="14" t="str">
        <x:v>Adolescence; Adulthood</x:v>
      </x:c>
      <x:c r="H146" s="32" t="e">
        <x:f>HYPERLINK("https://pubmed.ncbi.nlm.nih.gov/"&amp;C146&amp;"/","Open PubMed")</x:f>
        <x:v>HYPERLINK is not implemented. linkLocation=https://pubmed.ncbi.nlm.nih.gov/41823121/, friendlyName=Open PubMed</x:v>
      </x:c>
    </x:row>
    <x:row r="147">
      <x:c r="A147" t="str">
        <x:v>PUBMED-41814597</x:v>
      </x:c>
      <x:c r="B147" t="n">
        <x:v>2026</x:v>
      </x:c>
      <x:c r="C147" t="str">
        <x:v>41814597</x:v>
      </x:c>
      <x:c r="D147" s="14" t="str">
        <x:v>Mind the Gap! Sleep Problems in Children With ADHD-A Qualitative Analysis of Clinician Training Needs.</x:v>
      </x:c>
      <x:c r="E147" s="14" t="str">
        <x:v>Primary study - qualitative</x:v>
      </x:c>
      <x:c r="F147" s="14" t="str">
        <x:v>Development &amp; presentation; Family &amp; education; Social &amp; structural; Environmental &amp; lifestyle; Treatment &amp; support; Life outcomes &amp; lived experience; Historical &amp; contemporary context</x:v>
      </x:c>
      <x:c r="G147" s="14" t="str">
        <x:v>Childhood</x:v>
      </x:c>
      <x:c r="H147" s="32" t="e">
        <x:f>HYPERLINK("https://pubmed.ncbi.nlm.nih.gov/"&amp;C147&amp;"/","Open PubMed")</x:f>
        <x:v>HYPERLINK is not implemented. linkLocation=https://pubmed.ncbi.nlm.nih.gov/41814597/, friendlyName=Open PubMed</x:v>
      </x:c>
    </x:row>
    <x:row r="148">
      <x:c r="A148" t="str">
        <x:v>PUBMED-41803832</x:v>
      </x:c>
      <x:c r="B148" t="n">
        <x:v>2026</x:v>
      </x:c>
      <x:c r="C148" t="str">
        <x:v>41803832</x:v>
      </x:c>
      <x:c r="D148" s="14" t="str">
        <x:v>Adiposity and attention deficit hyperactivity disorder comorbidity in Chinese children and adolescents: the role of adiposity duration and screen time.</x:v>
      </x:c>
      <x:c r="E148" s="14" t="str">
        <x:v>Primary study - case-control</x:v>
      </x:c>
      <x:c r="F148" s="14" t="str">
        <x:v>Development &amp; presentation; Recognition &amp; diagnosis; Social &amp; structural; Environmental &amp; lifestyle; Treatment &amp; support</x:v>
      </x:c>
      <x:c r="G148" s="14" t="str">
        <x:v>Childhood; Adolescence</x:v>
      </x:c>
      <x:c r="H148" s="32" t="e">
        <x:f>HYPERLINK("https://pubmed.ncbi.nlm.nih.gov/"&amp;C148&amp;"/","Open PubMed")</x:f>
        <x:v>HYPERLINK is not implemented. linkLocation=https://pubmed.ncbi.nlm.nih.gov/41803832/, friendlyName=Open PubMed</x:v>
      </x:c>
    </x:row>
    <x:row r="149">
      <x:c r="A149" t="str">
        <x:v>PUBMED-40974183</x:v>
      </x:c>
      <x:c r="B149" t="n">
        <x:v>2026</x:v>
      </x:c>
      <x:c r="C149" t="str">
        <x:v>40974183</x:v>
      </x:c>
      <x:c r="D149" s="14" t="str">
        <x:v>Mapping phenotypic and genetic relationships among irritability, depression and ADHD in adolescence using network analysis.</x:v>
      </x:c>
      <x:c r="E149" s="14" t="str">
        <x:v>Primary study - cohort</x:v>
      </x:c>
      <x:c r="F149" s="14" t="str">
        <x:v>Development &amp; presentation; Recognition &amp; diagnosis; Family &amp; education; Social &amp; structural; Treatment &amp; support; Life outcomes &amp; lived experience</x:v>
      </x:c>
      <x:c r="G149" s="14" t="str">
        <x:v>Childhood; Adolescence</x:v>
      </x:c>
      <x:c r="H149" s="32" t="e">
        <x:f>HYPERLINK("https://pubmed.ncbi.nlm.nih.gov/"&amp;C149&amp;"/","Open PubMed")</x:f>
        <x:v>HYPERLINK is not implemented. linkLocation=https://pubmed.ncbi.nlm.nih.gov/40974183/, friendlyName=Open PubMed</x:v>
      </x:c>
    </x:row>
    <x:row r="150">
      <x:c r="A150" t="str">
        <x:v>PUBMED-40968259</x:v>
      </x:c>
      <x:c r="B150" t="n">
        <x:v>2026</x:v>
      </x:c>
      <x:c r="C150" t="str">
        <x:v>40968259</x:v>
      </x:c>
      <x:c r="D150" s="14" t="str">
        <x:v>A low frequency damaging SORCS2 variant identified in a family with ADHD compromises receptor stability and quenches activity.</x:v>
      </x:c>
      <x:c r="E150" s="14" t="str">
        <x:v>Primary study - cohort</x:v>
      </x:c>
      <x:c r="F150" s="14" t="str">
        <x:v>Development &amp; presentation; Family &amp; education; Social &amp; structural; Environmental &amp; lifestyle</x:v>
      </x:c>
      <x:c r="G150" s="14" t="str">
        <x:v>Childhood; Adulthood</x:v>
      </x:c>
      <x:c r="H150" s="32" t="e">
        <x:f>HYPERLINK("https://pubmed.ncbi.nlm.nih.gov/"&amp;C150&amp;"/","Open PubMed")</x:f>
        <x:v>HYPERLINK is not implemented. linkLocation=https://pubmed.ncbi.nlm.nih.gov/40968259/, friendlyName=Open PubMed</x:v>
      </x:c>
    </x:row>
    <x:row r="151">
      <x:c r="A151" t="str">
        <x:v>PUBMED-42749630</x:v>
      </x:c>
      <x:c r="B151" t="n">
        <x:v>2026</x:v>
      </x:c>
      <x:c r="C151" t="str">
        <x:v>42749630</x:v>
      </x:c>
      <x:c r="D151" s="14" t="str">
        <x:v>Workplace adjustments equivalent to reasonable accommodations and workplace maladjustment in a general working population, with a focus on high autism spectrum disorder (ASD) and attention deficit/hyperactivity disorder (ADHD) traits.</x:v>
      </x:c>
      <x:c r="E151" s="14" t="str">
        <x:v>Primary study - cross-sectional</x:v>
      </x:c>
      <x:c r="F151" s="14" t="str">
        <x:v>Development &amp; presentation; Social &amp; structural; Environmental &amp; lifestyle; Treatment &amp; support; Life outcomes &amp; lived experience; Historical &amp; contemporary context</x:v>
      </x:c>
      <x:c r="G151" s="14" t="str">
        <x:v>Adulthood</x:v>
      </x:c>
      <x:c r="H151" s="32" t="e">
        <x:f>HYPERLINK("https://pubmed.ncbi.nlm.nih.gov/"&amp;C151&amp;"/","Open PubMed")</x:f>
        <x:v>HYPERLINK is not implemented. linkLocation=https://pubmed.ncbi.nlm.nih.gov/42749630/, friendlyName=Open PubMed</x:v>
      </x:c>
    </x:row>
    <x:row r="152">
      <x:c r="A152" t="str">
        <x:v>PUBMED-42747853</x:v>
      </x:c>
      <x:c r="B152" t="n">
        <x:v>2026</x:v>
      </x:c>
      <x:c r="C152" t="str">
        <x:v>42747853</x:v>
      </x:c>
      <x:c r="D152" s="14" t="str">
        <x:v>Age at Diagnosis and Clinical and Genetic Profiles Among Adults With Attention-Deficit/Hyperactivity Disorder.</x:v>
      </x:c>
      <x:c r="E152" s="14" t="str">
        <x:v>Primary study - cohort</x:v>
      </x:c>
      <x:c r="F152" s="14" t="str">
        <x:v>Development &amp; presentation; Recognition &amp; diagnosis; Family &amp; education; Social &amp; structural; Environmental &amp; lifestyle; Life outcomes &amp; lived experience</x:v>
      </x:c>
      <x:c r="G152" s="14" t="str">
        <x:v>Childhood; Adolescence; Adulthood</x:v>
      </x:c>
      <x:c r="H152" s="32" t="e">
        <x:f>HYPERLINK("https://pubmed.ncbi.nlm.nih.gov/"&amp;C152&amp;"/","Open PubMed")</x:f>
        <x:v>HYPERLINK is not implemented. linkLocation=https://pubmed.ncbi.nlm.nih.gov/42747853/, friendlyName=Open PubMed</x:v>
      </x:c>
    </x:row>
  </x:sheetData>
  <x:pageMargins left="0.7" right="0.7" top="0.75" bottom="0.75" header="0.3" footer="0.3"/>
  <x:tableParts count="1">
    <x:tablePart xmlns:r="http://schemas.openxmlformats.org/officeDocument/2006/relationships" r:id="Rd641fa3f072e4e0e"/>
  </x:tableParts>
</x:worksheet>
</file>

<file path=xl/worksheets/sheet7.xml><?xml version="1.0" encoding="utf-8"?>
<x:worksheet xmlns:x="http://schemas.openxmlformats.org/spreadsheetml/2006/main">
  <x:sheetFormatPr defaultRowHeight="15"/>
  <x:cols>
    <x:col min="1" max="1" width="18" hidden="0" customWidth="1"/>
    <x:col min="2" max="2" width="8" hidden="0" customWidth="1"/>
    <x:col min="3" max="3" width="12" hidden="0" customWidth="1"/>
    <x:col min="4" max="4" width="58" hidden="0" customWidth="1"/>
    <x:col min="5" max="5" width="34" hidden="0" customWidth="1"/>
    <x:col min="6" max="6" width="48" hidden="0" customWidth="1"/>
    <x:col min="7" max="7" width="24" hidden="0" customWidth="1"/>
    <x:col min="8" max="8" width="44" hidden="0" customWidth="1"/>
  </x:cols>
  <x:sheetData>
    <x:row r="1" ht="30" customHeight="1">
      <x:c r="A1" s="21" t="str">
        <x:v>Paper ID</x:v>
      </x:c>
      <x:c r="B1" s="21" t="str">
        <x:v>Year</x:v>
      </x:c>
      <x:c r="C1" s="21" t="str">
        <x:v>PMID</x:v>
      </x:c>
      <x:c r="D1" s="21" t="str">
        <x:v>Title</x:v>
      </x:c>
      <x:c r="E1" s="21" t="str">
        <x:v>Source type</x:v>
      </x:c>
      <x:c r="F1" s="21" t="str">
        <x:v>Topic tags</x:v>
      </x:c>
      <x:c r="G1" s="21" t="str">
        <x:v>Life stage</x:v>
      </x:c>
      <x:c r="H1" s="21" t="str">
        <x:v>Paper Link (PubMed)</x:v>
      </x:c>
    </x:row>
    <x:row r="2">
      <x:c r="A2" t="str">
        <x:v>PUBMED-1974836</x:v>
      </x:c>
      <x:c r="B2" t="n">
        <x:v>1990</x:v>
      </x:c>
      <x:c r="C2" t="str">
        <x:v>1974836</x:v>
      </x:c>
      <x:c r="D2" s="14" t="str">
        <x:v>Attention-deficit hyperactivity disorder.</x:v>
      </x:c>
      <x:c r="E2" s="14" t="str">
        <x:v>Evidence synthesis - review</x:v>
      </x:c>
      <x:c r="F2" s="14" t="str">
        <x:v>Development &amp; presentation; Recognition &amp; diagnosis; Family &amp; education; Social &amp; structural; Treatment &amp; support</x:v>
      </x:c>
      <x:c r="G2" s="14" t="str">
        <x:v>Childhood; Adulthood</x:v>
      </x:c>
      <x:c r="H2" s="32" t="e">
        <x:f>HYPERLINK("https://pubmed.ncbi.nlm.nih.gov/"&amp;C2&amp;"/","Open PubMed")</x:f>
        <x:v>HYPERLINK is not implemented. linkLocation=https://pubmed.ncbi.nlm.nih.gov/1974836/, friendlyName=Open PubMed</x:v>
      </x:c>
    </x:row>
    <x:row r="3">
      <x:c r="A3" t="str">
        <x:v>PUBMED-2289969</x:v>
      </x:c>
      <x:c r="B3" t="n">
        <x:v>1990</x:v>
      </x:c>
      <x:c r="C3" t="str">
        <x:v>2289969</x:v>
      </x:c>
      <x:c r="D3" s="14" t="str">
        <x:v>A critique of current diagnostic criteria for attention deficit hyperactivity disorder: clinical and research implications.</x:v>
      </x:c>
      <x:c r="E3" s="14" t="str">
        <x:v>Evidence synthesis - review</x:v>
      </x:c>
      <x:c r="F3" s="14" t="str">
        <x:v>Development &amp; presentation; Recognition &amp; diagnosis; Family &amp; education; Social &amp; structural; Environmental &amp; lifestyle</x:v>
      </x:c>
      <x:c r="G3" s="14" t="str">
        <x:v>Childhood; Adolescence</x:v>
      </x:c>
      <x:c r="H3" s="32" t="e">
        <x:f>HYPERLINK("https://pubmed.ncbi.nlm.nih.gov/"&amp;C3&amp;"/","Open PubMed")</x:f>
        <x:v>HYPERLINK is not implemented. linkLocation=https://pubmed.ncbi.nlm.nih.gov/2289969/, friendlyName=Open PubMed</x:v>
      </x:c>
    </x:row>
    <x:row r="4">
      <x:c r="A4" t="str">
        <x:v>PUBMED-2258099</x:v>
      </x:c>
      <x:c r="B4" t="n">
        <x:v>1990</x:v>
      </x:c>
      <x:c r="C4" t="str">
        <x:v>2258099</x:v>
      </x:c>
      <x:c r="D4" s="14" t="str">
        <x:v>[Attention deficit disorder].</x:v>
      </x:c>
      <x:c r="E4" s="14" t="str">
        <x:v>Evidence synthesis - review</x:v>
      </x:c>
      <x:c r="F4" s="14" t="str">
        <x:v>Development &amp; presentation; Recognition &amp; diagnosis; Treatment &amp; support</x:v>
      </x:c>
      <x:c r="G4" s="14" t="str">
        <x:v>Not specified</x:v>
      </x:c>
      <x:c r="H4" s="32" t="e">
        <x:f>HYPERLINK("https://pubmed.ncbi.nlm.nih.gov/"&amp;C4&amp;"/","Open PubMed")</x:f>
        <x:v>HYPERLINK is not implemented. linkLocation=https://pubmed.ncbi.nlm.nih.gov/2258099/, friendlyName=Open PubMed</x:v>
      </x:c>
    </x:row>
    <x:row r="5">
      <x:c r="A5" t="str">
        <x:v>PUBMED-2251528</x:v>
      </x:c>
      <x:c r="B5" t="n">
        <x:v>1990</x:v>
      </x:c>
      <x:c r="C5" t="str">
        <x:v>2251528</x:v>
      </x:c>
      <x:c r="D5" s="14" t="str">
        <x:v>Attention deficit hyperactivity disorder: does it affect adults too?</x:v>
      </x:c>
      <x:c r="E5" s="14" t="str">
        <x:v>Evidence synthesis - review</x:v>
      </x:c>
      <x:c r="F5" s="14" t="str">
        <x:v>Development &amp; presentation; Recognition &amp; diagnosis; Social &amp; structural; Treatment &amp; support</x:v>
      </x:c>
      <x:c r="G5" s="14" t="str">
        <x:v>Childhood; Adolescence; Adulthood</x:v>
      </x:c>
      <x:c r="H5" s="32" t="e">
        <x:f>HYPERLINK("https://pubmed.ncbi.nlm.nih.gov/"&amp;C5&amp;"/","Open PubMed")</x:f>
        <x:v>HYPERLINK is not implemented. linkLocation=https://pubmed.ncbi.nlm.nih.gov/2251528/, friendlyName=Open PubMed</x:v>
      </x:c>
    </x:row>
    <x:row r="6">
      <x:c r="A6" t="str">
        <x:v>PUBMED-1979565</x:v>
      </x:c>
      <x:c r="B6" t="n">
        <x:v>1990</x:v>
      </x:c>
      <x:c r="C6" t="str">
        <x:v>1979565</x:v>
      </x:c>
      <x:c r="D6" s="14" t="str">
        <x:v>Stimulants for ADHD in child patients with Tourette's syndrome: the issue of relative risk.</x:v>
      </x:c>
      <x:c r="E6" s="14" t="str">
        <x:v>Evidence synthesis - review</x:v>
      </x:c>
      <x:c r="F6" s="14" t="str">
        <x:v>Development &amp; presentation; Treatment &amp; support</x:v>
      </x:c>
      <x:c r="G6" s="14" t="str">
        <x:v>Childhood</x:v>
      </x:c>
      <x:c r="H6" s="32" t="e">
        <x:f>HYPERLINK("https://pubmed.ncbi.nlm.nih.gov/"&amp;C6&amp;"/","Open PubMed")</x:f>
        <x:v>HYPERLINK is not implemented. linkLocation=https://pubmed.ncbi.nlm.nih.gov/1979565/, friendlyName=Open PubMed</x:v>
      </x:c>
    </x:row>
    <x:row r="7">
      <x:c r="A7" t="str">
        <x:v>PUBMED-1981119</x:v>
      </x:c>
      <x:c r="B7" t="n">
        <x:v>1990</x:v>
      </x:c>
      <x:c r="C7" t="str">
        <x:v>1981119</x:v>
      </x:c>
      <x:c r="D7" s="14" t="str">
        <x:v>[Stimulant therapy of hyperkinetic syndrome in childhood and adolescence].</x:v>
      </x:c>
      <x:c r="E7" s="14" t="str">
        <x:v>Evidence synthesis - review</x:v>
      </x:c>
      <x:c r="F7" s="14" t="str">
        <x:v>Development &amp; presentation; Treatment &amp; support</x:v>
      </x:c>
      <x:c r="G7" s="14" t="str">
        <x:v>Childhood; Adolescence</x:v>
      </x:c>
      <x:c r="H7" s="32" t="e">
        <x:f>HYPERLINK("https://pubmed.ncbi.nlm.nih.gov/"&amp;C7&amp;"/","Open PubMed")</x:f>
        <x:v>HYPERLINK is not implemented. linkLocation=https://pubmed.ncbi.nlm.nih.gov/1981119/, friendlyName=Open PubMed</x:v>
      </x:c>
    </x:row>
    <x:row r="8">
      <x:c r="A8" t="str">
        <x:v>PUBMED-21117844</x:v>
      </x:c>
      <x:c r="B8" t="n">
        <x:v>2010</x:v>
      </x:c>
      <x:c r="C8" t="str">
        <x:v>21117844</x:v>
      </x:c>
      <x:c r="D8" s="14" t="str">
        <x:v>Review of attention-deficit/hyperactivity disorder comorbid with oppositional defiant disorder.</x:v>
      </x:c>
      <x:c r="E8" s="14" t="str">
        <x:v>Evidence synthesis - review</x:v>
      </x:c>
      <x:c r="F8" s="14" t="str">
        <x:v>Development &amp; presentation; Recognition &amp; diagnosis; Social &amp; structural; Treatment &amp; support; Life outcomes &amp; lived experience</x:v>
      </x:c>
      <x:c r="G8" s="14" t="str">
        <x:v>Adolescence</x:v>
      </x:c>
      <x:c r="H8" s="32" t="e">
        <x:f>HYPERLINK("https://pubmed.ncbi.nlm.nih.gov/"&amp;C8&amp;"/","Open PubMed")</x:f>
        <x:v>HYPERLINK is not implemented. linkLocation=https://pubmed.ncbi.nlm.nih.gov/21117844/, friendlyName=Open PubMed</x:v>
      </x:c>
    </x:row>
    <x:row r="9">
      <x:c r="A9" t="str">
        <x:v>PUBMED-20981766</x:v>
      </x:c>
      <x:c r="B9" t="n">
        <x:v>2010</x:v>
      </x:c>
      <x:c r="C9" t="str">
        <x:v>20981766</x:v>
      </x:c>
      <x:c r="D9" s="14" t="str">
        <x:v>Review of pharmacotherapy options for the treatment of attention-deficit/hyperactivity disorder (ADHD) and ADHD-like symptoms in children and adolescents with developmental disorders.</x:v>
      </x:c>
      <x:c r="E9" s="14" t="str">
        <x:v>Evidence synthesis - review</x:v>
      </x:c>
      <x:c r="F9" s="14" t="str">
        <x:v>Development &amp; presentation; Recognition &amp; diagnosis; Family &amp; education; Social &amp; structural; Environmental &amp; lifestyle; Treatment &amp; support; Life outcomes &amp; lived experience</x:v>
      </x:c>
      <x:c r="G9" s="14" t="str">
        <x:v>Childhood; Adolescence</x:v>
      </x:c>
      <x:c r="H9" s="32" t="e">
        <x:f>HYPERLINK("https://pubmed.ncbi.nlm.nih.gov/"&amp;C9&amp;"/","Open PubMed")</x:f>
        <x:v>HYPERLINK is not implemented. linkLocation=https://pubmed.ncbi.nlm.nih.gov/20981766/, friendlyName=Open PubMed</x:v>
      </x:c>
    </x:row>
    <x:row r="10">
      <x:c r="A10" t="str">
        <x:v>PUBMED-21432586</x:v>
      </x:c>
      <x:c r="B10" t="n">
        <x:v>2010</x:v>
      </x:c>
      <x:c r="C10" t="str">
        <x:v>21432586</x:v>
      </x:c>
      <x:c r="D10" s="14" t="str">
        <x:v>Animal models of attention deficit/hyperactivity disorder (ADHD): a critical review.</x:v>
      </x:c>
      <x:c r="E10" s="14" t="str">
        <x:v>Evidence synthesis - review</x:v>
      </x:c>
      <x:c r="F10" s="14" t="str">
        <x:v>Development &amp; presentation; Social &amp; structural; Treatment &amp; support</x:v>
      </x:c>
      <x:c r="G10" s="14" t="str">
        <x:v>Not specified</x:v>
      </x:c>
      <x:c r="H10" s="32" t="e">
        <x:f>HYPERLINK("https://pubmed.ncbi.nlm.nih.gov/"&amp;C10&amp;"/","Open PubMed")</x:f>
        <x:v>HYPERLINK is not implemented. linkLocation=https://pubmed.ncbi.nlm.nih.gov/21432586/, friendlyName=Open PubMed</x:v>
      </x:c>
    </x:row>
    <x:row r="11">
      <x:c r="A11" t="str">
        <x:v>PUBMED-20861590</x:v>
      </x:c>
      <x:c r="B11" t="n">
        <x:v>2010</x:v>
      </x:c>
      <x:c r="C11" t="str">
        <x:v>20861590</x:v>
      </x:c>
      <x:c r="D11" s="14" t="str">
        <x:v>Clinical practice guidelines for attention-deficit/hyperactivity disorder: a review.</x:v>
      </x:c>
      <x:c r="E11" s="14" t="str">
        <x:v>Evidence synthesis - review</x:v>
      </x:c>
      <x:c r="F11" s="14" t="str">
        <x:v>Development &amp; presentation; Recognition &amp; diagnosis; Social &amp; structural; Treatment &amp; support</x:v>
      </x:c>
      <x:c r="G11" s="14" t="str">
        <x:v>Not specified</x:v>
      </x:c>
      <x:c r="H11" s="32" t="e">
        <x:f>HYPERLINK("https://pubmed.ncbi.nlm.nih.gov/"&amp;C11&amp;"/","Open PubMed")</x:f>
        <x:v>HYPERLINK is not implemented. linkLocation=https://pubmed.ncbi.nlm.nih.gov/20861590/, friendlyName=Open PubMed</x:v>
      </x:c>
    </x:row>
    <x:row r="12">
      <x:c r="A12" t="str">
        <x:v>PUBMED-20839896</x:v>
      </x:c>
      <x:c r="B12" t="n">
        <x:v>2010</x:v>
      </x:c>
      <x:c r="C12" t="str">
        <x:v>20839896</x:v>
      </x:c>
      <x:c r="D12" s="14" t="str">
        <x:v>The impact of medications on quality of life in attention-deficit hyperactivity disorder: a systematic review.</x:v>
      </x:c>
      <x:c r="E12" s="14" t="str">
        <x:v>Evidence synthesis - systematic review</x:v>
      </x:c>
      <x:c r="F12" s="14" t="str">
        <x:v>Development &amp; presentation; Social &amp; structural; Treatment &amp; support; Life outcomes &amp; lived experience</x:v>
      </x:c>
      <x:c r="G12" s="14" t="str">
        <x:v>Childhood; Adolescence; Adulthood</x:v>
      </x:c>
      <x:c r="H12" s="32" t="e">
        <x:f>HYPERLINK("https://pubmed.ncbi.nlm.nih.gov/"&amp;C12&amp;"/","Open PubMed")</x:f>
        <x:v>HYPERLINK is not implemented. linkLocation=https://pubmed.ncbi.nlm.nih.gov/20839896/, friendlyName=Open PubMed</x:v>
      </x:c>
    </x:row>
    <x:row r="13">
      <x:c r="A13" t="str">
        <x:v>PUBMED-21432591</x:v>
      </x:c>
      <x:c r="B13" t="n">
        <x:v>2010</x:v>
      </x:c>
      <x:c r="C13" t="str">
        <x:v>21432591</x:v>
      </x:c>
      <x:c r="D13" s="14" t="str">
        <x:v>Therapy-relevant factors in adult ADHD from a cognitive behavioural perspective.</x:v>
      </x:c>
      <x:c r="E13" s="14" t="str">
        <x:v>Evidence synthesis - review</x:v>
      </x:c>
      <x:c r="F13" s="14" t="str">
        <x:v>Development &amp; presentation; Social &amp; structural; Environmental &amp; lifestyle; Treatment &amp; support; Life outcomes &amp; lived experience</x:v>
      </x:c>
      <x:c r="G13" s="14" t="str">
        <x:v>Childhood; Adulthood</x:v>
      </x:c>
      <x:c r="H13" s="32" t="e">
        <x:f>HYPERLINK("https://pubmed.ncbi.nlm.nih.gov/"&amp;C13&amp;"/","Open PubMed")</x:f>
        <x:v>HYPERLINK is not implemented. linkLocation=https://pubmed.ncbi.nlm.nih.gov/21432591/, friendlyName=Open PubMed</x:v>
      </x:c>
    </x:row>
    <x:row r="14">
      <x:c r="A14" t="str">
        <x:v>PUBMED-20925475</x:v>
      </x:c>
      <x:c r="B14" t="n">
        <x:v>2010</x:v>
      </x:c>
      <x:c r="C14" t="str">
        <x:v>20925475</x:v>
      </x:c>
      <x:c r="D14" s="14" t="str">
        <x:v>An 'integrative neuroscience' perspective on ADHD: linking cognition, emotion, brain and genetic measures with implications for clinical support.</x:v>
      </x:c>
      <x:c r="E14" s="14" t="str">
        <x:v>Evidence synthesis - review</x:v>
      </x:c>
      <x:c r="F14" s="14" t="str">
        <x:v>Development &amp; presentation; Recognition &amp; diagnosis; Social &amp; structural; Treatment &amp; support; Life outcomes &amp; lived experience</x:v>
      </x:c>
      <x:c r="G14" s="14" t="str">
        <x:v>Childhood; Adolescence; Adulthood</x:v>
      </x:c>
      <x:c r="H14" s="32" t="e">
        <x:f>HYPERLINK("https://pubmed.ncbi.nlm.nih.gov/"&amp;C14&amp;"/","Open PubMed")</x:f>
        <x:v>HYPERLINK is not implemented. linkLocation=https://pubmed.ncbi.nlm.nih.gov/20925475/, friendlyName=Open PubMed</x:v>
      </x:c>
    </x:row>
    <x:row r="15">
      <x:c r="A15" t="str">
        <x:v>PUBMED-21766545</x:v>
      </x:c>
      <x:c r="B15" t="n">
        <x:v>2010</x:v>
      </x:c>
      <x:c r="C15" t="str">
        <x:v>21766545</x:v>
      </x:c>
      <x:c r="D15" s="14" t="str">
        <x:v>Effectiveness of nutritional interventions on the functioning of children with ADHD and/or ASD. An updated review of research evidence.</x:v>
      </x:c>
      <x:c r="E15" s="14" t="str">
        <x:v>Evidence synthesis - review</x:v>
      </x:c>
      <x:c r="F15" s="14" t="str">
        <x:v>Development &amp; presentation; Family &amp; education; Social &amp; structural; Environmental &amp; lifestyle; Treatment &amp; support; Life outcomes &amp; lived experience</x:v>
      </x:c>
      <x:c r="G15" s="14" t="str">
        <x:v>Childhood; Adolescence</x:v>
      </x:c>
      <x:c r="H15" s="32" t="e">
        <x:f>HYPERLINK("https://pubmed.ncbi.nlm.nih.gov/"&amp;C15&amp;"/","Open PubMed")</x:f>
        <x:v>HYPERLINK is not implemented. linkLocation=https://pubmed.ncbi.nlm.nih.gov/21766545/, friendlyName=Open PubMed</x:v>
      </x:c>
    </x:row>
    <x:row r="16">
      <x:c r="A16" t="str">
        <x:v>PUBMED-20535081</x:v>
      </x:c>
      <x:c r="B16" t="n">
        <x:v>2010</x:v>
      </x:c>
      <x:c r="C16" t="str">
        <x:v>20535081</x:v>
      </x:c>
      <x:c r="D16" s="14" t="str">
        <x:v>A review of attention-deficit/hyperactivity disorder complicated by symptoms of oppositional defiant disorder or conduct disorder.</x:v>
      </x:c>
      <x:c r="E16" s="14" t="str">
        <x:v>Evidence synthesis - review</x:v>
      </x:c>
      <x:c r="F16" s="14" t="str">
        <x:v>Development &amp; presentation; Recognition &amp; diagnosis; Family &amp; education; Social &amp; structural; Environmental &amp; lifestyle; Treatment &amp; support; Life outcomes &amp; lived experience</x:v>
      </x:c>
      <x:c r="G16" s="14" t="str">
        <x:v>Not specified</x:v>
      </x:c>
      <x:c r="H16" s="32" t="e">
        <x:f>HYPERLINK("https://pubmed.ncbi.nlm.nih.gov/"&amp;C16&amp;"/","Open PubMed")</x:f>
        <x:v>HYPERLINK is not implemented. linkLocation=https://pubmed.ncbi.nlm.nih.gov/20535081/, friendlyName=Open PubMed</x:v>
      </x:c>
    </x:row>
    <x:row r="17">
      <x:c r="A17" t="str">
        <x:v>PUBMED-20496381</x:v>
      </x:c>
      <x:c r="B17" t="n">
        <x:v>2010</x:v>
      </x:c>
      <x:c r="C17" t="str">
        <x:v>20496381</x:v>
      </x:c>
      <x:c r="D17" s="14" t="str">
        <x:v>Is the ADHD brain wired differently? A review on structural and functional connectivity in attention deficit hyperactivity disorder.</x:v>
      </x:c>
      <x:c r="E17" s="14" t="str">
        <x:v>Evidence synthesis - review</x:v>
      </x:c>
      <x:c r="F17" s="14" t="str">
        <x:v>Development &amp; presentation; Social &amp; structural; Environmental &amp; lifestyle; Treatment &amp; support</x:v>
      </x:c>
      <x:c r="G17" s="14" t="str">
        <x:v>Not specified</x:v>
      </x:c>
      <x:c r="H17" s="32" t="e">
        <x:f>HYPERLINK("https://pubmed.ncbi.nlm.nih.gov/"&amp;C17&amp;"/","Open PubMed")</x:f>
        <x:v>HYPERLINK is not implemented. linkLocation=https://pubmed.ncbi.nlm.nih.gov/20496381/, friendlyName=Open PubMed</x:v>
      </x:c>
    </x:row>
    <x:row r="18">
      <x:c r="A18" t="str">
        <x:v>PUBMED-20145015</x:v>
      </x:c>
      <x:c r="B18" t="n">
        <x:v>2010</x:v>
      </x:c>
      <x:c r="C18" t="str">
        <x:v>20145015</x:v>
      </x:c>
      <x:c r="D18" s="14" t="str">
        <x:v>NICE guideline: attention deficit hyperactivity disorder.</x:v>
      </x:c>
      <x:c r="E18" s="14" t="str">
        <x:v>Evidence synthesis - review</x:v>
      </x:c>
      <x:c r="F18" s="14" t="str">
        <x:v>Development &amp; presentation; Recognition &amp; diagnosis; Treatment &amp; support</x:v>
      </x:c>
      <x:c r="G18" s="14" t="str">
        <x:v>Childhood</x:v>
      </x:c>
      <x:c r="H18" s="32" t="e">
        <x:f>HYPERLINK("https://pubmed.ncbi.nlm.nih.gov/"&amp;C18&amp;"/","Open PubMed")</x:f>
        <x:v>HYPERLINK is not implemented. linkLocation=https://pubmed.ncbi.nlm.nih.gov/20145015/, friendlyName=Open PubMed</x:v>
      </x:c>
    </x:row>
    <x:row r="19">
      <x:c r="A19" t="str">
        <x:v>PUBMED-20107302</x:v>
      </x:c>
      <x:c r="B19" t="n">
        <x:v>2010</x:v>
      </x:c>
      <x:c r="C19" t="str">
        <x:v>20107302</x:v>
      </x:c>
      <x:c r="D19" s="14" t="str">
        <x:v>Review of medication adherence in children and adults with ADHD.</x:v>
      </x:c>
      <x:c r="E19" s="14" t="str">
        <x:v>Evidence synthesis - review</x:v>
      </x:c>
      <x:c r="F19" s="14" t="str">
        <x:v>Development &amp; presentation; Social &amp; structural; Environmental &amp; lifestyle; Treatment &amp; support</x:v>
      </x:c>
      <x:c r="G19" s="14" t="str">
        <x:v>Childhood; Adolescence; Adulthood</x:v>
      </x:c>
      <x:c r="H19" s="32" t="e">
        <x:f>HYPERLINK("https://pubmed.ncbi.nlm.nih.gov/"&amp;C19&amp;"/","Open PubMed")</x:f>
        <x:v>HYPERLINK is not implemented. linkLocation=https://pubmed.ncbi.nlm.nih.gov/20107302/, friendlyName=Open PubMed</x:v>
      </x:c>
    </x:row>
    <x:row r="20">
      <x:c r="A20" t="str">
        <x:v>PUBMED-19823900</x:v>
      </x:c>
      <x:c r="B20" t="n">
        <x:v>2010</x:v>
      </x:c>
      <x:c r="C20" t="str">
        <x:v>19823900</x:v>
      </x:c>
      <x:c r="D20" s="14" t="str">
        <x:v>Treating attention-deficit/hyperactivity disorder beyond symptom control alone in children and adolescents: a review of the potential benefits of long-acting stimulants.</x:v>
      </x:c>
      <x:c r="E20" s="14" t="str">
        <x:v>Evidence synthesis - review</x:v>
      </x:c>
      <x:c r="F20" s="14" t="str">
        <x:v>Development &amp; presentation; Family &amp; education; Social &amp; structural; Treatment &amp; support; Life outcomes &amp; lived experience</x:v>
      </x:c>
      <x:c r="G20" s="14" t="str">
        <x:v>Childhood; Adolescence; Adulthood</x:v>
      </x:c>
      <x:c r="H20" s="32" t="e">
        <x:f>HYPERLINK("https://pubmed.ncbi.nlm.nih.gov/"&amp;C20&amp;"/","Open PubMed")</x:f>
        <x:v>HYPERLINK is not implemented. linkLocation=https://pubmed.ncbi.nlm.nih.gov/19823900/, friendlyName=Open PubMed</x:v>
      </x:c>
    </x:row>
    <x:row r="21">
      <x:c r="A21" t="str">
        <x:v>PUBMED-20582628</x:v>
      </x:c>
      <x:c r="B21" t="n">
        <x:v>2010</x:v>
      </x:c>
      <x:c r="C21" t="str">
        <x:v>20582628</x:v>
      </x:c>
      <x:c r="D21" s="14" t="str">
        <x:v>Why does ADHD confer risk for cigarette smoking? A review of psychosocial mechanisms.</x:v>
      </x:c>
      <x:c r="E21" s="14" t="str">
        <x:v>Evidence synthesis - review</x:v>
      </x:c>
      <x:c r="F21" s="14" t="str">
        <x:v>Development &amp; presentation; Social &amp; structural; Environmental &amp; lifestyle; Treatment &amp; support; Historical &amp; contemporary context</x:v>
      </x:c>
      <x:c r="G21" s="14" t="str">
        <x:v>Childhood; Adolescence; Adulthood</x:v>
      </x:c>
      <x:c r="H21" s="32" t="e">
        <x:f>HYPERLINK("https://pubmed.ncbi.nlm.nih.gov/"&amp;C21&amp;"/","Open PubMed")</x:f>
        <x:v>HYPERLINK is not implemented. linkLocation=https://pubmed.ncbi.nlm.nih.gov/20582628/, friendlyName=Open PubMed</x:v>
      </x:c>
    </x:row>
    <x:row r="22">
      <x:c r="A22" t="str">
        <x:v>PUBMED-20441004</x:v>
      </x:c>
      <x:c r="B22" t="n">
        <x:v>2010</x:v>
      </x:c>
      <x:c r="C22" t="str">
        <x:v>20441004</x:v>
      </x:c>
      <x:c r="D22" s="14" t="str">
        <x:v>Can we prevent smoking in children with ADHD: a review of the literature.</x:v>
      </x:c>
      <x:c r="E22" s="14" t="str">
        <x:v>Evidence synthesis - review</x:v>
      </x:c>
      <x:c r="F22" s="14" t="str">
        <x:v>Development &amp; presentation; Social &amp; structural; Environmental &amp; lifestyle; Treatment &amp; support; Life outcomes &amp; lived experience</x:v>
      </x:c>
      <x:c r="G22" s="14" t="str">
        <x:v>Childhood; Adolescence; Adulthood</x:v>
      </x:c>
      <x:c r="H22" s="32" t="e">
        <x:f>HYPERLINK("https://pubmed.ncbi.nlm.nih.gov/"&amp;C22&amp;"/","Open PubMed")</x:f>
        <x:v>HYPERLINK is not implemented. linkLocation=https://pubmed.ncbi.nlm.nih.gov/20441004/, friendlyName=Open PubMed</x:v>
      </x:c>
    </x:row>
    <x:row r="23">
      <x:c r="A23" t="str">
        <x:v>PUBMED-20051220</x:v>
      </x:c>
      <x:c r="B23" t="n">
        <x:v>2010</x:v>
      </x:c>
      <x:c r="C23" t="str">
        <x:v>20051220</x:v>
      </x:c>
      <x:c r="D23" s="14" t="str">
        <x:v>A comparison of the efficacy of medications for adult attention-deficit/hyperactivity disorder using meta-analysis of effect sizes.</x:v>
      </x:c>
      <x:c r="E23" s="14" t="str">
        <x:v>Evidence synthesis - meta-analysis</x:v>
      </x:c>
      <x:c r="F23" s="14" t="str">
        <x:v>Development &amp; presentation; Recognition &amp; diagnosis; Social &amp; structural; Treatment &amp; support; Life outcomes &amp; lived experience</x:v>
      </x:c>
      <x:c r="G23" s="14" t="str">
        <x:v>Childhood; Adolescence; Adulthood</x:v>
      </x:c>
      <x:c r="H23" s="32" t="e">
        <x:f>HYPERLINK("https://pubmed.ncbi.nlm.nih.gov/"&amp;C23&amp;"/","Open PubMed")</x:f>
        <x:v>HYPERLINK is not implemented. linkLocation=https://pubmed.ncbi.nlm.nih.gov/20051220/, friendlyName=Open PubMed</x:v>
      </x:c>
    </x:row>
    <x:row r="24">
      <x:c r="A24" t="str">
        <x:v>PUBMED-19603419</x:v>
      </x:c>
      <x:c r="B24" t="n">
        <x:v>2010</x:v>
      </x:c>
      <x:c r="C24" t="str">
        <x:v>19603419</x:v>
      </x:c>
      <x:c r="D24" s="14" t="str">
        <x:v>Meta-analysis of brain-derived neurotrophic factor p.Val66Met in adult ADHD in four European populations.</x:v>
      </x:c>
      <x:c r="E24" s="14" t="str">
        <x:v>Evidence synthesis - meta-analysis</x:v>
      </x:c>
      <x:c r="F24" s="14" t="str">
        <x:v>Development &amp; presentation; Family &amp; education; Social &amp; structural</x:v>
      </x:c>
      <x:c r="G24" s="14" t="str">
        <x:v>Adolescence; Adulthood</x:v>
      </x:c>
      <x:c r="H24" s="32" t="e">
        <x:f>HYPERLINK("https://pubmed.ncbi.nlm.nih.gov/"&amp;C24&amp;"/","Open PubMed")</x:f>
        <x:v>HYPERLINK is not implemented. linkLocation=https://pubmed.ncbi.nlm.nih.gov/19603419/, friendlyName=Open PubMed</x:v>
      </x:c>
    </x:row>
    <x:row r="25">
      <x:c r="A25" t="str">
        <x:v>PUBMED-20660947</x:v>
      </x:c>
      <x:c r="B25" t="n">
        <x:v>2010</x:v>
      </x:c>
      <x:c r="C25" t="str">
        <x:v>20660947</x:v>
      </x:c>
      <x:c r="D25" s="14" t="str">
        <x:v>[Event-related potentials associated with error detection in adult ADHD--literature review].</x:v>
      </x:c>
      <x:c r="E25" s="14" t="str">
        <x:v>Evidence synthesis - review</x:v>
      </x:c>
      <x:c r="F25" s="14" t="str">
        <x:v>Development &amp; presentation; Recognition &amp; diagnosis; Social &amp; structural; Environmental &amp; lifestyle</x:v>
      </x:c>
      <x:c r="G25" s="14" t="str">
        <x:v>Adulthood</x:v>
      </x:c>
      <x:c r="H25" s="32" t="e">
        <x:f>HYPERLINK("https://pubmed.ncbi.nlm.nih.gov/"&amp;C25&amp;"/","Open PubMed")</x:f>
        <x:v>HYPERLINK is not implemented. linkLocation=https://pubmed.ncbi.nlm.nih.gov/20660947/, friendlyName=Open PubMed</x:v>
      </x:c>
    </x:row>
    <x:row r="26">
      <x:c r="A26" t="str">
        <x:v>PUBMED-20513225</x:v>
      </x:c>
      <x:c r="B26" t="n">
        <x:v>2010</x:v>
      </x:c>
      <x:c r="C26" t="str">
        <x:v>20513225</x:v>
      </x:c>
      <x:c r="D26" s="14" t="str">
        <x:v>Stimulant drug effects on attention deficit/hyperactivity disorder: a review of the effects of age and sex of patients.</x:v>
      </x:c>
      <x:c r="E26" s="14" t="str">
        <x:v>Evidence synthesis - review</x:v>
      </x:c>
      <x:c r="F26" s="14" t="str">
        <x:v>Development &amp; presentation; Family &amp; education; Social &amp; structural; Treatment &amp; support; Life outcomes &amp; lived experience</x:v>
      </x:c>
      <x:c r="G26" s="14" t="str">
        <x:v>Childhood; Adolescence; Adulthood</x:v>
      </x:c>
      <x:c r="H26" s="32" t="e">
        <x:f>HYPERLINK("https://pubmed.ncbi.nlm.nih.gov/"&amp;C26&amp;"/","Open PubMed")</x:f>
        <x:v>HYPERLINK is not implemented. linkLocation=https://pubmed.ncbi.nlm.nih.gov/20513225/, friendlyName=Open PubMed</x:v>
      </x:c>
    </x:row>
    <x:row r="27">
      <x:c r="A27" t="str">
        <x:v>PUBMED-19944715</x:v>
      </x:c>
      <x:c r="B27" t="n">
        <x:v>2010</x:v>
      </x:c>
      <x:c r="C27" t="str">
        <x:v>19944715</x:v>
      </x:c>
      <x:c r="D27" s="14" t="str">
        <x:v>Identifying the neurobiology of altered reinforcement sensitivity in ADHD: a review and research agenda.</x:v>
      </x:c>
      <x:c r="E27" s="14" t="str">
        <x:v>Evidence synthesis - review</x:v>
      </x:c>
      <x:c r="F27" s="14" t="str">
        <x:v>Development &amp; presentation; Social &amp; structural; Treatment &amp; support</x:v>
      </x:c>
      <x:c r="G27" s="14" t="str">
        <x:v>Childhood</x:v>
      </x:c>
      <x:c r="H27" s="32" t="e">
        <x:f>HYPERLINK("https://pubmed.ncbi.nlm.nih.gov/"&amp;C27&amp;"/","Open PubMed")</x:f>
        <x:v>HYPERLINK is not implemented. linkLocation=https://pubmed.ncbi.nlm.nih.gov/19944715/, friendlyName=Open PubMed</x:v>
      </x:c>
    </x:row>
    <x:row r="28">
      <x:c r="A28" t="str">
        <x:v>PUBMED-19768532</x:v>
      </x:c>
      <x:c r="B28" t="n">
        <x:v>2010</x:v>
      </x:c>
      <x:c r="C28" t="str">
        <x:v>19768532</x:v>
      </x:c>
      <x:c r="D28" s="14" t="str">
        <x:v>A systematic review of parenting in relation to the development of comorbidities and functional impairments in children with attention-deficit/hyperactivity disorder (ADHD).</x:v>
      </x:c>
      <x:c r="E28" s="14" t="str">
        <x:v>Evidence synthesis - systematic review</x:v>
      </x:c>
      <x:c r="F28" s="14" t="str">
        <x:v>Development &amp; presentation; Recognition &amp; diagnosis; Family &amp; education; Social &amp; structural; Environmental &amp; lifestyle; Treatment &amp; support; Life outcomes &amp; lived experience</x:v>
      </x:c>
      <x:c r="G28" s="14" t="str">
        <x:v>Childhood</x:v>
      </x:c>
      <x:c r="H28" s="32" t="e">
        <x:f>HYPERLINK("https://pubmed.ncbi.nlm.nih.gov/"&amp;C28&amp;"/","Open PubMed")</x:f>
        <x:v>HYPERLINK is not implemented. linkLocation=https://pubmed.ncbi.nlm.nih.gov/19768532/, friendlyName=Open PubMed</x:v>
      </x:c>
    </x:row>
    <x:row r="29">
      <x:c r="A29" t="str">
        <x:v>PUBMED-19763664</x:v>
      </x:c>
      <x:c r="B29" t="n">
        <x:v>2010</x:v>
      </x:c>
      <x:c r="C29" t="str">
        <x:v>19763664</x:v>
      </x:c>
      <x:c r="D29" s="14" t="str">
        <x:v>Comparing the efficacy of stimulants for ADHD in children and adolescents using meta-analysis.</x:v>
      </x:c>
      <x:c r="E29" s="14" t="str">
        <x:v>Evidence synthesis - meta-analysis</x:v>
      </x:c>
      <x:c r="F29" s="14" t="str">
        <x:v>Development &amp; presentation; Recognition &amp; diagnosis; Social &amp; structural; Treatment &amp; support; Life outcomes &amp; lived experience</x:v>
      </x:c>
      <x:c r="G29" s="14" t="str">
        <x:v>Childhood; Adolescence; Adulthood</x:v>
      </x:c>
      <x:c r="H29" s="32" t="e">
        <x:f>HYPERLINK("https://pubmed.ncbi.nlm.nih.gov/"&amp;C29&amp;"/","Open PubMed")</x:f>
        <x:v>HYPERLINK is not implemented. linkLocation=https://pubmed.ncbi.nlm.nih.gov/19763664/, friendlyName=Open PubMed</x:v>
      </x:c>
    </x:row>
    <x:row r="30">
      <x:c r="A30" t="str">
        <x:v>PUBMED-19633992</x:v>
      </x:c>
      <x:c r="B30" t="n">
        <x:v>2010</x:v>
      </x:c>
      <x:c r="C30" t="str">
        <x:v>19633992</x:v>
      </x:c>
      <x:c r="D30" s="14" t="str">
        <x:v>The quality of life of children with attention deficit/hyperactivity disorder: a systematic review.</x:v>
      </x:c>
      <x:c r="E30" s="14" t="str">
        <x:v>Evidence synthesis - systematic review</x:v>
      </x:c>
      <x:c r="F30" s="14" t="str">
        <x:v>Development &amp; presentation; Family &amp; education; Social &amp; structural; Environmental &amp; lifestyle; Treatment &amp; support; Life outcomes &amp; lived experience</x:v>
      </x:c>
      <x:c r="G30" s="14" t="str">
        <x:v>Childhood</x:v>
      </x:c>
      <x:c r="H30" s="32" t="e">
        <x:f>HYPERLINK("https://pubmed.ncbi.nlm.nih.gov/"&amp;C30&amp;"/","Open PubMed")</x:f>
        <x:v>HYPERLINK is not implemented. linkLocation=https://pubmed.ncbi.nlm.nih.gov/19633992/, friendlyName=Open PubMed</x:v>
      </x:c>
    </x:row>
    <x:row r="31">
      <x:c r="A31" t="str">
        <x:v>PUBMED-20732625</x:v>
      </x:c>
      <x:c r="B31" t="n">
        <x:v>2010</x:v>
      </x:c>
      <x:c r="C31" t="str">
        <x:v>20732625</x:v>
      </x:c>
      <x:c r="D31" s="14" t="str">
        <x:v>Meta-analysis of genome-wide association studies of attention-deficit/hyperactivity disorder.</x:v>
      </x:c>
      <x:c r="E31" s="14" t="str">
        <x:v>Evidence synthesis - meta-analysis</x:v>
      </x:c>
      <x:c r="F31" s="14" t="str">
        <x:v>Development &amp; presentation; Recognition &amp; diagnosis; Family &amp; education</x:v>
      </x:c>
      <x:c r="G31" s="14" t="str">
        <x:v>Childhood; Adolescence</x:v>
      </x:c>
      <x:c r="H31" s="32" t="e">
        <x:f>HYPERLINK("https://pubmed.ncbi.nlm.nih.gov/"&amp;C31&amp;"/","Open PubMed")</x:f>
        <x:v>HYPERLINK is not implemented. linkLocation=https://pubmed.ncbi.nlm.nih.gov/20732625/, friendlyName=Open PubMed</x:v>
      </x:c>
    </x:row>
    <x:row r="32">
      <x:c r="A32" t="str">
        <x:v>PUBMED-20716320</x:v>
      </x:c>
      <x:c r="B32" t="n">
        <x:v>2010</x:v>
      </x:c>
      <x:c r="C32" t="str">
        <x:v>20716320</x:v>
      </x:c>
      <x:c r="D32" s="14" t="str">
        <x:v>Is atopic disease a risk factor for attention-deficit/hyperactivity disorder? A systematic review.</x:v>
      </x:c>
      <x:c r="E32" s="14" t="str">
        <x:v>Evidence synthesis - meta-analysis</x:v>
      </x:c>
      <x:c r="F32" s="14" t="str">
        <x:v>Development &amp; presentation; Recognition &amp; diagnosis; Social &amp; structural; Environmental &amp; lifestyle; Treatment &amp; support; Life outcomes &amp; lived experience</x:v>
      </x:c>
      <x:c r="G32" s="14" t="str">
        <x:v>Not specified</x:v>
      </x:c>
      <x:c r="H32" s="32" t="e">
        <x:f>HYPERLINK("https://pubmed.ncbi.nlm.nih.gov/"&amp;C32&amp;"/","Open PubMed")</x:f>
        <x:v>HYPERLINK is not implemented. linkLocation=https://pubmed.ncbi.nlm.nih.gov/20716320/, friendlyName=Open PubMed</x:v>
      </x:c>
    </x:row>
    <x:row r="33">
      <x:c r="A33" t="str">
        <x:v>PUBMED-42134365</x:v>
      </x:c>
      <x:c r="B33" t="n">
        <x:v>2026</x:v>
      </x:c>
      <x:c r="C33" t="str">
        <x:v>42134365</x:v>
      </x:c>
      <x:c r="D33" s="14" t="str">
        <x:v>Pharmacological interventions for ADHD: a systematic review and dose-effect network meta-analysis.</x:v>
      </x:c>
      <x:c r="E33" s="14" t="str">
        <x:v>Evidence synthesis - meta-analysis</x:v>
      </x:c>
      <x:c r="F33" s="14" t="str">
        <x:v>Development &amp; presentation; Recognition &amp; diagnosis; Social &amp; structural; Treatment &amp; support; Life outcomes &amp; lived experience</x:v>
      </x:c>
      <x:c r="G33" s="14" t="str">
        <x:v>Childhood; Adolescence; Adulthood</x:v>
      </x:c>
      <x:c r="H33" s="32" t="e">
        <x:f>HYPERLINK("https://pubmed.ncbi.nlm.nih.gov/"&amp;C33&amp;"/","Open PubMed")</x:f>
        <x:v>HYPERLINK is not implemented. linkLocation=https://pubmed.ncbi.nlm.nih.gov/42134365/, friendlyName=Open PubMed</x:v>
      </x:c>
    </x:row>
    <x:row r="34">
      <x:c r="A34" t="str">
        <x:v>PUBMED-42274016</x:v>
      </x:c>
      <x:c r="B34" t="n">
        <x:v>2026</x:v>
      </x:c>
      <x:c r="C34" t="str">
        <x:v>42274016</x:v>
      </x:c>
      <x:c r="D34" s="14" t="str">
        <x:v>Menstrual health and Attention-Deficit/Hyperactivity Disorder (ADHD) symptoms: A scoping review.</x:v>
      </x:c>
      <x:c r="E34" s="14" t="str">
        <x:v>Evidence synthesis - review</x:v>
      </x:c>
      <x:c r="F34" s="14" t="str">
        <x:v>Development &amp; presentation; Recognition &amp; diagnosis; Social &amp; structural; Treatment &amp; support; Life outcomes &amp; lived experience</x:v>
      </x:c>
      <x:c r="G34" s="14" t="str">
        <x:v>Not specified</x:v>
      </x:c>
      <x:c r="H34" s="32" t="e">
        <x:f>HYPERLINK("https://pubmed.ncbi.nlm.nih.gov/"&amp;C34&amp;"/","Open PubMed")</x:f>
        <x:v>HYPERLINK is not implemented. linkLocation=https://pubmed.ncbi.nlm.nih.gov/42274016/, friendlyName=Open PubMed</x:v>
      </x:c>
    </x:row>
    <x:row r="35">
      <x:c r="A35" t="str">
        <x:v>PUBMED-42442822</x:v>
      </x:c>
      <x:c r="B35" t="n">
        <x:v>2026</x:v>
      </x:c>
      <x:c r="C35" t="str">
        <x:v>42442822</x:v>
      </x:c>
      <x:c r="D35" s="14" t="str">
        <x:v>The Stigmatization of Caregivers of Children With Attention-Deficit/Hyperactivity Disorder: A Systematic Review.</x:v>
      </x:c>
      <x:c r="E35" s="14" t="str">
        <x:v>Evidence synthesis - systematic review</x:v>
      </x:c>
      <x:c r="F35" s="14" t="str">
        <x:v>Development &amp; presentation; Recognition &amp; diagnosis; Family &amp; education; Social &amp; structural; Environmental &amp; lifestyle; Treatment &amp; support; Life outcomes &amp; lived experience; Historical &amp; contemporary context</x:v>
      </x:c>
      <x:c r="G35" s="14" t="str">
        <x:v>Childhood; Adulthood</x:v>
      </x:c>
      <x:c r="H35" s="32" t="e">
        <x:f>HYPERLINK("https://pubmed.ncbi.nlm.nih.gov/"&amp;C35&amp;"/","Open PubMed")</x:f>
        <x:v>HYPERLINK is not implemented. linkLocation=https://pubmed.ncbi.nlm.nih.gov/42442822/, friendlyName=Open PubMed</x:v>
      </x:c>
    </x:row>
    <x:row r="36">
      <x:c r="A36" t="str">
        <x:v>PUBMED-42455456</x:v>
      </x:c>
      <x:c r="B36" t="n">
        <x:v>2026</x:v>
      </x:c>
      <x:c r="C36" t="str">
        <x:v>42455456</x:v>
      </x:c>
      <x:c r="D36" s="14" t="str">
        <x:v>Roles and impacts of pharmacists in attention-deficit hyperactivity disorder services: a scoping review.</x:v>
      </x:c>
      <x:c r="E36" s="14" t="str">
        <x:v>Evidence synthesis - review</x:v>
      </x:c>
      <x:c r="F36" s="14" t="str">
        <x:v>Development &amp; presentation; Family &amp; education; Social &amp; structural; Treatment &amp; support; Life outcomes &amp; lived experience</x:v>
      </x:c>
      <x:c r="G36" s="14" t="str">
        <x:v>Not specified</x:v>
      </x:c>
      <x:c r="H36" s="32" t="e">
        <x:f>HYPERLINK("https://pubmed.ncbi.nlm.nih.gov/"&amp;C36&amp;"/","Open PubMed")</x:f>
        <x:v>HYPERLINK is not implemented. linkLocation=https://pubmed.ncbi.nlm.nih.gov/42455456/, friendlyName=Open PubMed</x:v>
      </x:c>
    </x:row>
    <x:row r="37">
      <x:c r="A37" t="str">
        <x:v>PUBMED-42130043</x:v>
      </x:c>
      <x:c r="B37" t="n">
        <x:v>2026</x:v>
      </x:c>
      <x:c r="C37" t="str">
        <x:v>42130043</x:v>
      </x:c>
      <x:c r="D37" s="14" t="str">
        <x:v>Manganese Exposure and Attention-Deficit/Hyperactivity Disorder-Related Neurobehavioral Outcomes in Children: A Systematic Review of Human Studies.</x:v>
      </x:c>
      <x:c r="E37" s="14" t="str">
        <x:v>Evidence synthesis - systematic review</x:v>
      </x:c>
      <x:c r="F37" s="14" t="str">
        <x:v>Development &amp; presentation; Recognition &amp; diagnosis; Social &amp; structural; Environmental &amp; lifestyle; Treatment &amp; support; Life outcomes &amp; lived experience; Historical &amp; contemporary context</x:v>
      </x:c>
      <x:c r="G37" s="14" t="str">
        <x:v>Childhood</x:v>
      </x:c>
      <x:c r="H37" s="32" t="e">
        <x:f>HYPERLINK("https://pubmed.ncbi.nlm.nih.gov/"&amp;C37&amp;"/","Open PubMed")</x:f>
        <x:v>HYPERLINK is not implemented. linkLocation=https://pubmed.ncbi.nlm.nih.gov/42130043/, friendlyName=Open PubMed</x:v>
      </x:c>
    </x:row>
    <x:row r="38">
      <x:c r="A38" t="str">
        <x:v>PUBMED-42197085</x:v>
      </x:c>
      <x:c r="B38" t="n">
        <x:v>2026</x:v>
      </x:c>
      <x:c r="C38" t="str">
        <x:v>42197085</x:v>
      </x:c>
      <x:c r="D38" s="14" t="str">
        <x:v>Dietary Carbohydrates and ADHD Symptoms: A Systematic Review.</x:v>
      </x:c>
      <x:c r="E38" s="14" t="str">
        <x:v>Evidence synthesis - systematic review</x:v>
      </x:c>
      <x:c r="F38" s="14" t="str">
        <x:v>Development &amp; presentation; Recognition &amp; diagnosis; Social &amp; structural; Environmental &amp; lifestyle; Treatment &amp; support; Life outcomes &amp; lived experience</x:v>
      </x:c>
      <x:c r="G38" s="14" t="str">
        <x:v>Childhood; Adolescence; Adulthood</x:v>
      </x:c>
      <x:c r="H38" s="32" t="e">
        <x:f>HYPERLINK("https://pubmed.ncbi.nlm.nih.gov/"&amp;C38&amp;"/","Open PubMed")</x:f>
        <x:v>HYPERLINK is not implemented. linkLocation=https://pubmed.ncbi.nlm.nih.gov/42197085/, friendlyName=Open PubMed</x:v>
      </x:c>
    </x:row>
    <x:row r="39">
      <x:c r="A39" t="str">
        <x:v>PUBMED-42690084</x:v>
      </x:c>
      <x:c r="B39" t="n">
        <x:v>2026</x:v>
      </x:c>
      <x:c r="C39" t="str">
        <x:v>42690084</x:v>
      </x:c>
      <x:c r="D39" s="14" t="str">
        <x:v>Pharmacotherapies for Co-Occurring Stimulant Use Disorder and Attention-Deficit/Hyperactivity Disorder: A Network Meta-Analysis.</x:v>
      </x:c>
      <x:c r="E39" s="14" t="str">
        <x:v>Evidence synthesis - meta-analysis</x:v>
      </x:c>
      <x:c r="F39" s="14" t="str">
        <x:v>Development &amp; presentation; Social &amp; structural; Treatment &amp; support; Life outcomes &amp; lived experience</x:v>
      </x:c>
      <x:c r="G39" s="14" t="str">
        <x:v>Adulthood</x:v>
      </x:c>
      <x:c r="H39" s="32" t="e">
        <x:f>HYPERLINK("https://pubmed.ncbi.nlm.nih.gov/"&amp;C39&amp;"/","Open PubMed")</x:f>
        <x:v>HYPERLINK is not implemented. linkLocation=https://pubmed.ncbi.nlm.nih.gov/42690084/, friendlyName=Open PubMed</x:v>
      </x:c>
    </x:row>
    <x:row r="40">
      <x:c r="A40" t="str">
        <x:v>PUBMED-42284935</x:v>
      </x:c>
      <x:c r="B40" t="n">
        <x:v>2026</x:v>
      </x:c>
      <x:c r="C40" t="str">
        <x:v>42284935</x:v>
      </x:c>
      <x:c r="D40" s="14" t="str">
        <x:v>Physical exercise interventions for health outcomes in children and adolescents with attention deficit hyperactivity disorder: An umbrella review with meta-analysis.</x:v>
      </x:c>
      <x:c r="E40" s="14" t="str">
        <x:v>Evidence synthesis - meta-analysis</x:v>
      </x:c>
      <x:c r="F40" s="14" t="str">
        <x:v>Development &amp; presentation; Recognition &amp; diagnosis; Family &amp; education; Social &amp; structural; Environmental &amp; lifestyle; Treatment &amp; support; Life outcomes &amp; lived experience</x:v>
      </x:c>
      <x:c r="G40" s="14" t="str">
        <x:v>Childhood; Adolescence</x:v>
      </x:c>
      <x:c r="H40" s="32" t="e">
        <x:f>HYPERLINK("https://pubmed.ncbi.nlm.nih.gov/"&amp;C40&amp;"/","Open PubMed")</x:f>
        <x:v>HYPERLINK is not implemented. linkLocation=https://pubmed.ncbi.nlm.nih.gov/42284935/, friendlyName=Open PubMed</x:v>
      </x:c>
    </x:row>
    <x:row r="41">
      <x:c r="A41" t="str">
        <x:v>PUBMED-42612166</x:v>
      </x:c>
      <x:c r="B41" t="n">
        <x:v>2026</x:v>
      </x:c>
      <x:c r="C41" t="str">
        <x:v>42612166</x:v>
      </x:c>
      <x:c r="D41" s="14" t="str">
        <x:v>Differentiating Fetal Alcohol Spectrum Disorders From Attention-Deficit Hyperactivity Disorder and Reviewing Diagnostic Guidelines.</x:v>
      </x:c>
      <x:c r="E41" s="14" t="str">
        <x:v>Evidence synthesis - review</x:v>
      </x:c>
      <x:c r="F41" s="14" t="str">
        <x:v>Development &amp; presentation; Recognition &amp; diagnosis; Social &amp; structural; Environmental &amp; lifestyle; Treatment &amp; support; Life outcomes &amp; lived experience</x:v>
      </x:c>
      <x:c r="G41" s="14" t="str">
        <x:v>Not specified</x:v>
      </x:c>
      <x:c r="H41" s="32" t="e">
        <x:f>HYPERLINK("https://pubmed.ncbi.nlm.nih.gov/"&amp;C41&amp;"/","Open PubMed")</x:f>
        <x:v>HYPERLINK is not implemented. linkLocation=https://pubmed.ncbi.nlm.nih.gov/42612166/, friendlyName=Open PubMed</x:v>
      </x:c>
    </x:row>
    <x:row r="42">
      <x:c r="A42" t="str">
        <x:v>PUBMED-42396898</x:v>
      </x:c>
      <x:c r="B42" t="n">
        <x:v>2026</x:v>
      </x:c>
      <x:c r="C42" t="str">
        <x:v>42396898</x:v>
      </x:c>
      <x:c r="D42" s="14" t="str">
        <x:v>Intervention effects of long-term exercise on executive function in children and adolescents with attention-deficit hyperactivity disorder: a three-level meta-analysis of randomised controlled trials.</x:v>
      </x:c>
      <x:c r="E42" s="14" t="str">
        <x:v>Evidence synthesis - meta-analysis</x:v>
      </x:c>
      <x:c r="F42" s="14" t="str">
        <x:v>Development &amp; presentation; Social &amp; structural; Environmental &amp; lifestyle; Treatment &amp; support</x:v>
      </x:c>
      <x:c r="G42" s="14" t="str">
        <x:v>Childhood; Adolescence</x:v>
      </x:c>
      <x:c r="H42" s="32" t="e">
        <x:f>HYPERLINK("https://pubmed.ncbi.nlm.nih.gov/"&amp;C42&amp;"/","Open PubMed")</x:f>
        <x:v>HYPERLINK is not implemented. linkLocation=https://pubmed.ncbi.nlm.nih.gov/42396898/, friendlyName=Open PubMed</x:v>
      </x:c>
    </x:row>
    <x:row r="43">
      <x:c r="A43" t="str">
        <x:v>PUBMED-42267530</x:v>
      </x:c>
      <x:c r="B43" t="n">
        <x:v>2026</x:v>
      </x:c>
      <x:c r="C43" t="str">
        <x:v>42267530</x:v>
      </x:c>
      <x:c r="D43" s="14" t="str">
        <x:v>A comprehensive overview of the biological foundations of ADHD.</x:v>
      </x:c>
      <x:c r="E43" s="14" t="str">
        <x:v>Evidence synthesis - review</x:v>
      </x:c>
      <x:c r="F43" s="14" t="str">
        <x:v>Development &amp; presentation; Recognition &amp; diagnosis; Social &amp; structural; Environmental &amp; lifestyle</x:v>
      </x:c>
      <x:c r="G43" s="14" t="str">
        <x:v>Not specified</x:v>
      </x:c>
      <x:c r="H43" s="32" t="e">
        <x:f>HYPERLINK("https://pubmed.ncbi.nlm.nih.gov/"&amp;C43&amp;"/","Open PubMed")</x:f>
        <x:v>HYPERLINK is not implemented. linkLocation=https://pubmed.ncbi.nlm.nih.gov/42267530/, friendlyName=Open PubMed</x:v>
      </x:c>
    </x:row>
    <x:row r="44">
      <x:c r="A44" t="str">
        <x:v>PUBMED-42096966</x:v>
      </x:c>
      <x:c r="B44" t="n">
        <x:v>2026</x:v>
      </x:c>
      <x:c r="C44" t="str">
        <x:v>42096966</x:v>
      </x:c>
      <x:c r="D44" s="14" t="str">
        <x:v>The influence of existing interventions on sleep of youth with attention-deficit/hyperactivity disorder: A meta-analysis of randomized controlled trials.</x:v>
      </x:c>
      <x:c r="E44" s="14" t="str">
        <x:v>Evidence synthesis - meta-analysis</x:v>
      </x:c>
      <x:c r="F44" s="14" t="str">
        <x:v>Development &amp; presentation; Social &amp; structural; Environmental &amp; lifestyle; Treatment &amp; support; Life outcomes &amp; lived experience</x:v>
      </x:c>
      <x:c r="G44" s="14" t="str">
        <x:v>Childhood; Adolescence</x:v>
      </x:c>
      <x:c r="H44" s="32" t="e">
        <x:f>HYPERLINK("https://pubmed.ncbi.nlm.nih.gov/"&amp;C44&amp;"/","Open PubMed")</x:f>
        <x:v>HYPERLINK is not implemented. linkLocation=https://pubmed.ncbi.nlm.nih.gov/42096966/, friendlyName=Open PubMed</x:v>
      </x:c>
    </x:row>
    <x:row r="45">
      <x:c r="A45" t="str">
        <x:v>PUBMED-42175348</x:v>
      </x:c>
      <x:c r="B45" t="n">
        <x:v>2026</x:v>
      </x:c>
      <x:c r="C45" t="str">
        <x:v>42175348</x:v>
      </x:c>
      <x:c r="D45" s="14" t="str">
        <x:v>Emerging Digital Interventions for ADHD: An Overview of Ongoing Clinical Trials.</x:v>
      </x:c>
      <x:c r="E45" s="14" t="str">
        <x:v>Evidence synthesis - review</x:v>
      </x:c>
      <x:c r="F45" s="14" t="str">
        <x:v>Development &amp; presentation; Recognition &amp; diagnosis; Family &amp; education; Social &amp; structural; Environmental &amp; lifestyle; Treatment &amp; support; Life outcomes &amp; lived experience</x:v>
      </x:c>
      <x:c r="G45" s="14" t="str">
        <x:v>Childhood; Adulthood</x:v>
      </x:c>
      <x:c r="H45" s="32" t="e">
        <x:f>HYPERLINK("https://pubmed.ncbi.nlm.nih.gov/"&amp;C45&amp;"/","Open PubMed")</x:f>
        <x:v>HYPERLINK is not implemented. linkLocation=https://pubmed.ncbi.nlm.nih.gov/42175348/, friendlyName=Open PubMed</x:v>
      </x:c>
    </x:row>
    <x:row r="46">
      <x:c r="A46" t="str">
        <x:v>PUBMED-42373174</x:v>
      </x:c>
      <x:c r="B46" t="n">
        <x:v>2026</x:v>
      </x:c>
      <x:c r="C46" t="str">
        <x:v>42373174</x:v>
      </x:c>
      <x:c r="D46" s="14" t="str">
        <x:v>Psychosocial experiences of adults living with attention-deficit/hyperactivity disorder: a qualitative systematic review protocol.</x:v>
      </x:c>
      <x:c r="E46" s="14" t="str">
        <x:v>Evidence synthesis - systematic review</x:v>
      </x:c>
      <x:c r="F46" s="14" t="str">
        <x:v>Development &amp; presentation; Recognition &amp; diagnosis; Family &amp; education; Social &amp; structural; Environmental &amp; lifestyle; Treatment &amp; support; Life outcomes &amp; lived experience</x:v>
      </x:c>
      <x:c r="G46" s="14" t="str">
        <x:v>Adulthood</x:v>
      </x:c>
      <x:c r="H46" s="32" t="e">
        <x:f>HYPERLINK("https://pubmed.ncbi.nlm.nih.gov/"&amp;C46&amp;"/","Open PubMed")</x:f>
        <x:v>HYPERLINK is not implemented. linkLocation=https://pubmed.ncbi.nlm.nih.gov/42373174/, friendlyName=Open PubMed</x:v>
      </x:c>
    </x:row>
    <x:row r="47">
      <x:c r="A47" t="str">
        <x:v>PUBMED-42543801</x:v>
      </x:c>
      <x:c r="B47" t="n">
        <x:v>2026</x:v>
      </x:c>
      <x:c r="C47" t="str">
        <x:v>42543801</x:v>
      </x:c>
      <x:c r="D47" s="14" t="str">
        <x:v>Gut Microbiome and ADHD: A Narrative Review of Clinical Evidence and Practice Implications.</x:v>
      </x:c>
      <x:c r="E47" s="14" t="str">
        <x:v>Evidence synthesis - review</x:v>
      </x:c>
      <x:c r="F47" s="14" t="str">
        <x:v>Development &amp; presentation; Social &amp; structural; Environmental &amp; lifestyle; Treatment &amp; support</x:v>
      </x:c>
      <x:c r="G47" s="14" t="str">
        <x:v>Childhood; Adulthood</x:v>
      </x:c>
      <x:c r="H47" s="32" t="e">
        <x:f>HYPERLINK("https://pubmed.ncbi.nlm.nih.gov/"&amp;C47&amp;"/","Open PubMed")</x:f>
        <x:v>HYPERLINK is not implemented. linkLocation=https://pubmed.ncbi.nlm.nih.gov/42543801/, friendlyName=Open PubMed</x:v>
      </x:c>
    </x:row>
    <x:row r="48">
      <x:c r="A48" t="str">
        <x:v>PUBMED-42297153</x:v>
      </x:c>
      <x:c r="B48" t="n">
        <x:v>2026</x:v>
      </x:c>
      <x:c r="C48" t="str">
        <x:v>42297153</x:v>
      </x:c>
      <x:c r="D48" s="14" t="str">
        <x:v>The quest to find genuine adult ADHD: Navigating diagnostic challenges of malingering - a review.</x:v>
      </x:c>
      <x:c r="E48" s="14" t="str">
        <x:v>Evidence synthesis - review</x:v>
      </x:c>
      <x:c r="F48" s="14" t="str">
        <x:v>Development &amp; presentation; Recognition &amp; diagnosis; Family &amp; education; Social &amp; structural; Treatment &amp; support; Life outcomes &amp; lived experience</x:v>
      </x:c>
      <x:c r="G48" s="14" t="str">
        <x:v>Adulthood</x:v>
      </x:c>
      <x:c r="H48" s="32" t="e">
        <x:f>HYPERLINK("https://pubmed.ncbi.nlm.nih.gov/"&amp;C48&amp;"/","Open PubMed")</x:f>
        <x:v>HYPERLINK is not implemented. linkLocation=https://pubmed.ncbi.nlm.nih.gov/42297153/, friendlyName=Open PubMed</x:v>
      </x:c>
    </x:row>
    <x:row r="49">
      <x:c r="A49" t="str">
        <x:v>PUBMED-42216788</x:v>
      </x:c>
      <x:c r="B49" t="n">
        <x:v>2026</x:v>
      </x:c>
      <x:c r="C49" t="str">
        <x:v>42216788</x:v>
      </x:c>
      <x:c r="D49" s="14" t="str">
        <x:v>A Systematic Review of Lived Experiences of Receiving a Diagnosis of ADHD in Adulthood.</x:v>
      </x:c>
      <x:c r="E49" s="14" t="str">
        <x:v>Evidence synthesis - systematic review</x:v>
      </x:c>
      <x:c r="F49" s="14" t="str">
        <x:v>Development &amp; presentation; Recognition &amp; diagnosis; Social &amp; structural; Treatment &amp; support; Life outcomes &amp; lived experience</x:v>
      </x:c>
      <x:c r="G49" s="14" t="str">
        <x:v>Adulthood</x:v>
      </x:c>
      <x:c r="H49" s="32" t="e">
        <x:f>HYPERLINK("https://pubmed.ncbi.nlm.nih.gov/"&amp;C49&amp;"/","Open PubMed")</x:f>
        <x:v>HYPERLINK is not implemented. linkLocation=https://pubmed.ncbi.nlm.nih.gov/42216788/, friendlyName=Open PubMed</x:v>
      </x:c>
    </x:row>
    <x:row r="50">
      <x:c r="A50" t="str">
        <x:v>PUBMED-42429286</x:v>
      </x:c>
      <x:c r="B50" t="n">
        <x:v>2026</x:v>
      </x:c>
      <x:c r="C50" t="str">
        <x:v>42429286</x:v>
      </x:c>
      <x:c r="D50" s="14" t="str">
        <x:v>Systematic Review and Meta-Analysis of Attention Deficit Hyperactivity Disorder: First Estimates of the Prevalence by Sex Amongst People Who Use Psychoactive Substances and Alcohol.</x:v>
      </x:c>
      <x:c r="E50" s="14" t="str">
        <x:v>Evidence synthesis - meta-analysis</x:v>
      </x:c>
      <x:c r="F50" s="14" t="str">
        <x:v>Development &amp; presentation; Recognition &amp; diagnosis; Social &amp; structural; Environmental &amp; lifestyle; Treatment &amp; support; Life outcomes &amp; lived experience</x:v>
      </x:c>
      <x:c r="G50" s="14" t="str">
        <x:v>Childhood; Adulthood</x:v>
      </x:c>
      <x:c r="H50" s="32" t="e">
        <x:f>HYPERLINK("https://pubmed.ncbi.nlm.nih.gov/"&amp;C50&amp;"/","Open PubMed")</x:f>
        <x:v>HYPERLINK is not implemented. linkLocation=https://pubmed.ncbi.nlm.nih.gov/42429286/, friendlyName=Open PubMed</x:v>
      </x:c>
    </x:row>
    <x:row r="51">
      <x:c r="A51" t="str">
        <x:v>PUBMED-42248832</x:v>
      </x:c>
      <x:c r="B51" t="n">
        <x:v>2026</x:v>
      </x:c>
      <x:c r="C51" t="str">
        <x:v>42248832</x:v>
      </x:c>
      <x:c r="D51" s="14" t="str">
        <x:v>Prenatal stress, excitatory-inhibitory imbalance, and ADHD risk: a hypothesis-driven perspective on psilocybin-induced neuroplasticity.</x:v>
      </x:c>
      <x:c r="E51" s="14" t="str">
        <x:v>Evidence synthesis - review</x:v>
      </x:c>
      <x:c r="F51" s="14" t="str">
        <x:v>Development &amp; presentation; Social &amp; structural; Environmental &amp; lifestyle; Treatment &amp; support; Life outcomes &amp; lived experience</x:v>
      </x:c>
      <x:c r="G51" s="14" t="str">
        <x:v>Adulthood</x:v>
      </x:c>
      <x:c r="H51" s="32" t="e">
        <x:f>HYPERLINK("https://pubmed.ncbi.nlm.nih.gov/"&amp;C51&amp;"/","Open PubMed")</x:f>
        <x:v>HYPERLINK is not implemented. linkLocation=https://pubmed.ncbi.nlm.nih.gov/42248832/, friendlyName=Open PubMed</x:v>
      </x:c>
    </x:row>
    <x:row r="52">
      <x:c r="A52" t="str">
        <x:v>PUBMED-42234108</x:v>
      </x:c>
      <x:c r="B52" t="n">
        <x:v>2026</x:v>
      </x:c>
      <x:c r="C52" t="str">
        <x:v>42234108</x:v>
      </x:c>
      <x:c r="D52" s="14" t="str">
        <x:v>The impact of maternal vitamin D levels during pregnancy and risk of autism spectrum disorder and attention deficit hyperactivity disorder diagnosis and symptoms in offspring: a systematic review and dose-response meta-analysis.</x:v>
      </x:c>
      <x:c r="E52" s="14" t="str">
        <x:v>Evidence synthesis - meta-analysis</x:v>
      </x:c>
      <x:c r="F52" s="14" t="str">
        <x:v>Development &amp; presentation; Recognition &amp; diagnosis; Social &amp; structural; Environmental &amp; lifestyle; Historical &amp; contemporary context</x:v>
      </x:c>
      <x:c r="G52" s="14" t="str">
        <x:v>Childhood</x:v>
      </x:c>
      <x:c r="H52" s="32" t="e">
        <x:f>HYPERLINK("https://pubmed.ncbi.nlm.nih.gov/"&amp;C52&amp;"/","Open PubMed")</x:f>
        <x:v>HYPERLINK is not implemented. linkLocation=https://pubmed.ncbi.nlm.nih.gov/42234108/, friendlyName=Open PubMed</x:v>
      </x:c>
    </x:row>
    <x:row r="53">
      <x:c r="A53" t="str">
        <x:v>PUBMED-42614105</x:v>
      </x:c>
      <x:c r="B53" t="n">
        <x:v>2026</x:v>
      </x:c>
      <x:c r="C53" t="str">
        <x:v>42614105</x:v>
      </x:c>
      <x:c r="D53" s="14" t="str">
        <x:v>Multimodal Digital Therapeutics Enhanced by Task Design and AI for Attention-Deficit/Hyperactivity Disorder Core Symptoms and Executive Functions in Children and Adolescents: Systematic Review and Network Meta-Analysis of Randomized Controlled Trials.</x:v>
      </x:c>
      <x:c r="E53" s="14" t="str">
        <x:v>Evidence synthesis - meta-analysis</x:v>
      </x:c>
      <x:c r="F53" s="14" t="str">
        <x:v>Development &amp; presentation; Recognition &amp; diagnosis; Family &amp; education; Social &amp; structural; Treatment &amp; support; Life outcomes &amp; lived experience</x:v>
      </x:c>
      <x:c r="G53" s="14" t="str">
        <x:v>Childhood; Adolescence</x:v>
      </x:c>
      <x:c r="H53" s="32" t="e">
        <x:f>HYPERLINK("https://pubmed.ncbi.nlm.nih.gov/"&amp;C53&amp;"/","Open PubMed")</x:f>
        <x:v>HYPERLINK is not implemented. linkLocation=https://pubmed.ncbi.nlm.nih.gov/42614105/, friendlyName=Open PubMed</x:v>
      </x:c>
    </x:row>
    <x:row r="54">
      <x:c r="A54" t="str">
        <x:v>PUBMED-42175507</x:v>
      </x:c>
      <x:c r="B54" t="n">
        <x:v>2026</x:v>
      </x:c>
      <x:c r="C54" t="str">
        <x:v>42175507</x:v>
      </x:c>
      <x:c r="D54" s="14" t="str">
        <x:v>The association between asthma and ADHD in children and adolescents: An observational study and a meta-analysis of Mendelian randomization studies.</x:v>
      </x:c>
      <x:c r="E54" s="14" t="str">
        <x:v>Evidence synthesis - meta-analysis</x:v>
      </x:c>
      <x:c r="F54" s="14" t="str">
        <x:v>Development &amp; presentation; Recognition &amp; diagnosis; Family &amp; education; Social &amp; structural; Environmental &amp; lifestyle; Life outcomes &amp; lived experience</x:v>
      </x:c>
      <x:c r="G54" s="14" t="str">
        <x:v>Childhood; Adolescence; Adulthood</x:v>
      </x:c>
      <x:c r="H54" s="32" t="e">
        <x:f>HYPERLINK("https://pubmed.ncbi.nlm.nih.gov/"&amp;C54&amp;"/","Open PubMed")</x:f>
        <x:v>HYPERLINK is not implemented. linkLocation=https://pubmed.ncbi.nlm.nih.gov/42175507/, friendlyName=Open PubMed</x:v>
      </x:c>
    </x:row>
    <x:row r="55">
      <x:c r="A55" t="str">
        <x:v>PUBMED-42034588</x:v>
      </x:c>
      <x:c r="B55" t="n">
        <x:v>2026</x:v>
      </x:c>
      <x:c r="C55" t="str">
        <x:v>42034588</x:v>
      </x:c>
      <x:c r="D55" s="14" t="str">
        <x:v>Comprehensive overview of triclosan neurotoxicity and construction of adverse outcome pathways using a systems toxicology approach: Triclosan-induced attention-deficit hyperactivity disorder as an example.</x:v>
      </x:c>
      <x:c r="E55" s="14" t="str">
        <x:v>Evidence synthesis - review</x:v>
      </x:c>
      <x:c r="F55" s="14" t="str">
        <x:v>Development &amp; presentation; Recognition &amp; diagnosis; Social &amp; structural; Environmental &amp; lifestyle; Treatment &amp; support; Life outcomes &amp; lived experience</x:v>
      </x:c>
      <x:c r="G55" s="14" t="str">
        <x:v>Not specified</x:v>
      </x:c>
      <x:c r="H55" s="32" t="e">
        <x:f>HYPERLINK("https://pubmed.ncbi.nlm.nih.gov/"&amp;C55&amp;"/","Open PubMed")</x:f>
        <x:v>HYPERLINK is not implemented. linkLocation=https://pubmed.ncbi.nlm.nih.gov/42034588/, friendlyName=Open PubMed</x:v>
      </x:c>
    </x:row>
    <x:row r="56">
      <x:c r="A56" t="str">
        <x:v>PUBMED-42514426</x:v>
      </x:c>
      <x:c r="B56" t="n">
        <x:v>2026</x:v>
      </x:c>
      <x:c r="C56" t="str">
        <x:v>42514426</x:v>
      </x:c>
      <x:c r="D56" s="14" t="str">
        <x:v>Probiotic Supplementation in Children and Adolescents with ADHD: A Systematic Review and Meta-Analysis of ADHD-Related and Emotional-Behavioral Outcomes.</x:v>
      </x:c>
      <x:c r="E56" s="14" t="str">
        <x:v>Evidence synthesis - meta-analysis</x:v>
      </x:c>
      <x:c r="F56" s="14" t="str">
        <x:v>Development &amp; presentation; Recognition &amp; diagnosis; Family &amp; education; Social &amp; structural; Environmental &amp; lifestyle; Treatment &amp; support; Life outcomes &amp; lived experience</x:v>
      </x:c>
      <x:c r="G56" s="14" t="str">
        <x:v>Childhood; Adolescence</x:v>
      </x:c>
      <x:c r="H56" s="32" t="e">
        <x:f>HYPERLINK("https://pubmed.ncbi.nlm.nih.gov/"&amp;C56&amp;"/","Open PubMed")</x:f>
        <x:v>HYPERLINK is not implemented. linkLocation=https://pubmed.ncbi.nlm.nih.gov/42514426/, friendlyName=Open PubMed</x:v>
      </x:c>
    </x:row>
    <x:row r="57">
      <x:c r="A57" t="str">
        <x:v>PUBMED-42297499</x:v>
      </x:c>
      <x:c r="B57" t="n">
        <x:v>2026</x:v>
      </x:c>
      <x:c r="C57" t="str">
        <x:v>42297499</x:v>
      </x:c>
      <x:c r="D57" s="14" t="str">
        <x:v>Occupational injury risk and workplace safety challenges among adults with ADHD: A systematic review.</x:v>
      </x:c>
      <x:c r="E57" s="14" t="str">
        <x:v>Evidence synthesis - systematic review</x:v>
      </x:c>
      <x:c r="F57" s="14" t="str">
        <x:v>Development &amp; presentation; Recognition &amp; diagnosis; Social &amp; structural; Environmental &amp; lifestyle; Treatment &amp; support; Life outcomes &amp; lived experience; Historical &amp; contemporary context</x:v>
      </x:c>
      <x:c r="G57" s="14" t="str">
        <x:v>Adulthood</x:v>
      </x:c>
      <x:c r="H57" s="32" t="e">
        <x:f>HYPERLINK("https://pubmed.ncbi.nlm.nih.gov/"&amp;C57&amp;"/","Open PubMed")</x:f>
        <x:v>HYPERLINK is not implemented. linkLocation=https://pubmed.ncbi.nlm.nih.gov/42297499/, friendlyName=Open PubMed</x:v>
      </x:c>
    </x:row>
    <x:row r="58">
      <x:c r="A58" t="str">
        <x:v>PUBMED-42348958</x:v>
      </x:c>
      <x:c r="B58" t="n">
        <x:v>2026</x:v>
      </x:c>
      <x:c r="C58" t="str">
        <x:v>42348958</x:v>
      </x:c>
      <x:c r="D58" s="14" t="str">
        <x:v>Are children and adolescents with ADHD less physically fit? Findings from a systematic review and meta-analysis.</x:v>
      </x:c>
      <x:c r="E58" s="14" t="str">
        <x:v>Evidence synthesis - meta-analysis</x:v>
      </x:c>
      <x:c r="F58" s="14" t="str">
        <x:v>Development &amp; presentation; Recognition &amp; diagnosis; Social &amp; structural; Life outcomes &amp; lived experience</x:v>
      </x:c>
      <x:c r="G58" s="14" t="str">
        <x:v>Childhood; Adolescence</x:v>
      </x:c>
      <x:c r="H58" s="32" t="e">
        <x:f>HYPERLINK("https://pubmed.ncbi.nlm.nih.gov/"&amp;C58&amp;"/","Open PubMed")</x:f>
        <x:v>HYPERLINK is not implemented. linkLocation=https://pubmed.ncbi.nlm.nih.gov/42348958/, friendlyName=Open PubMed</x:v>
      </x:c>
    </x:row>
    <x:row r="59">
      <x:c r="A59" t="str">
        <x:v>PUBMED-42176184</x:v>
      </x:c>
      <x:c r="B59" t="n">
        <x:v>2026</x:v>
      </x:c>
      <x:c r="C59" t="str">
        <x:v>42176184</x:v>
      </x:c>
      <x:c r="D59" s="14" t="str">
        <x:v>The Impact of Untreated Attention-Deficit/Hyperactivity Disorder on Motor Vehicle Accidents: A Systematic Review and Meta-Analysis.</x:v>
      </x:c>
      <x:c r="E59" s="14" t="str">
        <x:v>Evidence synthesis - meta-analysis</x:v>
      </x:c>
      <x:c r="F59" s="14" t="str">
        <x:v>Development &amp; presentation; Environmental &amp; lifestyle; Treatment &amp; support; Life outcomes &amp; lived experience</x:v>
      </x:c>
      <x:c r="G59" s="14" t="str">
        <x:v>Not specified</x:v>
      </x:c>
      <x:c r="H59" s="32" t="e">
        <x:f>HYPERLINK("https://pubmed.ncbi.nlm.nih.gov/"&amp;C59&amp;"/","Open PubMed")</x:f>
        <x:v>HYPERLINK is not implemented. linkLocation=https://pubmed.ncbi.nlm.nih.gov/42176184/, friendlyName=Open PubMed</x:v>
      </x:c>
    </x:row>
    <x:row r="60">
      <x:c r="A60" t="str">
        <x:v>PUBMED-42470906</x:v>
      </x:c>
      <x:c r="B60" t="n">
        <x:v>2026</x:v>
      </x:c>
      <x:c r="C60" t="str">
        <x:v>42470906</x:v>
      </x:c>
      <x:c r="D60" s="14" t="str">
        <x:v>Resting-state functional connectivity alterations in adult ADHD: A systematic review of rs-fMRI studies.</x:v>
      </x:c>
      <x:c r="E60" s="14" t="str">
        <x:v>Evidence synthesis - systematic review</x:v>
      </x:c>
      <x:c r="F60" s="14" t="str">
        <x:v>Development &amp; presentation; Recognition &amp; diagnosis; Social &amp; structural</x:v>
      </x:c>
      <x:c r="G60" s="14" t="str">
        <x:v>Adulthood</x:v>
      </x:c>
      <x:c r="H60" s="32" t="e">
        <x:f>HYPERLINK("https://pubmed.ncbi.nlm.nih.gov/"&amp;C60&amp;"/","Open PubMed")</x:f>
        <x:v>HYPERLINK is not implemented. linkLocation=https://pubmed.ncbi.nlm.nih.gov/42470906/, friendlyName=Open PubMed</x:v>
      </x:c>
    </x:row>
    <x:row r="61">
      <x:c r="A61" t="str">
        <x:v>PUBMED-42709718</x:v>
      </x:c>
      <x:c r="B61" t="n">
        <x:v>2026</x:v>
      </x:c>
      <x:c r="C61" t="str">
        <x:v>42709718</x:v>
      </x:c>
      <x:c r="D61" s="14" t="str">
        <x:v>Autism and ADHD social media short-form video content: A systematic review protocol.</x:v>
      </x:c>
      <x:c r="E61" s="14" t="str">
        <x:v>Evidence synthesis - meta-analysis</x:v>
      </x:c>
      <x:c r="F61" s="14" t="str">
        <x:v>Development &amp; presentation; Recognition &amp; diagnosis; Social &amp; structural; Environmental &amp; lifestyle; Treatment &amp; support; Life outcomes &amp; lived experience; Historical &amp; contemporary context</x:v>
      </x:c>
      <x:c r="G61" s="14" t="str">
        <x:v>Adulthood</x:v>
      </x:c>
      <x:c r="H61" s="32" t="e">
        <x:f>HYPERLINK("https://pubmed.ncbi.nlm.nih.gov/"&amp;C61&amp;"/","Open PubMed")</x:f>
        <x:v>HYPERLINK is not implemented. linkLocation=https://pubmed.ncbi.nlm.nih.gov/42709718/, friendlyName=Open PubMed</x:v>
      </x:c>
    </x:row>
    <x:row r="62">
      <x:c r="A62" t="str">
        <x:v>PUBMED-42667457</x:v>
      </x:c>
      <x:c r="B62" t="n">
        <x:v>2026</x:v>
      </x:c>
      <x:c r="C62" t="str">
        <x:v>42667457</x:v>
      </x:c>
      <x:c r="D62" s="14" t="str">
        <x:v>Off-Time Puberty in Autism Spectrum Disorder and ADHD: A Scoping Review of Pubertal Timing, Social Cognition, and Psychopathological Risk.</x:v>
      </x:c>
      <x:c r="E62" s="14" t="str">
        <x:v>Evidence synthesis - review</x:v>
      </x:c>
      <x:c r="F62" s="14" t="str">
        <x:v>Development &amp; presentation; Social &amp; structural; Life outcomes &amp; lived experience</x:v>
      </x:c>
      <x:c r="G62" s="14" t="str">
        <x:v>Childhood; Adolescence</x:v>
      </x:c>
      <x:c r="H62" s="32" t="e">
        <x:f>HYPERLINK("https://pubmed.ncbi.nlm.nih.gov/"&amp;C62&amp;"/","Open PubMed")</x:f>
        <x:v>HYPERLINK is not implemented. linkLocation=https://pubmed.ncbi.nlm.nih.gov/42667457/, friendlyName=Open PubMed</x:v>
      </x:c>
    </x:row>
    <x:row r="63">
      <x:c r="A63" t="str">
        <x:v>PUBMED-42400277</x:v>
      </x:c>
      <x:c r="B63" t="n">
        <x:v>2026</x:v>
      </x:c>
      <x:c r="C63" t="str">
        <x:v>42400277</x:v>
      </x:c>
      <x:c r="D63" s="14" t="str">
        <x:v>Symptoms of Anxiety in Adults with ADHD: A Systematic Review and Meta-Analysis of Case-Control Studies.</x:v>
      </x:c>
      <x:c r="E63" s="14" t="str">
        <x:v>Evidence synthesis - meta-analysis</x:v>
      </x:c>
      <x:c r="F63" s="14" t="str">
        <x:v>Development &amp; presentation; Recognition &amp; diagnosis; Social &amp; structural; Treatment &amp; support; Life outcomes &amp; lived experience</x:v>
      </x:c>
      <x:c r="G63" s="14" t="str">
        <x:v>Adulthood</x:v>
      </x:c>
      <x:c r="H63" s="32" t="e">
        <x:f>HYPERLINK("https://pubmed.ncbi.nlm.nih.gov/"&amp;C63&amp;"/","Open PubMed")</x:f>
        <x:v>HYPERLINK is not implemented. linkLocation=https://pubmed.ncbi.nlm.nih.gov/42400277/, friendlyName=Open PubMed</x:v>
      </x:c>
    </x:row>
    <x:row r="64">
      <x:c r="A64" t="str">
        <x:v>PUBMED-42456607</x:v>
      </x:c>
      <x:c r="B64" t="n">
        <x:v>2026</x:v>
      </x:c>
      <x:c r="C64" t="str">
        <x:v>42456607</x:v>
      </x:c>
      <x:c r="D64" s="14" t="str">
        <x:v>A systematic review on the association between ADHD and procrastination.</x:v>
      </x:c>
      <x:c r="E64" s="14" t="str">
        <x:v>Evidence synthesis - systematic review</x:v>
      </x:c>
      <x:c r="F64" s="14" t="str">
        <x:v>Development &amp; presentation; Recognition &amp; diagnosis; Social &amp; structural; Life outcomes &amp; lived experience</x:v>
      </x:c>
      <x:c r="G64" s="14" t="str">
        <x:v>Not specified</x:v>
      </x:c>
      <x:c r="H64" s="32" t="e">
        <x:f>HYPERLINK("https://pubmed.ncbi.nlm.nih.gov/"&amp;C64&amp;"/","Open PubMed")</x:f>
        <x:v>HYPERLINK is not implemented. linkLocation=https://pubmed.ncbi.nlm.nih.gov/42456607/, friendlyName=Open PubMed</x:v>
      </x:c>
    </x:row>
    <x:row r="65">
      <x:c r="A65" t="str">
        <x:v>PUBMED-42054973</x:v>
      </x:c>
      <x:c r="B65" t="n">
        <x:v>2026</x:v>
      </x:c>
      <x:c r="C65" t="str">
        <x:v>42054973</x:v>
      </x:c>
      <x:c r="D65" s="14" t="str">
        <x:v>The interplay between executive function and learning disabilities: Developmental cognitive neuroscience perspectives on reading, math, and ADHD.</x:v>
      </x:c>
      <x:c r="E65" s="14" t="str">
        <x:v>Evidence synthesis - review</x:v>
      </x:c>
      <x:c r="F65" s="14" t="str">
        <x:v>Development &amp; presentation; Recognition &amp; diagnosis; Family &amp; education; Social &amp; structural; Treatment &amp; support</x:v>
      </x:c>
      <x:c r="G65" s="14" t="str">
        <x:v>Not specified</x:v>
      </x:c>
      <x:c r="H65" s="32" t="e">
        <x:f>HYPERLINK("https://pubmed.ncbi.nlm.nih.gov/"&amp;C65&amp;"/","Open PubMed")</x:f>
        <x:v>HYPERLINK is not implemented. linkLocation=https://pubmed.ncbi.nlm.nih.gov/42054973/, friendlyName=Open PubMed</x:v>
      </x:c>
    </x:row>
    <x:row r="66">
      <x:c r="A66" t="str">
        <x:v>PUBMED-42086155</x:v>
      </x:c>
      <x:c r="B66" t="n">
        <x:v>2026</x:v>
      </x:c>
      <x:c r="C66" t="str">
        <x:v>42086155</x:v>
      </x:c>
      <x:c r="D66" s="14" t="str">
        <x:v>Systematic review of virtual reality therapy in the treatment of visual dysfunction in children with ADHD and dyslexia.</x:v>
      </x:c>
      <x:c r="E66" s="14" t="str">
        <x:v>Evidence synthesis - systematic review</x:v>
      </x:c>
      <x:c r="F66" s="14" t="str">
        <x:v>Development &amp; presentation; Family &amp; education; Social &amp; structural; Environmental &amp; lifestyle; Treatment &amp; support; Life outcomes &amp; lived experience</x:v>
      </x:c>
      <x:c r="G66" s="14" t="str">
        <x:v>Childhood</x:v>
      </x:c>
      <x:c r="H66" s="32" t="e">
        <x:f>HYPERLINK("https://pubmed.ncbi.nlm.nih.gov/"&amp;C66&amp;"/","Open PubMed")</x:f>
        <x:v>HYPERLINK is not implemented. linkLocation=https://pubmed.ncbi.nlm.nih.gov/42086155/, friendlyName=Open PubMed</x:v>
      </x:c>
    </x:row>
    <x:row r="67">
      <x:c r="A67" t="str">
        <x:v>PUBMED-42654244</x:v>
      </x:c>
      <x:c r="B67" t="n">
        <x:v>2026</x:v>
      </x:c>
      <x:c r="C67" t="str">
        <x:v>42654244</x:v>
      </x:c>
      <x:c r="D67" s="14" t="str">
        <x:v>Decoding Communication Difficulties in ADHD: A Narrative Review on the Potential Links with Dietary Patterns, the Microbiome, and Oxidative Stress.</x:v>
      </x:c>
      <x:c r="E67" s="14" t="str">
        <x:v>Evidence synthesis - review</x:v>
      </x:c>
      <x:c r="F67" s="14" t="str">
        <x:v>Development &amp; presentation; Recognition &amp; diagnosis; Social &amp; structural; Environmental &amp; lifestyle; Treatment &amp; support; Life outcomes &amp; lived experience</x:v>
      </x:c>
      <x:c r="G67" s="14" t="str">
        <x:v>Childhood</x:v>
      </x:c>
      <x:c r="H67" s="32" t="e">
        <x:f>HYPERLINK("https://pubmed.ncbi.nlm.nih.gov/"&amp;C67&amp;"/","Open PubMed")</x:f>
        <x:v>HYPERLINK is not implemented. linkLocation=https://pubmed.ncbi.nlm.nih.gov/42654244/, friendlyName=Open PubMed</x:v>
      </x:c>
    </x:row>
    <x:row r="68">
      <x:c r="A68" t="str">
        <x:v>PUBMED-41967398</x:v>
      </x:c>
      <x:c r="B68" t="n">
        <x:v>2026</x:v>
      </x:c>
      <x:c r="C68" t="str">
        <x:v>41967398</x:v>
      </x:c>
      <x:c r="D68" s="14" t="str">
        <x:v>Cognitive functioning in children with both epilepsy and ADHD: A systematic review and meta-analysis.</x:v>
      </x:c>
      <x:c r="E68" s="14" t="str">
        <x:v>Evidence synthesis - meta-analysis</x:v>
      </x:c>
      <x:c r="F68" s="14" t="str">
        <x:v>Development &amp; presentation; Recognition &amp; diagnosis; Social &amp; structural; Treatment &amp; support; Life outcomes &amp; lived experience</x:v>
      </x:c>
      <x:c r="G68" s="14" t="str">
        <x:v>Childhood</x:v>
      </x:c>
      <x:c r="H68" s="32" t="e">
        <x:f>HYPERLINK("https://pubmed.ncbi.nlm.nih.gov/"&amp;C68&amp;"/","Open PubMed")</x:f>
        <x:v>HYPERLINK is not implemented. linkLocation=https://pubmed.ncbi.nlm.nih.gov/41967398/, friendlyName=Open PubMed</x:v>
      </x:c>
    </x:row>
    <x:row r="69">
      <x:c r="A69" t="str">
        <x:v>PUBMED-41910119</x:v>
      </x:c>
      <x:c r="B69" t="n">
        <x:v>2026</x:v>
      </x:c>
      <x:c r="C69" t="str">
        <x:v>41910119</x:v>
      </x:c>
      <x:c r="D69" s="14" t="str">
        <x:v>Association between Attention Deficit Hyperactivity Disorder and Obstructive Sleep Apnea in Children: A Systematic Review and Meta-Analysis.</x:v>
      </x:c>
      <x:c r="E69" s="14" t="str">
        <x:v>Evidence synthesis - meta-analysis</x:v>
      </x:c>
      <x:c r="F69" s="14" t="str">
        <x:v>Development &amp; presentation; Recognition &amp; diagnosis; Social &amp; structural; Environmental &amp; lifestyle; Treatment &amp; support; Life outcomes &amp; lived experience</x:v>
      </x:c>
      <x:c r="G69" s="14" t="str">
        <x:v>Childhood</x:v>
      </x:c>
      <x:c r="H69" s="32" t="e">
        <x:f>HYPERLINK("https://pubmed.ncbi.nlm.nih.gov/"&amp;C69&amp;"/","Open PubMed")</x:f>
        <x:v>HYPERLINK is not implemented. linkLocation=https://pubmed.ncbi.nlm.nih.gov/41910119/, friendlyName=Open PubMed</x:v>
      </x:c>
    </x:row>
    <x:row r="70">
      <x:c r="A70" t="str">
        <x:v>PUBMED-41889015</x:v>
      </x:c>
      <x:c r="B70" t="n">
        <x:v>2026</x:v>
      </x:c>
      <x:c r="C70" t="str">
        <x:v>41889015</x:v>
      </x:c>
      <x:c r="D70" s="14" t="str">
        <x:v>Attention Deficit/Hyperactivity Disorder (ADHD)-Related Strengths in Adults: A Scoping Review.</x:v>
      </x:c>
      <x:c r="E70" s="14" t="str">
        <x:v>Evidence synthesis - systematic review</x:v>
      </x:c>
      <x:c r="F70" s="14" t="str">
        <x:v>Development &amp; presentation; Social &amp; structural; Life outcomes &amp; lived experience; Historical &amp; contemporary context</x:v>
      </x:c>
      <x:c r="G70" s="14" t="str">
        <x:v>Adulthood</x:v>
      </x:c>
      <x:c r="H70" s="32" t="e">
        <x:f>HYPERLINK("https://pubmed.ncbi.nlm.nih.gov/"&amp;C70&amp;"/","Open PubMed")</x:f>
        <x:v>HYPERLINK is not implemented. linkLocation=https://pubmed.ncbi.nlm.nih.gov/41889015/, friendlyName=Open PubMed</x:v>
      </x:c>
    </x:row>
    <x:row r="71">
      <x:c r="A71" t="str">
        <x:v>PUBMED-41885001</x:v>
      </x:c>
      <x:c r="B71" t="n">
        <x:v>2026</x:v>
      </x:c>
      <x:c r="C71" t="str">
        <x:v>41885001</x:v>
      </x:c>
      <x:c r="D71" s="14" t="str">
        <x:v>Do Children and Adolescents with Attention Deficit Hyperactivity Disorder Use Screens More? A Systematic Review and Meta-Analysis.</x:v>
      </x:c>
      <x:c r="E71" s="14" t="str">
        <x:v>Evidence synthesis - meta-analysis</x:v>
      </x:c>
      <x:c r="F71" s="14" t="str">
        <x:v>Development &amp; presentation; Recognition &amp; diagnosis; Family &amp; education; Social &amp; structural; Environmental &amp; lifestyle; Treatment &amp; support</x:v>
      </x:c>
      <x:c r="G71" s="14" t="str">
        <x:v>Childhood; Adolescence</x:v>
      </x:c>
      <x:c r="H71" s="32" t="e">
        <x:f>HYPERLINK("https://pubmed.ncbi.nlm.nih.gov/"&amp;C71&amp;"/","Open PubMed")</x:f>
        <x:v>HYPERLINK is not implemented. linkLocation=https://pubmed.ncbi.nlm.nih.gov/41885001/, friendlyName=Open PubMed</x:v>
      </x:c>
    </x:row>
    <x:row r="72">
      <x:c r="A72" t="str">
        <x:v>PUBMED-41872162</x:v>
      </x:c>
      <x:c r="B72" t="n">
        <x:v>2026</x:v>
      </x:c>
      <x:c r="C72" t="str">
        <x:v>41872162</x:v>
      </x:c>
      <x:c r="D72" s="14" t="str">
        <x:v>Dynamic modeling in neurocognitive frameworks of childhood ADHD: a review of inhibitory control and reward systems.</x:v>
      </x:c>
      <x:c r="E72" s="14" t="str">
        <x:v>Evidence synthesis - review</x:v>
      </x:c>
      <x:c r="F72" s="14" t="str">
        <x:v>Development &amp; presentation; Recognition &amp; diagnosis; Social &amp; structural; Treatment &amp; support; Historical &amp; contemporary context</x:v>
      </x:c>
      <x:c r="G72" s="14" t="str">
        <x:v>Childhood</x:v>
      </x:c>
      <x:c r="H72" s="32" t="e">
        <x:f>HYPERLINK("https://pubmed.ncbi.nlm.nih.gov/"&amp;C72&amp;"/","Open PubMed")</x:f>
        <x:v>HYPERLINK is not implemented. linkLocation=https://pubmed.ncbi.nlm.nih.gov/41872162/, friendlyName=Open PubMed</x:v>
      </x:c>
    </x:row>
    <x:row r="73">
      <x:c r="A73" t="str">
        <x:v>PUBMED-41633265</x:v>
      </x:c>
      <x:c r="B73" t="n">
        <x:v>2026</x:v>
      </x:c>
      <x:c r="C73" t="str">
        <x:v>41633265</x:v>
      </x:c>
      <x:c r="D73" s="14" t="str">
        <x:v>Gut-brain axis in Attention Deficit Hyperactivity Disorder (ADHD): A narrative review of the links between gut microbiota and ADHD pathophysiology.</x:v>
      </x:c>
      <x:c r="E73" s="14" t="str">
        <x:v>Evidence synthesis - review</x:v>
      </x:c>
      <x:c r="F73" s="14" t="str">
        <x:v>Development &amp; presentation; Social &amp; structural; Treatment &amp; support</x:v>
      </x:c>
      <x:c r="G73" s="14" t="str">
        <x:v>Not specified</x:v>
      </x:c>
      <x:c r="H73" s="32" t="e">
        <x:f>HYPERLINK("https://pubmed.ncbi.nlm.nih.gov/"&amp;C73&amp;"/","Open PubMed")</x:f>
        <x:v>HYPERLINK is not implemented. linkLocation=https://pubmed.ncbi.nlm.nih.gov/41633265/, friendlyName=Open PubMed</x:v>
      </x:c>
    </x:row>
    <x:row r="74">
      <x:c r="A74" t="str">
        <x:v>PUBMED-41633106</x:v>
      </x:c>
      <x:c r="B74" t="n">
        <x:v>2026</x:v>
      </x:c>
      <x:c r="C74" t="str">
        <x:v>41633106</x:v>
      </x:c>
      <x:c r="D74" s="14" t="str">
        <x:v>Non-suicidal self-injury in individuals with attention-deficit/hyperactivity disorder: A systematic review and Meta-analysis with Age- and Sex-stratified findings.</x:v>
      </x:c>
      <x:c r="E74" s="14" t="str">
        <x:v>Evidence synthesis - meta-analysis</x:v>
      </x:c>
      <x:c r="F74" s="14" t="str">
        <x:v>Development &amp; presentation; Recognition &amp; diagnosis; Social &amp; structural</x:v>
      </x:c>
      <x:c r="G74" s="14" t="str">
        <x:v>Adolescence; Adulthood</x:v>
      </x:c>
      <x:c r="H74" s="32" t="e">
        <x:f>HYPERLINK("https://pubmed.ncbi.nlm.nih.gov/"&amp;C74&amp;"/","Open PubMed")</x:f>
        <x:v>HYPERLINK is not implemented. linkLocation=https://pubmed.ncbi.nlm.nih.gov/41633106/, friendlyName=Open PubMed</x:v>
      </x:c>
    </x:row>
    <x:row r="75">
      <x:c r="A75" t="str">
        <x:v>PUBMED-41610600</x:v>
      </x:c>
      <x:c r="B75" t="n">
        <x:v>2026</x:v>
      </x:c>
      <x:c r="C75" t="str">
        <x:v>41610600</x:v>
      </x:c>
      <x:c r="D75" s="14" t="str">
        <x:v>A systematic review of transcranial direct current stimulation (tDCS) for adults with attention deficit/hyperactivity disorder (ADHD).</x:v>
      </x:c>
      <x:c r="E75" s="14" t="str">
        <x:v>Evidence synthesis - meta-analysis</x:v>
      </x:c>
      <x:c r="F75" s="14" t="str">
        <x:v>Development &amp; presentation; Recognition &amp; diagnosis; Social &amp; structural; Treatment &amp; support; Life outcomes &amp; lived experience</x:v>
      </x:c>
      <x:c r="G75" s="14" t="str">
        <x:v>Childhood; Adulthood</x:v>
      </x:c>
      <x:c r="H75" s="32" t="e">
        <x:f>HYPERLINK("https://pubmed.ncbi.nlm.nih.gov/"&amp;C75&amp;"/","Open PubMed")</x:f>
        <x:v>HYPERLINK is not implemented. linkLocation=https://pubmed.ncbi.nlm.nih.gov/41610600/, friendlyName=Open PubMed</x:v>
      </x:c>
    </x:row>
    <x:row r="76">
      <x:c r="A76" t="str">
        <x:v>PUBMED-41591415</x:v>
      </x:c>
      <x:c r="B76" t="n">
        <x:v>2026</x:v>
      </x:c>
      <x:c r="C76" t="str">
        <x:v>41591415</x:v>
      </x:c>
      <x:c r="D76" s="14" t="str">
        <x:v>"Which resilience factors are the most effective for which Outcomes?" A systematic review and Meta-Analysis of multisystemic resilience of children with ADHD.</x:v>
      </x:c>
      <x:c r="E76" s="14" t="str">
        <x:v>Evidence synthesis - meta-analysis</x:v>
      </x:c>
      <x:c r="F76" s="14" t="str">
        <x:v>Development &amp; presentation; Family &amp; education; Social &amp; structural; Environmental &amp; lifestyle; Life outcomes &amp; lived experience; Historical &amp; contemporary context</x:v>
      </x:c>
      <x:c r="G76" s="14" t="str">
        <x:v>Childhood</x:v>
      </x:c>
      <x:c r="H76" s="32" t="e">
        <x:f>HYPERLINK("https://pubmed.ncbi.nlm.nih.gov/"&amp;C76&amp;"/","Open PubMed")</x:f>
        <x:v>HYPERLINK is not implemented. linkLocation=https://pubmed.ncbi.nlm.nih.gov/41591415/, friendlyName=Open PubMed</x:v>
      </x:c>
    </x:row>
    <x:row r="77">
      <x:c r="A77" t="str">
        <x:v>PUBMED-41546008</x:v>
      </x:c>
      <x:c r="B77" t="n">
        <x:v>2026</x:v>
      </x:c>
      <x:c r="C77" t="str">
        <x:v>41546008</x:v>
      </x:c>
      <x:c r="D77" s="14" t="str">
        <x:v>The association between attention deficit hyperactivity disorder and orthodontic outcomes: a systematic review.</x:v>
      </x:c>
      <x:c r="E77" s="14" t="str">
        <x:v>Evidence synthesis - systematic review</x:v>
      </x:c>
      <x:c r="F77" s="14" t="str">
        <x:v>Development &amp; presentation; Recognition &amp; diagnosis; Social &amp; structural; Treatment &amp; support; Life outcomes &amp; lived experience</x:v>
      </x:c>
      <x:c r="G77" s="14" t="str">
        <x:v>Not specified</x:v>
      </x:c>
      <x:c r="H77" s="32" t="e">
        <x:f>HYPERLINK("https://pubmed.ncbi.nlm.nih.gov/"&amp;C77&amp;"/","Open PubMed")</x:f>
        <x:v>HYPERLINK is not implemented. linkLocation=https://pubmed.ncbi.nlm.nih.gov/41546008/, friendlyName=Open PubMed</x:v>
      </x:c>
    </x:row>
    <x:row r="78">
      <x:c r="A78" t="str">
        <x:v>PUBMED-41385914</x:v>
      </x:c>
      <x:c r="B78" t="n">
        <x:v>2026</x:v>
      </x:c>
      <x:c r="C78" t="str">
        <x:v>41385914</x:v>
      </x:c>
      <x:c r="D78" s="14" t="str">
        <x:v>Maternal and paternal smoking during pregnancy and the risk of ADHD in offspring: An umbrella review of systematic reviews and meta-analyses.</x:v>
      </x:c>
      <x:c r="E78" s="14" t="str">
        <x:v>Evidence synthesis - systematic review</x:v>
      </x:c>
      <x:c r="F78" s="14" t="str">
        <x:v>Development &amp; presentation; Recognition &amp; diagnosis; Social &amp; structural; Environmental &amp; lifestyle; Treatment &amp; support</x:v>
      </x:c>
      <x:c r="G78" s="14" t="str">
        <x:v>Not specified</x:v>
      </x:c>
      <x:c r="H78" s="32" t="e">
        <x:f>HYPERLINK("https://pubmed.ncbi.nlm.nih.gov/"&amp;C78&amp;"/","Open PubMed")</x:f>
        <x:v>HYPERLINK is not implemented. linkLocation=https://pubmed.ncbi.nlm.nih.gov/41385914/, friendlyName=Open PubMed</x:v>
      </x:c>
    </x:row>
    <x:row r="79">
      <x:c r="A79" t="str">
        <x:v>PUBMED-41370974</x:v>
      </x:c>
      <x:c r="B79" t="n">
        <x:v>2026</x:v>
      </x:c>
      <x:c r="C79" t="str">
        <x:v>41370974</x:v>
      </x:c>
      <x:c r="D79" s="14" t="str">
        <x:v>Effects of video game intervention on attention deficit in children with ADHD: A systematic review and meta-analysis.</x:v>
      </x:c>
      <x:c r="E79" s="14" t="str">
        <x:v>Evidence synthesis - meta-analysis</x:v>
      </x:c>
      <x:c r="F79" s="14" t="str">
        <x:v>Development &amp; presentation; Recognition &amp; diagnosis; Social &amp; structural; Treatment &amp; support</x:v>
      </x:c>
      <x:c r="G79" s="14" t="str">
        <x:v>Childhood</x:v>
      </x:c>
      <x:c r="H79" s="32" t="e">
        <x:f>HYPERLINK("https://pubmed.ncbi.nlm.nih.gov/"&amp;C79&amp;"/","Open PubMed")</x:f>
        <x:v>HYPERLINK is not implemented. linkLocation=https://pubmed.ncbi.nlm.nih.gov/41370974/, friendlyName=Open PubMed</x:v>
      </x:c>
    </x:row>
    <x:row r="80">
      <x:c r="A80" t="str">
        <x:v>PUBMED-41267417</x:v>
      </x:c>
      <x:c r="B80" t="n">
        <x:v>2026</x:v>
      </x:c>
      <x:c r="C80" t="str">
        <x:v>41267417</x:v>
      </x:c>
      <x:c r="D80" s="14" t="str">
        <x:v>Treatment Adherence in ADHD: A Systematic Review of Influencing Factors and Strategies for Improvement.</x:v>
      </x:c>
      <x:c r="E80" s="14" t="str">
        <x:v>Evidence synthesis - systematic review</x:v>
      </x:c>
      <x:c r="F80" s="14" t="str">
        <x:v>Development &amp; presentation; Family &amp; education; Social &amp; structural; Environmental &amp; lifestyle; Treatment &amp; support; Life outcomes &amp; lived experience; Historical &amp; contemporary context</x:v>
      </x:c>
      <x:c r="G80" s="14" t="str">
        <x:v>Childhood; Adolescence; Adulthood</x:v>
      </x:c>
      <x:c r="H80" s="32" t="e">
        <x:f>HYPERLINK("https://pubmed.ncbi.nlm.nih.gov/"&amp;C80&amp;"/","Open PubMed")</x:f>
        <x:v>HYPERLINK is not implemented. linkLocation=https://pubmed.ncbi.nlm.nih.gov/41267417/, friendlyName=Open PubMed</x:v>
      </x:c>
    </x:row>
    <x:row r="81">
      <x:c r="A81" t="str">
        <x:v>PUBMED-41222592</x:v>
      </x:c>
      <x:c r="B81" t="n">
        <x:v>2026</x:v>
      </x:c>
      <x:c r="C81" t="str">
        <x:v>41222592</x:v>
      </x:c>
      <x:c r="D81" s="14" t="str">
        <x:v>A resting-state functional magnetic resonance imaging meta-analysis of differences in brain activity between children and adolescents with attention-deficit/hyperactivity disorder using activation likelihood estimation.</x:v>
      </x:c>
      <x:c r="E81" s="14" t="str">
        <x:v>Evidence synthesis - meta-analysis</x:v>
      </x:c>
      <x:c r="F81" s="14" t="str">
        <x:v>Development &amp; presentation; Recognition &amp; diagnosis; Social &amp; structural</x:v>
      </x:c>
      <x:c r="G81" s="14" t="str">
        <x:v>Childhood; Adolescence; Adulthood</x:v>
      </x:c>
      <x:c r="H81" s="32" t="e">
        <x:f>HYPERLINK("https://pubmed.ncbi.nlm.nih.gov/"&amp;C81&amp;"/","Open PubMed")</x:f>
        <x:v>HYPERLINK is not implemented. linkLocation=https://pubmed.ncbi.nlm.nih.gov/41222592/, friendlyName=Open PubMed</x:v>
      </x:c>
    </x:row>
    <x:row r="82">
      <x:c r="A82" t="str">
        <x:v>PUBMED-40801243</x:v>
      </x:c>
      <x:c r="B82" t="n">
        <x:v>2026</x:v>
      </x:c>
      <x:c r="C82" t="str">
        <x:v>40801243</x:v>
      </x:c>
      <x:c r="D82" s="14" t="str">
        <x:v>The role of comorbid childhood mental health and neurodevelopmental conditions in the persistence of ADHD symptoms: systematic review and meta-analysis.</x:v>
      </x:c>
      <x:c r="E82" s="14" t="str">
        <x:v>Evidence synthesis - meta-analysis</x:v>
      </x:c>
      <x:c r="F82" s="14" t="str">
        <x:v>Development &amp; presentation; Recognition &amp; diagnosis; Family &amp; education; Social &amp; structural</x:v>
      </x:c>
      <x:c r="G82" s="14" t="str">
        <x:v>Childhood</x:v>
      </x:c>
      <x:c r="H82" s="32" t="e">
        <x:f>HYPERLINK("https://pubmed.ncbi.nlm.nih.gov/"&amp;C82&amp;"/","Open PubMed")</x:f>
        <x:v>HYPERLINK is not implemented. linkLocation=https://pubmed.ncbi.nlm.nih.gov/40801243/, friendlyName=Open PubMed</x:v>
      </x:c>
    </x:row>
    <x:row r="83">
      <x:c r="A83" t="str">
        <x:v>PUBMED-40122116</x:v>
      </x:c>
      <x:c r="B83" t="n">
        <x:v>2026</x:v>
      </x:c>
      <x:c r="C83" t="str">
        <x:v>40122116</x:v>
      </x:c>
      <x:c r="D83" s="14" t="str">
        <x:v>Prevalence of the Prescribing of Attention-Deficit Hyperactivity Disorder Medication During Pregnancy: A Systematic Review.</x:v>
      </x:c>
      <x:c r="E83" s="14" t="str">
        <x:v>Evidence synthesis - meta-analysis</x:v>
      </x:c>
      <x:c r="F83" s="14" t="str">
        <x:v>Development &amp; presentation; Recognition &amp; diagnosis; Social &amp; structural; Environmental &amp; lifestyle; Treatment &amp; support</x:v>
      </x:c>
      <x:c r="G83" s="14" t="str">
        <x:v>Not specified</x:v>
      </x:c>
      <x:c r="H83" s="32" t="e">
        <x:f>HYPERLINK("https://pubmed.ncbi.nlm.nih.gov/"&amp;C83&amp;"/","Open PubMed")</x:f>
        <x:v>HYPERLINK is not implemented. linkLocation=https://pubmed.ncbi.nlm.nih.gov/40122116/, friendlyName=Open PubMed</x:v>
      </x:c>
    </x:row>
    <x:row r="84">
      <x:c r="A84" t="str">
        <x:v>PUBMED-41955914</x:v>
      </x:c>
      <x:c r="B84" t="n">
        <x:v>2026</x:v>
      </x:c>
      <x:c r="C84" t="str">
        <x:v>41955914</x:v>
      </x:c>
      <x:c r="D84" s="14" t="str">
        <x:v>Challenges in translating AI-driven ASD/ADHD diagnosis: A methodological systematic review.</x:v>
      </x:c>
      <x:c r="E84" s="14" t="str">
        <x:v>Evidence synthesis - systematic review</x:v>
      </x:c>
      <x:c r="F84" s="14" t="str">
        <x:v>Development &amp; presentation; Recognition &amp; diagnosis; Social &amp; structural; Treatment &amp; support</x:v>
      </x:c>
      <x:c r="G84" s="14" t="str">
        <x:v>Childhood</x:v>
      </x:c>
      <x:c r="H84" s="32" t="e">
        <x:f>HYPERLINK("https://pubmed.ncbi.nlm.nih.gov/"&amp;C84&amp;"/","Open PubMed")</x:f>
        <x:v>HYPERLINK is not implemented. linkLocation=https://pubmed.ncbi.nlm.nih.gov/41955914/, friendlyName=Open PubMed</x:v>
      </x:c>
    </x:row>
    <x:row r="85">
      <x:c r="A85" t="str">
        <x:v>PUBMED-41936228</x:v>
      </x:c>
      <x:c r="B85" t="n">
        <x:v>2026</x:v>
      </x:c>
      <x:c r="C85" t="str">
        <x:v>41936228</x:v>
      </x:c>
      <x:c r="D85" s="14" t="str">
        <x:v>Cognitive behavioral therapy effects on global functioning, domain-specific functioning, and quality of life in adult ADHD: A comprehensive meta-analysis.</x:v>
      </x:c>
      <x:c r="E85" s="14" t="str">
        <x:v>Evidence synthesis - meta-analysis</x:v>
      </x:c>
      <x:c r="F85" s="14" t="str">
        <x:v>Development &amp; presentation; Family &amp; education; Social &amp; structural; Treatment &amp; support; Life outcomes &amp; lived experience</x:v>
      </x:c>
      <x:c r="G85" s="14" t="str">
        <x:v>Adulthood</x:v>
      </x:c>
      <x:c r="H85" s="32" t="e">
        <x:f>HYPERLINK("https://pubmed.ncbi.nlm.nih.gov/"&amp;C85&amp;"/","Open PubMed")</x:f>
        <x:v>HYPERLINK is not implemented. linkLocation=https://pubmed.ncbi.nlm.nih.gov/41936228/, friendlyName=Open PubMed</x:v>
      </x:c>
    </x:row>
    <x:row r="86">
      <x:c r="A86" t="str">
        <x:v>PUBMED-41932226</x:v>
      </x:c>
      <x:c r="B86" t="n">
        <x:v>2026</x:v>
      </x:c>
      <x:c r="C86" t="str">
        <x:v>41932226</x:v>
      </x:c>
      <x:c r="D86" s="14" t="str">
        <x:v>Optimizing exercise prescription parameters for ADHD in children: A systematic review and meta-analysis.</x:v>
      </x:c>
      <x:c r="E86" s="14" t="str">
        <x:v>Evidence synthesis - meta-analysis</x:v>
      </x:c>
      <x:c r="F86" s="14" t="str">
        <x:v>Development &amp; presentation; Social &amp; structural; Environmental &amp; lifestyle; Treatment &amp; support</x:v>
      </x:c>
      <x:c r="G86" s="14" t="str">
        <x:v>Childhood</x:v>
      </x:c>
      <x:c r="H86" s="32" t="e">
        <x:f>HYPERLINK("https://pubmed.ncbi.nlm.nih.gov/"&amp;C86&amp;"/","Open PubMed")</x:f>
        <x:v>HYPERLINK is not implemented. linkLocation=https://pubmed.ncbi.nlm.nih.gov/41932226/, friendlyName=Open PubMed</x:v>
      </x:c>
    </x:row>
    <x:row r="87">
      <x:c r="A87" t="str">
        <x:v>PUBMED-41932092</x:v>
      </x:c>
      <x:c r="B87" t="n">
        <x:v>2026</x:v>
      </x:c>
      <x:c r="C87" t="str">
        <x:v>41932092</x:v>
      </x:c>
      <x:c r="D87" s="14" t="str">
        <x:v>Effects of exercise on social dysfunction in children and adolescents with ADHD: A systematic review and network, dose-response meta-analyses.</x:v>
      </x:c>
      <x:c r="E87" s="14" t="str">
        <x:v>Evidence synthesis - meta-analysis</x:v>
      </x:c>
      <x:c r="F87" s="14" t="str">
        <x:v>Development &amp; presentation; Social &amp; structural; Environmental &amp; lifestyle; Treatment &amp; support; Life outcomes &amp; lived experience</x:v>
      </x:c>
      <x:c r="G87" s="14" t="str">
        <x:v>Childhood; Adolescence</x:v>
      </x:c>
      <x:c r="H87" s="32" t="e">
        <x:f>HYPERLINK("https://pubmed.ncbi.nlm.nih.gov/"&amp;C87&amp;"/","Open PubMed")</x:f>
        <x:v>HYPERLINK is not implemented. linkLocation=https://pubmed.ncbi.nlm.nih.gov/41932092/, friendlyName=Open PubMed</x:v>
      </x:c>
    </x:row>
    <x:row r="88">
      <x:c r="A88" t="str">
        <x:v>PUBMED-41916941</x:v>
      </x:c>
      <x:c r="B88" t="n">
        <x:v>2026</x:v>
      </x:c>
      <x:c r="C88" t="str">
        <x:v>41916941</x:v>
      </x:c>
      <x:c r="D88" s="14" t="str">
        <x:v>Efficacy and safety of risperidone for attention deficit hyperactivity disorder and disruptive behaviour disorders: a systematic review and meta-analysis.</x:v>
      </x:c>
      <x:c r="E88" s="14" t="str">
        <x:v>Evidence synthesis - meta-analysis</x:v>
      </x:c>
      <x:c r="F88" s="14" t="str">
        <x:v>Development &amp; presentation; Recognition &amp; diagnosis; Social &amp; structural; Treatment &amp; support; Life outcomes &amp; lived experience</x:v>
      </x:c>
      <x:c r="G88" s="14" t="str">
        <x:v>Childhood; Adolescence</x:v>
      </x:c>
      <x:c r="H88" s="32" t="e">
        <x:f>HYPERLINK("https://pubmed.ncbi.nlm.nih.gov/"&amp;C88&amp;"/","Open PubMed")</x:f>
        <x:v>HYPERLINK is not implemented. linkLocation=https://pubmed.ncbi.nlm.nih.gov/41916941/, friendlyName=Open PubMed</x:v>
      </x:c>
    </x:row>
    <x:row r="89">
      <x:c r="A89" t="str">
        <x:v>PUBMED-41627718</x:v>
      </x:c>
      <x:c r="B89" t="n">
        <x:v>2026</x:v>
      </x:c>
      <x:c r="C89" t="str">
        <x:v>41627718</x:v>
      </x:c>
      <x:c r="D89" s="14" t="str">
        <x:v>Tolerance and Tachyphylaxis to Medications for Attention-Deficit/Hyperactivity Disorder (ADHD): A Systematic Review of Empirical Studies.</x:v>
      </x:c>
      <x:c r="E89" s="14" t="str">
        <x:v>Evidence synthesis - systematic review</x:v>
      </x:c>
      <x:c r="F89" s="14" t="str">
        <x:v>Development &amp; presentation; Recognition &amp; diagnosis; Social &amp; structural; Treatment &amp; support</x:v>
      </x:c>
      <x:c r="G89" s="14" t="str">
        <x:v>Not specified</x:v>
      </x:c>
      <x:c r="H89" s="32" t="e">
        <x:f>HYPERLINK("https://pubmed.ncbi.nlm.nih.gov/"&amp;C89&amp;"/","Open PubMed")</x:f>
        <x:v>HYPERLINK is not implemented. linkLocation=https://pubmed.ncbi.nlm.nih.gov/41627718/, friendlyName=Open PubMed</x:v>
      </x:c>
    </x:row>
    <x:row r="90">
      <x:c r="A90" t="str">
        <x:v>PUBMED-41579913</x:v>
      </x:c>
      <x:c r="B90" t="n">
        <x:v>2026</x:v>
      </x:c>
      <x:c r="C90" t="str">
        <x:v>41579913</x:v>
      </x:c>
      <x:c r="D90" s="14" t="str">
        <x:v>A systematic review on the association between executive function and emotional regulation in autism, ADHD, and autism/ADHD.</x:v>
      </x:c>
      <x:c r="E90" s="14" t="str">
        <x:v>Evidence synthesis - systematic review</x:v>
      </x:c>
      <x:c r="F90" s="14" t="str">
        <x:v>Development &amp; presentation; Recognition &amp; diagnosis; Social &amp; structural; Life outcomes &amp; lived experience</x:v>
      </x:c>
      <x:c r="G90" s="14" t="str">
        <x:v>Childhood; Adulthood</x:v>
      </x:c>
      <x:c r="H90" s="32" t="e">
        <x:f>HYPERLINK("https://pubmed.ncbi.nlm.nih.gov/"&amp;C90&amp;"/","Open PubMed")</x:f>
        <x:v>HYPERLINK is not implemented. linkLocation=https://pubmed.ncbi.nlm.nih.gov/41579913/, friendlyName=Open PubMed</x:v>
      </x:c>
    </x:row>
    <x:row r="91">
      <x:c r="A91" t="str">
        <x:v>PUBMED-41496432</x:v>
      </x:c>
      <x:c r="B91" t="n">
        <x:v>2026</x:v>
      </x:c>
      <x:c r="C91" t="str">
        <x:v>41496432</x:v>
      </x:c>
      <x:c r="D91" s="14" t="str">
        <x:v>Neurodevelopmental, Pharmacological and Substance Use Factors in the Association Between ADHD and First-Episode Non-Affective Psychosis: A Systematic Review.</x:v>
      </x:c>
      <x:c r="E91" s="14" t="str">
        <x:v>Evidence synthesis - systematic review</x:v>
      </x:c>
      <x:c r="F91" s="14" t="str">
        <x:v>Development &amp; presentation; Recognition &amp; diagnosis; Social &amp; structural; Treatment &amp; support; Life outcomes &amp; lived experience</x:v>
      </x:c>
      <x:c r="G91" s="14" t="str">
        <x:v>Childhood</x:v>
      </x:c>
      <x:c r="H91" s="32" t="e">
        <x:f>HYPERLINK("https://pubmed.ncbi.nlm.nih.gov/"&amp;C91&amp;"/","Open PubMed")</x:f>
        <x:v>HYPERLINK is not implemented. linkLocation=https://pubmed.ncbi.nlm.nih.gov/41496432/, friendlyName=Open PubMed</x:v>
      </x:c>
    </x:row>
    <x:row r="92">
      <x:c r="A92" t="str">
        <x:v>PUBMED-41411987</x:v>
      </x:c>
      <x:c r="B92" t="n">
        <x:v>2026</x:v>
      </x:c>
      <x:c r="C92" t="str">
        <x:v>41411987</x:v>
      </x:c>
      <x:c r="D92" s="14" t="str">
        <x:v>Intellectual achievement and cognitive functioning in children and adolescents with ADHD-affected siblings: A systematic literature review and meta-analysis.</x:v>
      </x:c>
      <x:c r="E92" s="14" t="str">
        <x:v>Evidence synthesis - meta-analysis</x:v>
      </x:c>
      <x:c r="F92" s="14" t="str">
        <x:v>Development &amp; presentation; Recognition &amp; diagnosis; Family &amp; education; Social &amp; structural; Environmental &amp; lifestyle; Life outcomes &amp; lived experience</x:v>
      </x:c>
      <x:c r="G92" s="14" t="str">
        <x:v>Childhood; Adolescence</x:v>
      </x:c>
      <x:c r="H92" s="32" t="e">
        <x:f>HYPERLINK("https://pubmed.ncbi.nlm.nih.gov/"&amp;C92&amp;"/","Open PubMed")</x:f>
        <x:v>HYPERLINK is not implemented. linkLocation=https://pubmed.ncbi.nlm.nih.gov/41411987/, friendlyName=Open PubMed</x:v>
      </x:c>
    </x:row>
    <x:row r="93">
      <x:c r="A93" t="str">
        <x:v>PUBMED-41403099</x:v>
      </x:c>
      <x:c r="B93" t="n">
        <x:v>2026</x:v>
      </x:c>
      <x:c r="C93" t="str">
        <x:v>41403099</x:v>
      </x:c>
      <x:c r="D93" s="14" t="str">
        <x:v>Effects of Exercise on Hyperactivity/Impulsivity and Inhibitory Control at Behavioral and Electrophysiological Levels in ADHD: A Systematic Review and Meta-Analysis.</x:v>
      </x:c>
      <x:c r="E93" s="14" t="str">
        <x:v>Evidence synthesis - meta-analysis</x:v>
      </x:c>
      <x:c r="F93" s="14" t="str">
        <x:v>Development &amp; presentation; Social &amp; structural; Environmental &amp; lifestyle; Treatment &amp; support</x:v>
      </x:c>
      <x:c r="G93" s="14" t="str">
        <x:v>Childhood; Adolescence</x:v>
      </x:c>
      <x:c r="H93" s="32" t="e">
        <x:f>HYPERLINK("https://pubmed.ncbi.nlm.nih.gov/"&amp;C93&amp;"/","Open PubMed")</x:f>
        <x:v>HYPERLINK is not implemented. linkLocation=https://pubmed.ncbi.nlm.nih.gov/41403099/, friendlyName=Open PubMed</x:v>
      </x:c>
    </x:row>
    <x:row r="94">
      <x:c r="A94" t="str">
        <x:v>PUBMED-41386194</x:v>
      </x:c>
      <x:c r="B94" t="n">
        <x:v>2026</x:v>
      </x:c>
      <x:c r="C94" t="str">
        <x:v>41386194</x:v>
      </x:c>
      <x:c r="D94" s="14" t="str">
        <x:v>Neurocognitive outcomes of ADHD as a comorbidity in pediatric epilepsy: a systematic review.</x:v>
      </x:c>
      <x:c r="E94" s="14" t="str">
        <x:v>Evidence synthesis - systematic review</x:v>
      </x:c>
      <x:c r="F94" s="14" t="str">
        <x:v>Development &amp; presentation; Recognition &amp; diagnosis; Social &amp; structural; Life outcomes &amp; lived experience</x:v>
      </x:c>
      <x:c r="G94" s="14" t="str">
        <x:v>Childhood; Adolescence</x:v>
      </x:c>
      <x:c r="H94" s="32" t="e">
        <x:f>HYPERLINK("https://pubmed.ncbi.nlm.nih.gov/"&amp;C94&amp;"/","Open PubMed")</x:f>
        <x:v>HYPERLINK is not implemented. linkLocation=https://pubmed.ncbi.nlm.nih.gov/41386194/, friendlyName=Open PubMed</x:v>
      </x:c>
    </x:row>
    <x:row r="95">
      <x:c r="A95" t="str">
        <x:v>PUBMED-41385457</x:v>
      </x:c>
      <x:c r="B95" t="n">
        <x:v>2026</x:v>
      </x:c>
      <x:c r="C95" t="str">
        <x:v>41385457</x:v>
      </x:c>
      <x:c r="D95" s="14" t="str">
        <x:v>A Meta-Analysis of the Prevalence of ADHD in Youth Across Racial and Ethnic Groups.</x:v>
      </x:c>
      <x:c r="E95" s="14" t="str">
        <x:v>Evidence synthesis - meta-analysis</x:v>
      </x:c>
      <x:c r="F95" s="14" t="str">
        <x:v>Development &amp; presentation; Recognition &amp; diagnosis; Family &amp; education; Social &amp; structural; Life outcomes &amp; lived experience</x:v>
      </x:c>
      <x:c r="G95" s="14" t="str">
        <x:v>Childhood; Adolescence</x:v>
      </x:c>
      <x:c r="H95" s="32" t="e">
        <x:f>HYPERLINK("https://pubmed.ncbi.nlm.nih.gov/"&amp;C95&amp;"/","Open PubMed")</x:f>
        <x:v>HYPERLINK is not implemented. linkLocation=https://pubmed.ncbi.nlm.nih.gov/41385457/, friendlyName=Open PubMed</x:v>
      </x:c>
    </x:row>
    <x:row r="96">
      <x:c r="A96" t="str">
        <x:v>PUBMED-41352760</x:v>
      </x:c>
      <x:c r="B96" t="n">
        <x:v>2026</x:v>
      </x:c>
      <x:c r="C96" t="str">
        <x:v>41352760</x:v>
      </x:c>
      <x:c r="D96" s="14" t="str">
        <x:v>ADHD and the Risk of Benzodiazepine Misuse: A Systematic Review and Meta-Analysis.</x:v>
      </x:c>
      <x:c r="E96" s="14" t="str">
        <x:v>Evidence synthesis - meta-analysis</x:v>
      </x:c>
      <x:c r="F96" s="14" t="str">
        <x:v>Development &amp; presentation; Recognition &amp; diagnosis; Social &amp; structural; Environmental &amp; lifestyle; Treatment &amp; support; Life outcomes &amp; lived experience</x:v>
      </x:c>
      <x:c r="G96" s="14" t="str">
        <x:v>Adulthood</x:v>
      </x:c>
      <x:c r="H96" s="32" t="e">
        <x:f>HYPERLINK("https://pubmed.ncbi.nlm.nih.gov/"&amp;C96&amp;"/","Open PubMed")</x:f>
        <x:v>HYPERLINK is not implemented. linkLocation=https://pubmed.ncbi.nlm.nih.gov/41352760/, friendlyName=Open PubMed</x:v>
      </x:c>
    </x:row>
    <x:row r="97">
      <x:c r="A97" t="str">
        <x:v>PUBMED-40975435</x:v>
      </x:c>
      <x:c r="B97" t="n">
        <x:v>2026</x:v>
      </x:c>
      <x:c r="C97" t="str">
        <x:v>40975435</x:v>
      </x:c>
      <x:c r="D97" s="14" t="str">
        <x:v>Individual Participant Data Meta-Analysis: Moderators of Response to Stimulants for Preschool Attention-Deficit/Hyperactivity Disorder.</x:v>
      </x:c>
      <x:c r="E97" s="14" t="str">
        <x:v>Evidence synthesis - meta-analysis</x:v>
      </x:c>
      <x:c r="F97" s="14" t="str">
        <x:v>Development &amp; presentation; Family &amp; education; Social &amp; structural; Treatment &amp; support</x:v>
      </x:c>
      <x:c r="G97" s="14" t="str">
        <x:v>Childhood</x:v>
      </x:c>
      <x:c r="H97" s="32" t="e">
        <x:f>HYPERLINK("https://pubmed.ncbi.nlm.nih.gov/"&amp;C97&amp;"/","Open PubMed")</x:f>
        <x:v>HYPERLINK is not implemented. linkLocation=https://pubmed.ncbi.nlm.nih.gov/40975435/, friendlyName=Open PubMed</x:v>
      </x:c>
    </x:row>
    <x:row r="98">
      <x:c r="A98" t="str">
        <x:v>PUBMED-40828192</x:v>
      </x:c>
      <x:c r="B98" t="n">
        <x:v>2026</x:v>
      </x:c>
      <x:c r="C98" t="str">
        <x:v>40828192</x:v>
      </x:c>
      <x:c r="D98" s="14" t="str">
        <x:v>Microbiome dynamics in attention-deficit hyperactivity disorder: A systematic review and meta-analysis decoding the role of gut dysbiosis and potential dietary interventions.</x:v>
      </x:c>
      <x:c r="E98" s="14" t="str">
        <x:v>Evidence synthesis - meta-analysis</x:v>
      </x:c>
      <x:c r="F98" s="14" t="str">
        <x:v>Development &amp; presentation; Social &amp; structural; Environmental &amp; lifestyle; Treatment &amp; support</x:v>
      </x:c>
      <x:c r="G98" s="14" t="str">
        <x:v>Childhood</x:v>
      </x:c>
      <x:c r="H98" s="32" t="e">
        <x:f>HYPERLINK("https://pubmed.ncbi.nlm.nih.gov/"&amp;C98&amp;"/","Open PubMed")</x:f>
        <x:v>HYPERLINK is not implemented. linkLocation=https://pubmed.ncbi.nlm.nih.gov/40828192/, friendlyName=Open PubMed</x:v>
      </x:c>
    </x:row>
    <x:row r="99">
      <x:c r="A99" t="str">
        <x:v>PUBMED-40775061</x:v>
      </x:c>
      <x:c r="B99" t="n">
        <x:v>2026</x:v>
      </x:c>
      <x:c r="C99" t="str">
        <x:v>40775061</x:v>
      </x:c>
      <x:c r="D99" s="14" t="str">
        <x:v>Beyond binary comparisons: a Bayesian dose-response meta-analysis of exercise on executive function in children and adolescents with ADHD.</x:v>
      </x:c>
      <x:c r="E99" s="14" t="str">
        <x:v>Evidence synthesis - meta-analysis</x:v>
      </x:c>
      <x:c r="F99" s="14" t="str">
        <x:v>Development &amp; presentation; Social &amp; structural; Environmental &amp; lifestyle; Treatment &amp; support</x:v>
      </x:c>
      <x:c r="G99" s="14" t="str">
        <x:v>Childhood; Adolescence</x:v>
      </x:c>
      <x:c r="H99" s="32" t="e">
        <x:f>HYPERLINK("https://pubmed.ncbi.nlm.nih.gov/"&amp;C99&amp;"/","Open PubMed")</x:f>
        <x:v>HYPERLINK is not implemented. linkLocation=https://pubmed.ncbi.nlm.nih.gov/40775061/, friendlyName=Open PubMed</x:v>
      </x:c>
    </x:row>
    <x:row r="100">
      <x:c r="A100" t="str">
        <x:v>PUBMED-40701403</x:v>
      </x:c>
      <x:c r="B100" t="n">
        <x:v>2026</x:v>
      </x:c>
      <x:c r="C100" t="str">
        <x:v>40701403</x:v>
      </x:c>
      <x:c r="D100" s="14" t="str">
        <x:v>Noninvasive Brain Stimulation in Attention-Deficit/Hyperactivity Disorder: A Systematic Review and Meta-Analysis of Treatment Efficacy and Targeting Strategies.</x:v>
      </x:c>
      <x:c r="E100" s="14" t="str">
        <x:v>Evidence synthesis - meta-analysis</x:v>
      </x:c>
      <x:c r="F100" s="14" t="str">
        <x:v>Development &amp; presentation; Social &amp; structural; Treatment &amp; support; Life outcomes &amp; lived experience; Historical &amp; contemporary context</x:v>
      </x:c>
      <x:c r="G100" s="14" t="str">
        <x:v>Childhood</x:v>
      </x:c>
      <x:c r="H100" s="32" t="e">
        <x:f>HYPERLINK("https://pubmed.ncbi.nlm.nih.gov/"&amp;C100&amp;"/","Open PubMed")</x:f>
        <x:v>HYPERLINK is not implemented. linkLocation=https://pubmed.ncbi.nlm.nih.gov/40701403/, friendlyName=Open PubMed</x:v>
      </x:c>
    </x:row>
    <x:row r="101">
      <x:c r="A101" t="str">
        <x:v>PUBMED-40287009</x:v>
      </x:c>
      <x:c r="B101" t="n">
        <x:v>2026</x:v>
      </x:c>
      <x:c r="C101" t="str">
        <x:v>40287009</x:v>
      </x:c>
      <x:c r="D101" s="14" t="str">
        <x:v>Systematic Review and Meta-Analysis: Predictors of Adult Psychiatric Outcomes of Childhood Attention-Deficit/Hyperactivity Disorder.</x:v>
      </x:c>
      <x:c r="E101" s="14" t="str">
        <x:v>Evidence synthesis - meta-analysis</x:v>
      </x:c>
      <x:c r="F101" s="14" t="str">
        <x:v>Development &amp; presentation; Recognition &amp; diagnosis; Social &amp; structural; Treatment &amp; support; Life outcomes &amp; lived experience; Historical &amp; contemporary context</x:v>
      </x:c>
      <x:c r="G101" s="14" t="str">
        <x:v>Childhood; Adulthood</x:v>
      </x:c>
      <x:c r="H101" s="32" t="e">
        <x:f>HYPERLINK("https://pubmed.ncbi.nlm.nih.gov/"&amp;C101&amp;"/","Open PubMed")</x:f>
        <x:v>HYPERLINK is not implemented. linkLocation=https://pubmed.ncbi.nlm.nih.gov/40287009/, friendlyName=Open PubMed</x:v>
      </x:c>
    </x:row>
    <x:row r="102">
      <x:c r="A102" t="str">
        <x:v>PUBMED-39752609</x:v>
      </x:c>
      <x:c r="B102" t="n">
        <x:v>2026</x:v>
      </x:c>
      <x:c r="C102" t="str">
        <x:v>39752609</x:v>
      </x:c>
      <x:c r="D102" s="14" t="str">
        <x:v>Are parents with bipolar disorder at higher risk of having offspring with ADHD? A systematic review.</x:v>
      </x:c>
      <x:c r="E102" s="14" t="str">
        <x:v>Evidence synthesis - systematic review</x:v>
      </x:c>
      <x:c r="F102" s="14" t="str">
        <x:v>Development &amp; presentation; Recognition &amp; diagnosis; Family &amp; education; Social &amp; structural; Life outcomes &amp; lived experience</x:v>
      </x:c>
      <x:c r="G102" s="14" t="str">
        <x:v>Childhood</x:v>
      </x:c>
      <x:c r="H102" s="32" t="e">
        <x:f>HYPERLINK("https://pubmed.ncbi.nlm.nih.gov/"&amp;C102&amp;"/","Open PubMed")</x:f>
        <x:v>HYPERLINK is not implemented. linkLocation=https://pubmed.ncbi.nlm.nih.gov/39752609/, friendlyName=Open PubMed</x:v>
      </x:c>
    </x:row>
    <x:row r="103">
      <x:c r="A103" t="str">
        <x:v>PUBMED-41849922</x:v>
      </x:c>
      <x:c r="B103" t="n">
        <x:v>2026</x:v>
      </x:c>
      <x:c r="C103" t="str">
        <x:v>41849922</x:v>
      </x:c>
      <x:c r="D103" s="14" t="str">
        <x:v>Prevalence and moderators of personality disorders in adults with ADHD: A meta-analysis.</x:v>
      </x:c>
      <x:c r="E103" s="14" t="str">
        <x:v>Evidence synthesis - meta-analysis</x:v>
      </x:c>
      <x:c r="F103" s="14" t="str">
        <x:v>Development &amp; presentation; Recognition &amp; diagnosis; Social &amp; structural</x:v>
      </x:c>
      <x:c r="G103" s="14" t="str">
        <x:v>Adulthood</x:v>
      </x:c>
      <x:c r="H103" s="32" t="e">
        <x:f>HYPERLINK("https://pubmed.ncbi.nlm.nih.gov/"&amp;C103&amp;"/","Open PubMed")</x:f>
        <x:v>HYPERLINK is not implemented. linkLocation=https://pubmed.ncbi.nlm.nih.gov/41849922/, friendlyName=Open PubMed</x:v>
      </x:c>
    </x:row>
    <x:row r="104">
      <x:c r="A104" t="str">
        <x:v>PUBMED-41811543</x:v>
      </x:c>
      <x:c r="B104" t="n">
        <x:v>2026</x:v>
      </x:c>
      <x:c r="C104" t="str">
        <x:v>41811543</x:v>
      </x:c>
      <x:c r="D104" s="14" t="str">
        <x:v>The Boredom-ADHD Nexus: A Narrative and Meta-Analytic Review of the Evidence.</x:v>
      </x:c>
      <x:c r="E104" s="14" t="str">
        <x:v>Evidence synthesis - meta-analysis</x:v>
      </x:c>
      <x:c r="F104" s="14" t="str">
        <x:v>Development &amp; presentation; Recognition &amp; diagnosis; Social &amp; structural</x:v>
      </x:c>
      <x:c r="G104" s="14" t="str">
        <x:v>Not specified</x:v>
      </x:c>
      <x:c r="H104" s="32" t="e">
        <x:f>HYPERLINK("https://pubmed.ncbi.nlm.nih.gov/"&amp;C104&amp;"/","Open PubMed")</x:f>
        <x:v>HYPERLINK is not implemented. linkLocation=https://pubmed.ncbi.nlm.nih.gov/41811543/, friendlyName=Open PubMed</x:v>
      </x:c>
    </x:row>
    <x:row r="105">
      <x:c r="A105" t="str">
        <x:v>PUBMED-41787869</x:v>
      </x:c>
      <x:c r="B105" t="n">
        <x:v>2026</x:v>
      </x:c>
      <x:c r="C105" t="str">
        <x:v>41787869</x:v>
      </x:c>
      <x:c r="D105" s="14" t="str">
        <x:v>Optimizing exercise interventions for motor skills enhancement in attention deficit hyperactivity disorder: Evidence from meta-analysis.</x:v>
      </x:c>
      <x:c r="E105" s="14" t="str">
        <x:v>Evidence synthesis - meta-analysis</x:v>
      </x:c>
      <x:c r="F105" s="14" t="str">
        <x:v>Development &amp; presentation; Family &amp; education; Social &amp; structural; Environmental &amp; lifestyle; Treatment &amp; support; Life outcomes &amp; lived experience</x:v>
      </x:c>
      <x:c r="G105" s="14" t="str">
        <x:v>Childhood; Adolescence</x:v>
      </x:c>
      <x:c r="H105" s="32" t="e">
        <x:f>HYPERLINK("https://pubmed.ncbi.nlm.nih.gov/"&amp;C105&amp;"/","Open PubMed")</x:f>
        <x:v>HYPERLINK is not implemented. linkLocation=https://pubmed.ncbi.nlm.nih.gov/41787869/, friendlyName=Open PubMed</x:v>
      </x:c>
    </x:row>
    <x:row r="106">
      <x:c r="A106" t="str">
        <x:v>PUBMED-41740565</x:v>
      </x:c>
      <x:c r="B106" t="n">
        <x:v>2026</x:v>
      </x:c>
      <x:c r="C106" t="str">
        <x:v>41740565</x:v>
      </x:c>
      <x:c r="D106" s="14" t="str">
        <x:v>Validity of screening tools and risk factors for Co-occurring ADHD in children with epilepsy: a systematic review and meta-analysis.</x:v>
      </x:c>
      <x:c r="E106" s="14" t="str">
        <x:v>Evidence synthesis - meta-analysis</x:v>
      </x:c>
      <x:c r="F106" s="14" t="str">
        <x:v>Development &amp; presentation; Recognition &amp; diagnosis; Family &amp; education; Social &amp; structural; Treatment &amp; support; Life outcomes &amp; lived experience</x:v>
      </x:c>
      <x:c r="G106" s="14" t="str">
        <x:v>Childhood</x:v>
      </x:c>
      <x:c r="H106" s="32" t="e">
        <x:f>HYPERLINK("https://pubmed.ncbi.nlm.nih.gov/"&amp;C106&amp;"/","Open PubMed")</x:f>
        <x:v>HYPERLINK is not implemented. linkLocation=https://pubmed.ncbi.nlm.nih.gov/41740565/, friendlyName=Open PubMed</x:v>
      </x:c>
    </x:row>
    <x:row r="107">
      <x:c r="A107" t="str">
        <x:v>PUBMED-41561819</x:v>
      </x:c>
      <x:c r="B107" t="n">
        <x:v>2026</x:v>
      </x:c>
      <x:c r="C107" t="str">
        <x:v>41561819</x:v>
      </x:c>
      <x:c r="D107" s="14" t="str">
        <x:v>The relationship between mode of delivery and Attention Deficit Hyperactivity Disorder: a meta-analysis and systematic review.</x:v>
      </x:c>
      <x:c r="E107" s="14" t="str">
        <x:v>Evidence synthesis - meta-analysis</x:v>
      </x:c>
      <x:c r="F107" s="14" t="str">
        <x:v>Development &amp; presentation; Recognition &amp; diagnosis; Social &amp; structural; Treatment &amp; support; Life outcomes &amp; lived experience</x:v>
      </x:c>
      <x:c r="G107" s="14" t="str">
        <x:v>Childhood</x:v>
      </x:c>
      <x:c r="H107" s="32" t="e">
        <x:f>HYPERLINK("https://pubmed.ncbi.nlm.nih.gov/"&amp;C107&amp;"/","Open PubMed")</x:f>
        <x:v>HYPERLINK is not implemented. linkLocation=https://pubmed.ncbi.nlm.nih.gov/41561819/, friendlyName=Open PubMed</x:v>
      </x:c>
    </x:row>
    <x:row r="108">
      <x:c r="A108" t="str">
        <x:v>PUBMED-41483880</x:v>
      </x:c>
      <x:c r="B108" t="n">
        <x:v>2026</x:v>
      </x:c>
      <x:c r="C108" t="str">
        <x:v>41483880</x:v>
      </x:c>
      <x:c r="D108" s="14" t="str">
        <x:v>A meta-analysis of the intervention effect of cognitive behavioral therapy on adult ADHD.</x:v>
      </x:c>
      <x:c r="E108" s="14" t="str">
        <x:v>Evidence synthesis - meta-analysis</x:v>
      </x:c>
      <x:c r="F108" s="14" t="str">
        <x:v>Development &amp; presentation; Recognition &amp; diagnosis; Social &amp; structural; Environmental &amp; lifestyle; Treatment &amp; support; Life outcomes &amp; lived experience</x:v>
      </x:c>
      <x:c r="G108" s="14" t="str">
        <x:v>Adulthood</x:v>
      </x:c>
      <x:c r="H108" s="32" t="e">
        <x:f>HYPERLINK("https://pubmed.ncbi.nlm.nih.gov/"&amp;C108&amp;"/","Open PubMed")</x:f>
        <x:v>HYPERLINK is not implemented. linkLocation=https://pubmed.ncbi.nlm.nih.gov/41483880/, friendlyName=Open PubMed</x:v>
      </x:c>
    </x:row>
    <x:row r="109">
      <x:c r="A109" t="str">
        <x:v>PUBMED-41380135</x:v>
      </x:c>
      <x:c r="B109" t="n">
        <x:v>2026</x:v>
      </x:c>
      <x:c r="C109" t="str">
        <x:v>41380135</x:v>
      </x:c>
      <x:c r="D109" s="14" t="str">
        <x:v>Exercise-Based Interventions for ADHD: A Review of Modalities, Mechanisms, and Practical Applications.</x:v>
      </x:c>
      <x:c r="E109" s="14" t="str">
        <x:v>Evidence synthesis - review</x:v>
      </x:c>
      <x:c r="F109" s="14" t="str">
        <x:v>Development &amp; presentation; Social &amp; structural; Environmental &amp; lifestyle; Treatment &amp; support; Life outcomes &amp; lived experience</x:v>
      </x:c>
      <x:c r="G109" s="14" t="str">
        <x:v>Childhood; Adolescence</x:v>
      </x:c>
      <x:c r="H109" s="32" t="e">
        <x:f>HYPERLINK("https://pubmed.ncbi.nlm.nih.gov/"&amp;C109&amp;"/","Open PubMed")</x:f>
        <x:v>HYPERLINK is not implemented. linkLocation=https://pubmed.ncbi.nlm.nih.gov/41380135/, friendlyName=Open PubMed</x:v>
      </x:c>
    </x:row>
    <x:row r="110">
      <x:c r="A110" t="str">
        <x:v>PUBMED-41340547</x:v>
      </x:c>
      <x:c r="B110" t="n">
        <x:v>2026</x:v>
      </x:c>
      <x:c r="C110" t="str">
        <x:v>41340547</x:v>
      </x:c>
      <x:c r="D110" s="14" t="str">
        <x:v>Barriers to and Enablers of the Transition From Child to Adult Mental Health Services for Autistic Young People and/or Those With Attention Deficit Hyperactivity Disorder: A Scoping Review.</x:v>
      </x:c>
      <x:c r="E110" s="14" t="str">
        <x:v>Evidence synthesis - systematic review</x:v>
      </x:c>
      <x:c r="F110" s="14" t="str">
        <x:v>Development &amp; presentation; Recognition &amp; diagnosis; Social &amp; structural; Treatment &amp; support</x:v>
      </x:c>
      <x:c r="G110" s="14" t="str">
        <x:v>Childhood; Adolescence; Adulthood</x:v>
      </x:c>
      <x:c r="H110" s="32" t="e">
        <x:f>HYPERLINK("https://pubmed.ncbi.nlm.nih.gov/"&amp;C110&amp;"/","Open PubMed")</x:f>
        <x:v>HYPERLINK is not implemented. linkLocation=https://pubmed.ncbi.nlm.nih.gov/41340547/, friendlyName=Open PubMed</x:v>
      </x:c>
    </x:row>
    <x:row r="111">
      <x:c r="A111" t="str">
        <x:v>PUBMED-41307684</x:v>
      </x:c>
      <x:c r="B111" t="n">
        <x:v>2026</x:v>
      </x:c>
      <x:c r="C111" t="str">
        <x:v>41307684</x:v>
      </x:c>
      <x:c r="D111" s="14" t="str">
        <x:v>The impact of targeted physical activity interventions on inhibition control in children and adolescents with ADHD: a meta-analysis.</x:v>
      </x:c>
      <x:c r="E111" s="14" t="str">
        <x:v>Evidence synthesis - meta-analysis</x:v>
      </x:c>
      <x:c r="F111" s="14" t="str">
        <x:v>Development &amp; presentation; Social &amp; structural; Environmental &amp; lifestyle; Treatment &amp; support; Life outcomes &amp; lived experience</x:v>
      </x:c>
      <x:c r="G111" s="14" t="str">
        <x:v>Childhood; Adolescence</x:v>
      </x:c>
      <x:c r="H111" s="32" t="e">
        <x:f>HYPERLINK("https://pubmed.ncbi.nlm.nih.gov/"&amp;C111&amp;"/","Open PubMed")</x:f>
        <x:v>HYPERLINK is not implemented. linkLocation=https://pubmed.ncbi.nlm.nih.gov/41307684/, friendlyName=Open PubMed</x:v>
      </x:c>
    </x:row>
    <x:row r="112">
      <x:c r="A112" t="str">
        <x:v>PUBMED-41260369</x:v>
      </x:c>
      <x:c r="B112" t="n">
        <x:v>2026</x:v>
      </x:c>
      <x:c r="C112" t="str">
        <x:v>41260369</x:v>
      </x:c>
      <x:c r="D112" s="14" t="str">
        <x:v>The effects of computerized executive function training on the youth with ADHD: A systematic review and meta-analysis.</x:v>
      </x:c>
      <x:c r="E112" s="14" t="str">
        <x:v>Evidence synthesis - meta-analysis</x:v>
      </x:c>
      <x:c r="F112" s="14" t="str">
        <x:v>Development &amp; presentation; Recognition &amp; diagnosis; Family &amp; education; Social &amp; structural; Environmental &amp; lifestyle; Treatment &amp; support; Life outcomes &amp; lived experience</x:v>
      </x:c>
      <x:c r="G112" s="14" t="str">
        <x:v>Childhood; Adolescence</x:v>
      </x:c>
      <x:c r="H112" s="32" t="e">
        <x:f>HYPERLINK("https://pubmed.ncbi.nlm.nih.gov/"&amp;C112&amp;"/","Open PubMed")</x:f>
        <x:v>HYPERLINK is not implemented. linkLocation=https://pubmed.ncbi.nlm.nih.gov/41260369/, friendlyName=Open PubMed</x:v>
      </x:c>
    </x:row>
    <x:row r="113">
      <x:c r="A113" t="str">
        <x:v>PUBMED-41250857</x:v>
      </x:c>
      <x:c r="B113" t="n">
        <x:v>2026</x:v>
      </x:c>
      <x:c r="C113" t="str">
        <x:v>41250857</x:v>
      </x:c>
      <x:c r="D113" s="14" t="str">
        <x:v>Narrative and Non-Narrative Discourse Skills in ADHD Across the Lifespan: A Systematic Review of the Literature.</x:v>
      </x:c>
      <x:c r="E113" s="14" t="str">
        <x:v>Evidence synthesis - systematic review</x:v>
      </x:c>
      <x:c r="F113" s="14" t="str">
        <x:v>Development &amp; presentation; Family &amp; education; Social &amp; structural; Environmental &amp; lifestyle</x:v>
      </x:c>
      <x:c r="G113" s="14" t="str">
        <x:v>Childhood; Adulthood</x:v>
      </x:c>
      <x:c r="H113" s="32" t="e">
        <x:f>HYPERLINK("https://pubmed.ncbi.nlm.nih.gov/"&amp;C113&amp;"/","Open PubMed")</x:f>
        <x:v>HYPERLINK is not implemented. linkLocation=https://pubmed.ncbi.nlm.nih.gov/41250857/, friendlyName=Open PubMed</x:v>
      </x:c>
    </x:row>
    <x:row r="114">
      <x:c r="A114" t="str">
        <x:v>PUBMED-41183543</x:v>
      </x:c>
      <x:c r="B114" t="n">
        <x:v>2026</x:v>
      </x:c>
      <x:c r="C114" t="str">
        <x:v>41183543</x:v>
      </x:c>
      <x:c r="D114" s="14" t="str">
        <x:v>Therapeutic Reference Ranges for ADHD Drugs in Blood of Children and Adolescents: A Systematic Review by the AGNP TDM-Task Force.</x:v>
      </x:c>
      <x:c r="E114" s="14" t="str">
        <x:v>Evidence synthesis - systematic review</x:v>
      </x:c>
      <x:c r="F114" s="14" t="str">
        <x:v>Development &amp; presentation; Social &amp; structural; Treatment &amp; support</x:v>
      </x:c>
      <x:c r="G114" s="14" t="str">
        <x:v>Childhood; Adolescence</x:v>
      </x:c>
      <x:c r="H114" s="32" t="e">
        <x:f>HYPERLINK("https://pubmed.ncbi.nlm.nih.gov/"&amp;C114&amp;"/","Open PubMed")</x:f>
        <x:v>HYPERLINK is not implemented. linkLocation=https://pubmed.ncbi.nlm.nih.gov/41183543/, friendlyName=Open PubMed</x:v>
      </x:c>
    </x:row>
    <x:row r="115">
      <x:c r="A115" t="str">
        <x:v>PUBMED-41108181</x:v>
      </x:c>
      <x:c r="B115" t="n">
        <x:v>2026</x:v>
      </x:c>
      <x:c r="C115" t="str">
        <x:v>41108181</x:v>
      </x:c>
      <x:c r="D115" s="14" t="str">
        <x:v>Maternal Attention Deficit Hyperactivity Disorder and Perinatal Depression: A Systematic Review.</x:v>
      </x:c>
      <x:c r="E115" s="14" t="str">
        <x:v>Evidence synthesis - systematic review</x:v>
      </x:c>
      <x:c r="F115" s="14" t="str">
        <x:v>Development &amp; presentation; Recognition &amp; diagnosis; Social &amp; structural; Environmental &amp; lifestyle</x:v>
      </x:c>
      <x:c r="G115" s="14" t="str">
        <x:v>Adulthood</x:v>
      </x:c>
      <x:c r="H115" s="32" t="e">
        <x:f>HYPERLINK("https://pubmed.ncbi.nlm.nih.gov/"&amp;C115&amp;"/","Open PubMed")</x:f>
        <x:v>HYPERLINK is not implemented. linkLocation=https://pubmed.ncbi.nlm.nih.gov/41108181/, friendlyName=Open PubMed</x:v>
      </x:c>
    </x:row>
    <x:row r="116">
      <x:c r="A116" t="str">
        <x:v>PUBMED-40905635</x:v>
      </x:c>
      <x:c r="B116" t="n">
        <x:v>2026</x:v>
      </x:c>
      <x:c r="C116" t="str">
        <x:v>40905635</x:v>
      </x:c>
      <x:c r="D116" s="14" t="str">
        <x:v>School-Based Social Skills Interventions for Youth With ADHD: A Systematic Review and Meta-Analysis.</x:v>
      </x:c>
      <x:c r="E116" s="14" t="str">
        <x:v>Evidence synthesis - meta-analysis</x:v>
      </x:c>
      <x:c r="F116" s="14" t="str">
        <x:v>Development &amp; presentation; Recognition &amp; diagnosis; Family &amp; education; Social &amp; structural; Treatment &amp; support; Life outcomes &amp; lived experience</x:v>
      </x:c>
      <x:c r="G116" s="14" t="str">
        <x:v>Childhood; Adolescence</x:v>
      </x:c>
      <x:c r="H116" s="32" t="e">
        <x:f>HYPERLINK("https://pubmed.ncbi.nlm.nih.gov/"&amp;C116&amp;"/","Open PubMed")</x:f>
        <x:v>HYPERLINK is not implemented. linkLocation=https://pubmed.ncbi.nlm.nih.gov/40905635/, friendlyName=Open PubMed</x:v>
      </x:c>
    </x:row>
    <x:row r="117">
      <x:c r="A117" t="str">
        <x:v>PUBMED-40877470</x:v>
      </x:c>
      <x:c r="B117" t="n">
        <x:v>2026</x:v>
      </x:c>
      <x:c r="C117" t="str">
        <x:v>40877470</x:v>
      </x:c>
      <x:c r="D117" s="14" t="str">
        <x:v>Prevalence of attention deficit hyperactivity disorder/hyperkinetic disorder of pediatric and adult populations in clinical settings: a systematic review, meta-analysis and meta-regression.</x:v>
      </x:c>
      <x:c r="E117" s="14" t="str">
        <x:v>Evidence synthesis - meta-analysis</x:v>
      </x:c>
      <x:c r="F117" s="14" t="str">
        <x:v>Development &amp; presentation; Recognition &amp; diagnosis; Social &amp; structural; Treatment &amp; support; Life outcomes &amp; lived experience</x:v>
      </x:c>
      <x:c r="G117" s="14" t="str">
        <x:v>Childhood; Adolescence; Adulthood</x:v>
      </x:c>
      <x:c r="H117" s="32" t="e">
        <x:f>HYPERLINK("https://pubmed.ncbi.nlm.nih.gov/"&amp;C117&amp;"/","Open PubMed")</x:f>
        <x:v>HYPERLINK is not implemented. linkLocation=https://pubmed.ncbi.nlm.nih.gov/40877470/, friendlyName=Open PubMed</x:v>
      </x:c>
    </x:row>
    <x:row r="118">
      <x:c r="A118" t="str">
        <x:v>PUBMED-42074098</x:v>
      </x:c>
      <x:c r="B118" t="n">
        <x:v>2026</x:v>
      </x:c>
      <x:c r="C118" t="str">
        <x:v>42074098</x:v>
      </x:c>
      <x:c r="D118" s="14" t="str">
        <x:v>The Use of Psychedelics in the Treatment of Adult ADHD: A Systematic and Mechanistic Review.</x:v>
      </x:c>
      <x:c r="E118" s="14" t="str">
        <x:v>Evidence synthesis - systematic review</x:v>
      </x:c>
      <x:c r="F118" s="14" t="str">
        <x:v>Development &amp; presentation; Recognition &amp; diagnosis; Social &amp; structural; Environmental &amp; lifestyle; Treatment &amp; support; Life outcomes &amp; lived experience; Historical &amp; contemporary context</x:v>
      </x:c>
      <x:c r="G118" s="14" t="str">
        <x:v>Adulthood</x:v>
      </x:c>
      <x:c r="H118" s="32" t="e">
        <x:f>HYPERLINK("https://pubmed.ncbi.nlm.nih.gov/"&amp;C118&amp;"/","Open PubMed")</x:f>
        <x:v>HYPERLINK is not implemented. linkLocation=https://pubmed.ncbi.nlm.nih.gov/42074098/, friendlyName=Open PubMed</x:v>
      </x:c>
    </x:row>
    <x:row r="119">
      <x:c r="A119" t="str">
        <x:v>PUBMED-42063172</x:v>
      </x:c>
      <x:c r="B119" t="n">
        <x:v>2026</x:v>
      </x:c>
      <x:c r="C119" t="str">
        <x:v>42063172</x:v>
      </x:c>
      <x:c r="D119" s="14" t="str">
        <x:v>Neurological and biological correlations of ODD with ADHD in children and adolescents: a systematic review.</x:v>
      </x:c>
      <x:c r="E119" s="14" t="str">
        <x:v>Evidence synthesis - systematic review</x:v>
      </x:c>
      <x:c r="F119" s="14" t="str">
        <x:v>Development &amp; presentation; Recognition &amp; diagnosis; Social &amp; structural; Environmental &amp; lifestyle; Treatment &amp; support</x:v>
      </x:c>
      <x:c r="G119" s="14" t="str">
        <x:v>Childhood; Adolescence</x:v>
      </x:c>
      <x:c r="H119" s="32" t="e">
        <x:f>HYPERLINK("https://pubmed.ncbi.nlm.nih.gov/"&amp;C119&amp;"/","Open PubMed")</x:f>
        <x:v>HYPERLINK is not implemented. linkLocation=https://pubmed.ncbi.nlm.nih.gov/42063172/, friendlyName=Open PubMed</x:v>
      </x:c>
    </x:row>
    <x:row r="120">
      <x:c r="A120" t="str">
        <x:v>PUBMED-42061059</x:v>
      </x:c>
      <x:c r="B120" t="n">
        <x:v>2026</x:v>
      </x:c>
      <x:c r="C120" t="str">
        <x:v>42061059</x:v>
      </x:c>
      <x:c r="D120" s="14" t="str">
        <x:v>Educational robotics and augmented reality for improving social skills of children with ADHD: A scoping review.</x:v>
      </x:c>
      <x:c r="E120" s="14" t="str">
        <x:v>Evidence synthesis - review</x:v>
      </x:c>
      <x:c r="F120" s="14" t="str">
        <x:v>Development &amp; presentation; Recognition &amp; diagnosis; Family &amp; education; Social &amp; structural; Life outcomes &amp; lived experience</x:v>
      </x:c>
      <x:c r="G120" s="14" t="str">
        <x:v>Childhood</x:v>
      </x:c>
      <x:c r="H120" s="32" t="e">
        <x:f>HYPERLINK("https://pubmed.ncbi.nlm.nih.gov/"&amp;C120&amp;"/","Open PubMed")</x:f>
        <x:v>HYPERLINK is not implemented. linkLocation=https://pubmed.ncbi.nlm.nih.gov/42061059/, friendlyName=Open PubMed</x:v>
      </x:c>
    </x:row>
    <x:row r="121">
      <x:c r="A121" t="str">
        <x:v>PUBMED-41638541</x:v>
      </x:c>
      <x:c r="B121" t="n">
        <x:v>2026</x:v>
      </x:c>
      <x:c r="C121" t="str">
        <x:v>41638541</x:v>
      </x:c>
      <x:c r="D121" s="14" t="str">
        <x:v>The effects of acute and chronic exercise on executive functions and core symptoms in adults with ADHD: A systematic review and meta-analysis.</x:v>
      </x:c>
      <x:c r="E121" s="14" t="str">
        <x:v>Evidence synthesis - meta-analysis</x:v>
      </x:c>
      <x:c r="F121" s="14" t="str">
        <x:v>Development &amp; presentation; Recognition &amp; diagnosis; Social &amp; structural; Environmental &amp; lifestyle; Treatment &amp; support; Life outcomes &amp; lived experience</x:v>
      </x:c>
      <x:c r="G121" s="14" t="str">
        <x:v>Adulthood</x:v>
      </x:c>
      <x:c r="H121" s="32" t="e">
        <x:f>HYPERLINK("https://pubmed.ncbi.nlm.nih.gov/"&amp;C121&amp;"/","Open PubMed")</x:f>
        <x:v>HYPERLINK is not implemented. linkLocation=https://pubmed.ncbi.nlm.nih.gov/41638541/, friendlyName=Open PubMed</x:v>
      </x:c>
    </x:row>
    <x:row r="122">
      <x:c r="A122" t="str">
        <x:v>PUBMED-41405384</x:v>
      </x:c>
      <x:c r="B122" t="n">
        <x:v>2026</x:v>
      </x:c>
      <x:c r="C122" t="str">
        <x:v>41405384</x:v>
      </x:c>
      <x:c r="D122" s="14" t="str">
        <x:v>Parenting Practices in Families of Children With Comorbid ADHD and Anxiety Disorders: A Systematic Review and Meta-Analysis.</x:v>
      </x:c>
      <x:c r="E122" s="14" t="str">
        <x:v>Evidence synthesis - meta-analysis</x:v>
      </x:c>
      <x:c r="F122" s="14" t="str">
        <x:v>Development &amp; presentation; Recognition &amp; diagnosis; Family &amp; education; Social &amp; structural</x:v>
      </x:c>
      <x:c r="G122" s="14" t="str">
        <x:v>Childhood</x:v>
      </x:c>
      <x:c r="H122" s="32" t="e">
        <x:f>HYPERLINK("https://pubmed.ncbi.nlm.nih.gov/"&amp;C122&amp;"/","Open PubMed")</x:f>
        <x:v>HYPERLINK is not implemented. linkLocation=https://pubmed.ncbi.nlm.nih.gov/41405384/, friendlyName=Open PubMed</x:v>
      </x:c>
    </x:row>
    <x:row r="123">
      <x:c r="A123" t="str">
        <x:v>PUBMED-41283992</x:v>
      </x:c>
      <x:c r="B123" t="n">
        <x:v>2026</x:v>
      </x:c>
      <x:c r="C123" t="str">
        <x:v>41283992</x:v>
      </x:c>
      <x:c r="D123" s="14" t="str">
        <x:v>Therapeutic effects of tDCS on behavioral and cognitive functions in adults diagnosed with attention-deficit/hyperactivity disorder: a systematic review and meta-analysis on randomized controlled trials.</x:v>
      </x:c>
      <x:c r="E123" s="14" t="str">
        <x:v>Evidence synthesis - meta-analysis</x:v>
      </x:c>
      <x:c r="F123" s="14" t="str">
        <x:v>Development &amp; presentation; Recognition &amp; diagnosis; Social &amp; structural; Treatment &amp; support; Life outcomes &amp; lived experience</x:v>
      </x:c>
      <x:c r="G123" s="14" t="str">
        <x:v>Adulthood</x:v>
      </x:c>
      <x:c r="H123" s="32" t="e">
        <x:f>HYPERLINK("https://pubmed.ncbi.nlm.nih.gov/"&amp;C123&amp;"/","Open PubMed")</x:f>
        <x:v>HYPERLINK is not implemented. linkLocation=https://pubmed.ncbi.nlm.nih.gov/41283992/, friendlyName=Open PubMed</x:v>
      </x:c>
    </x:row>
    <x:row r="124">
      <x:c r="A124" t="str">
        <x:v>PUBMED-41237171</x:v>
      </x:c>
      <x:c r="B124" t="n">
        <x:v>2026</x:v>
      </x:c>
      <x:c r="C124" t="str">
        <x:v>41237171</x:v>
      </x:c>
      <x:c r="D124" s="14" t="str">
        <x:v>The Impact of Screen Time on ADHD Symptoms in Children and Adolescents: A Narrative Review of Treatment Approaches.</x:v>
      </x:c>
      <x:c r="E124" s="14" t="str">
        <x:v>Evidence synthesis - review</x:v>
      </x:c>
      <x:c r="F124" s="14" t="str">
        <x:v>Development &amp; presentation; Recognition &amp; diagnosis; Social &amp; structural; Environmental &amp; lifestyle; Treatment &amp; support; Life outcomes &amp; lived experience</x:v>
      </x:c>
      <x:c r="G124" s="14" t="str">
        <x:v>Childhood; Adolescence</x:v>
      </x:c>
      <x:c r="H124" s="32" t="e">
        <x:f>HYPERLINK("https://pubmed.ncbi.nlm.nih.gov/"&amp;C124&amp;"/","Open PubMed")</x:f>
        <x:v>HYPERLINK is not implemented. linkLocation=https://pubmed.ncbi.nlm.nih.gov/41237171/, friendlyName=Open PubMed</x:v>
      </x:c>
    </x:row>
    <x:row r="125">
      <x:c r="A125" t="str">
        <x:v>PUBMED-41146423</x:v>
      </x:c>
      <x:c r="B125" t="n">
        <x:v>2026</x:v>
      </x:c>
      <x:c r="C125" t="str">
        <x:v>41146423</x:v>
      </x:c>
      <x:c r="D125" s="14" t="str">
        <x:v>Cognitive Profile of ADHD in Older Adults: A Systematic Review.</x:v>
      </x:c>
      <x:c r="E125" s="14" t="str">
        <x:v>Evidence synthesis - systematic review</x:v>
      </x:c>
      <x:c r="F125" s="14" t="str">
        <x:v>Development &amp; presentation; Recognition &amp; diagnosis; Social &amp; structural</x:v>
      </x:c>
      <x:c r="G125" s="14" t="str">
        <x:v>Adulthood</x:v>
      </x:c>
      <x:c r="H125" s="32" t="e">
        <x:f>HYPERLINK("https://pubmed.ncbi.nlm.nih.gov/"&amp;C125&amp;"/","Open PubMed")</x:f>
        <x:v>HYPERLINK is not implemented. linkLocation=https://pubmed.ncbi.nlm.nih.gov/41146423/, friendlyName=Open PubMed</x:v>
      </x:c>
    </x:row>
    <x:row r="126">
      <x:c r="A126" t="str">
        <x:v>PUBMED-40914530</x:v>
      </x:c>
      <x:c r="B126" t="n">
        <x:v>2026</x:v>
      </x:c>
      <x:c r="C126" t="str">
        <x:v>40914530</x:v>
      </x:c>
      <x:c r="D126" s="14" t="str">
        <x:v>Meta-analysis of the association between prenatal antibiotic exposure and risk of childhood attention-deficit/hyperactivity disorder.</x:v>
      </x:c>
      <x:c r="E126" s="14" t="str">
        <x:v>Evidence synthesis - meta-analysis</x:v>
      </x:c>
      <x:c r="F126" s="14" t="str">
        <x:v>Development &amp; presentation; Environmental &amp; lifestyle; Treatment &amp; support; Life outcomes &amp; lived experience</x:v>
      </x:c>
      <x:c r="G126" s="14" t="str">
        <x:v>Childhood</x:v>
      </x:c>
      <x:c r="H126" s="32" t="e">
        <x:f>HYPERLINK("https://pubmed.ncbi.nlm.nih.gov/"&amp;C126&amp;"/","Open PubMed")</x:f>
        <x:v>HYPERLINK is not implemented. linkLocation=https://pubmed.ncbi.nlm.nih.gov/40914530/, friendlyName=Open PubMed</x:v>
      </x:c>
    </x:row>
    <x:row r="127">
      <x:c r="A127" t="str">
        <x:v>PUBMED-40846831</x:v>
      </x:c>
      <x:c r="B127" t="n">
        <x:v>2026</x:v>
      </x:c>
      <x:c r="C127" t="str">
        <x:v>40846831</x:v>
      </x:c>
      <x:c r="D127" s="14" t="str">
        <x:v>Attention-deficit hyperactivity disorder and oral health in children and adolescents: a systematic review.</x:v>
      </x:c>
      <x:c r="E127" s="14" t="str">
        <x:v>Evidence synthesis - systematic review</x:v>
      </x:c>
      <x:c r="F127" s="14" t="str">
        <x:v>Development &amp; presentation; Recognition &amp; diagnosis; Family &amp; education; Social &amp; structural; Life outcomes &amp; lived experience</x:v>
      </x:c>
      <x:c r="G127" s="14" t="str">
        <x:v>Childhood; Adolescence</x:v>
      </x:c>
      <x:c r="H127" s="32" t="e">
        <x:f>HYPERLINK("https://pubmed.ncbi.nlm.nih.gov/"&amp;C127&amp;"/","Open PubMed")</x:f>
        <x:v>HYPERLINK is not implemented. linkLocation=https://pubmed.ncbi.nlm.nih.gov/40846831/, friendlyName=Open PubMed</x:v>
      </x:c>
    </x:row>
    <x:row r="128">
      <x:c r="A128" t="str">
        <x:v>PUBMED-38850546</x:v>
      </x:c>
      <x:c r="B128" t="n">
        <x:v>2026</x:v>
      </x:c>
      <x:c r="C128" t="str">
        <x:v>38850546</x:v>
      </x:c>
      <x:c r="D128" s="14" t="str">
        <x:v>Do Wechsler intelligence scales predict academic achievement in children with ADHD or autism? A systematic review and meta-analysis.</x:v>
      </x:c>
      <x:c r="E128" s="14" t="str">
        <x:v>Evidence synthesis - meta-analysis</x:v>
      </x:c>
      <x:c r="F128" s="14" t="str">
        <x:v>Development &amp; presentation; Family &amp; education; Social &amp; structural</x:v>
      </x:c>
      <x:c r="G128" s="14" t="str">
        <x:v>Childhood; Adolescence</x:v>
      </x:c>
      <x:c r="H128" s="32" t="e">
        <x:f>HYPERLINK("https://pubmed.ncbi.nlm.nih.gov/"&amp;C128&amp;"/","Open PubMed")</x:f>
        <x:v>HYPERLINK is not implemented. linkLocation=https://pubmed.ncbi.nlm.nih.gov/38850546/, friendlyName=Open PubMed</x:v>
      </x:c>
    </x:row>
    <x:row r="129">
      <x:c r="A129" t="str">
        <x:v>PUBMED-42748938</x:v>
      </x:c>
      <x:c r="B129" t="n">
        <x:v>2026</x:v>
      </x:c>
      <x:c r="C129" t="str">
        <x:v>42748938</x:v>
      </x:c>
      <x:c r="D129" s="14" t="str">
        <x:v>ADHD Across the Lifespan: Reconsidering Assumptions of Diagnostic Permanence.</x:v>
      </x:c>
      <x:c r="E129" s="14" t="str">
        <x:v>Evidence synthesis - review</x:v>
      </x:c>
      <x:c r="F129" s="14" t="str">
        <x:v>Development &amp; presentation; Recognition &amp; diagnosis; Social &amp; structural; Treatment &amp; support; Life outcomes &amp; lived experience</x:v>
      </x:c>
      <x:c r="G129" s="14" t="str">
        <x:v>Not specified</x:v>
      </x:c>
      <x:c r="H129" s="32" t="e">
        <x:f>HYPERLINK("https://pubmed.ncbi.nlm.nih.gov/"&amp;C129&amp;"/","Open PubMed")</x:f>
        <x:v>HYPERLINK is not implemented. linkLocation=https://pubmed.ncbi.nlm.nih.gov/42748938/, friendlyName=Open PubMed</x:v>
      </x:c>
    </x:row>
  </x:sheetData>
  <x:pageMargins left="0.7" right="0.7" top="0.75" bottom="0.75" header="0.3" footer="0.3"/>
  <x:tableParts count="1">
    <x:tablePart xmlns:r="http://schemas.openxmlformats.org/officeDocument/2006/relationships" r:id="Rf6ac38bf6dac4381"/>
  </x:tableParts>
</x:worksheet>
</file>

<file path=xl/worksheets/sheet8.xml><?xml version="1.0" encoding="utf-8"?>
<x:worksheet xmlns:x="http://schemas.openxmlformats.org/spreadsheetml/2006/main">
  <x:sheetFormatPr defaultRowHeight="15"/>
  <x:cols>
    <x:col min="1" max="1" width="18" hidden="0" customWidth="1"/>
    <x:col min="2" max="2" width="8" hidden="0" customWidth="1"/>
    <x:col min="3" max="3" width="12" hidden="0" customWidth="1"/>
    <x:col min="4" max="4" width="58" hidden="0" customWidth="1"/>
    <x:col min="5" max="5" width="34" hidden="0" customWidth="1"/>
    <x:col min="6" max="6" width="48" hidden="0" customWidth="1"/>
    <x:col min="7" max="7" width="24" hidden="0" customWidth="1"/>
    <x:col min="8" max="8" width="44" hidden="0" customWidth="1"/>
  </x:cols>
  <x:sheetData>
    <x:row r="1" ht="30" customHeight="1">
      <x:c r="A1" s="21" t="str">
        <x:v>Paper ID</x:v>
      </x:c>
      <x:c r="B1" s="21" t="str">
        <x:v>Year</x:v>
      </x:c>
      <x:c r="C1" s="21" t="str">
        <x:v>PMID</x:v>
      </x:c>
      <x:c r="D1" s="21" t="str">
        <x:v>Title</x:v>
      </x:c>
      <x:c r="E1" s="21" t="str">
        <x:v>Source type</x:v>
      </x:c>
      <x:c r="F1" s="21" t="str">
        <x:v>Topic tags</x:v>
      </x:c>
      <x:c r="G1" s="21" t="str">
        <x:v>Life stage</x:v>
      </x:c>
      <x:c r="H1" s="21" t="str">
        <x:v>Paper Link (PubMed)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6" hidden="0" customWidth="1"/>
    <x:col min="2" max="2" width="85" hidden="0" customWidth="1"/>
    <x:col min="3" max="3" width="16" hidden="0" customWidth="1"/>
    <x:col min="4" max="4" width="16" hidden="0" customWidth="1"/>
    <x:col min="5" max="5" width="16" hidden="0" customWidth="1"/>
  </x:cols>
  <x:sheetData>
    <x:row r="1" ht="30" customHeight="1">
      <x:c r="A1" s="21" t="str">
        <x:v>Topic (automated screening tag)</x:v>
      </x:c>
      <x:c r="B1" s="21" t="str">
        <x:v>1970</x:v>
      </x:c>
      <x:c r="C1" s="21" t="str">
        <x:v>1990</x:v>
      </x:c>
      <x:c r="D1" s="21" t="str">
        <x:v>2010</x:v>
      </x:c>
      <x:c r="E1" s="21" t="str">
        <x:v>2026</x:v>
      </x:c>
    </x:row>
    <x:row r="2">
      <x:c r="A2" s="13" t="str">
        <x:v>Development &amp; presentation</x:v>
      </x:c>
      <x:c r="B2" s="14" t="n">
        <x:v>5</x:v>
      </x:c>
      <x:c r="C2" s="14" t="n">
        <x:v>35</x:v>
      </x:c>
      <x:c r="D2" s="14" t="n">
        <x:v>56</x:v>
      </x:c>
      <x:c r="E2" s="14" t="n">
        <x:v>183</x:v>
      </x:c>
    </x:row>
    <x:row r="3">
      <x:c r="A3" s="13" t="str">
        <x:v>Recognition &amp; diagnosis</x:v>
      </x:c>
      <x:c r="B3" s="14" t="n">
        <x:v>4</x:v>
      </x:c>
      <x:c r="C3" s="14" t="n">
        <x:v>23</x:v>
      </x:c>
      <x:c r="D3" s="14" t="n">
        <x:v>38</x:v>
      </x:c>
      <x:c r="E3" s="14" t="n">
        <x:v>125</x:v>
      </x:c>
    </x:row>
    <x:row r="4">
      <x:c r="A4" s="13" t="str">
        <x:v>Family &amp; education</x:v>
      </x:c>
      <x:c r="B4" s="14" t="n">
        <x:v>3</x:v>
      </x:c>
      <x:c r="C4" s="14" t="n">
        <x:v>25</x:v>
      </x:c>
      <x:c r="D4" s="14" t="n">
        <x:v>32</x:v>
      </x:c>
      <x:c r="E4" s="14" t="n">
        <x:v>88</x:v>
      </x:c>
    </x:row>
    <x:row r="5">
      <x:c r="A5" s="13" t="str">
        <x:v>Social &amp; structural</x:v>
      </x:c>
      <x:c r="B5" s="14" t="n">
        <x:v>0</x:v>
      </x:c>
      <x:c r="C5" s="14" t="n">
        <x:v>28</x:v>
      </x:c>
      <x:c r="D5" s="14" t="n">
        <x:v>52</x:v>
      </x:c>
      <x:c r="E5" s="14" t="n">
        <x:v>179</x:v>
      </x:c>
    </x:row>
    <x:row r="6">
      <x:c r="A6" s="13" t="str">
        <x:v>Environmental &amp; lifestyle</x:v>
      </x:c>
      <x:c r="B6" s="14" t="n">
        <x:v>1</x:v>
      </x:c>
      <x:c r="C6" s="14" t="n">
        <x:v>11</x:v>
      </x:c>
      <x:c r="D6" s="14" t="n">
        <x:v>24</x:v>
      </x:c>
      <x:c r="E6" s="14" t="n">
        <x:v>94</x:v>
      </x:c>
    </x:row>
    <x:row r="7">
      <x:c r="A7" s="13" t="str">
        <x:v>Treatment &amp; support</x:v>
      </x:c>
      <x:c r="B7" s="14" t="n">
        <x:v>2</x:v>
      </x:c>
      <x:c r="C7" s="14" t="n">
        <x:v>23</x:v>
      </x:c>
      <x:c r="D7" s="14" t="n">
        <x:v>37</x:v>
      </x:c>
      <x:c r="E7" s="14" t="n">
        <x:v>109</x:v>
      </x:c>
    </x:row>
    <x:row r="8">
      <x:c r="A8" s="13" t="str">
        <x:v>Life outcomes &amp; lived experience</x:v>
      </x:c>
      <x:c r="B8" s="14" t="n">
        <x:v>0</x:v>
      </x:c>
      <x:c r="C8" s="14" t="n">
        <x:v>11</x:v>
      </x:c>
      <x:c r="D8" s="14" t="n">
        <x:v>30</x:v>
      </x:c>
      <x:c r="E8" s="14" t="n">
        <x:v>118</x:v>
      </x:c>
    </x:row>
    <x:row r="9">
      <x:c r="A9" s="13" t="str">
        <x:v>Historical &amp; contemporary context</x:v>
      </x:c>
      <x:c r="B9" s="14" t="n">
        <x:v>0</x:v>
      </x:c>
      <x:c r="C9" s="14" t="n">
        <x:v>2</x:v>
      </x:c>
      <x:c r="D9" s="14" t="n">
        <x:v>5</x:v>
      </x:c>
      <x:c r="E9" s="14" t="n">
        <x:v>37</x:v>
      </x:c>
    </x:row>
    <x:row r="10">
      <x:c r="A10" s="14"/>
      <x:c r="B10" s="14"/>
      <x:c r="C10" s="14"/>
      <x:c r="D10" s="14"/>
      <x:c r="E10" s="14"/>
    </x:row>
    <x:row r="11">
      <x:c r="A11" s="14"/>
      <x:c r="B11" s="14"/>
      <x:c r="C11" s="14"/>
      <x:c r="D11" s="14"/>
      <x:c r="E11" s="14"/>
    </x:row>
    <x:row r="12" ht="30" customHeight="1">
      <x:c r="A12" s="21" t="str">
        <x:v>Life stage (from MeSH/abstract)</x:v>
      </x:c>
      <x:c r="B12" s="21" t="str">
        <x:v>1970</x:v>
      </x:c>
      <x:c r="C12" s="21" t="str">
        <x:v>1990</x:v>
      </x:c>
      <x:c r="D12" s="21" t="str">
        <x:v>2010</x:v>
      </x:c>
      <x:c r="E12" s="21" t="str">
        <x:v>2026</x:v>
      </x:c>
    </x:row>
    <x:row r="13">
      <x:c r="A13" s="13" t="str">
        <x:v>Childhood</x:v>
      </x:c>
      <x:c r="B13" s="14" t="n">
        <x:v>4</x:v>
      </x:c>
      <x:c r="C13" s="14" t="n">
        <x:v>30</x:v>
      </x:c>
      <x:c r="D13" s="14" t="n">
        <x:v>42</x:v>
      </x:c>
      <x:c r="E13" s="14" t="n">
        <x:v>120</x:v>
      </x:c>
    </x:row>
    <x:row r="14">
      <x:c r="A14" s="13" t="str">
        <x:v>Adolescence</x:v>
      </x:c>
      <x:c r="B14" s="14" t="n">
        <x:v>0</x:v>
      </x:c>
      <x:c r="C14" s="14" t="n">
        <x:v>18</x:v>
      </x:c>
      <x:c r="D14" s="14" t="n">
        <x:v>30</x:v>
      </x:c>
      <x:c r="E14" s="14" t="n">
        <x:v>75</x:v>
      </x:c>
    </x:row>
    <x:row r="15">
      <x:c r="A15" s="13" t="str">
        <x:v>Adulthood</x:v>
      </x:c>
      <x:c r="B15" s="14" t="n">
        <x:v>0</x:v>
      </x:c>
      <x:c r="C15" s="14" t="n">
        <x:v>5</x:v>
      </x:c>
      <x:c r="D15" s="14" t="n">
        <x:v>21</x:v>
      </x:c>
      <x:c r="E15" s="14" t="n">
        <x:v>78</x:v>
      </x:c>
    </x:row>
    <x:row r="16">
      <x:c r="A16" s="13" t="str">
        <x:v>Not specified</x:v>
      </x:c>
      <x:c r="B16" s="14" t="n">
        <x:v>1</x:v>
      </x:c>
      <x:c r="C16" s="14" t="n">
        <x:v>1</x:v>
      </x:c>
      <x:c r="D16" s="14" t="n">
        <x:v>7</x:v>
      </x:c>
      <x:c r="E16" s="14" t="n">
        <x:v>16</x:v>
      </x:c>
    </x:row>
    <x:row r="17">
      <x:c r="A17" s="14"/>
      <x:c r="B17" s="14"/>
      <x:c r="C17" s="14"/>
      <x:c r="D17" s="14"/>
      <x:c r="E17" s="14"/>
    </x:row>
    <x:row r="18">
      <x:c r="A18" s="14"/>
      <x:c r="B18" s="14"/>
      <x:c r="C18" s="14"/>
      <x:c r="D18" s="14"/>
      <x:c r="E18" s="14"/>
    </x:row>
    <x:row r="19">
      <x:c r="A19" s="19" t="str">
        <x:v>Coverage gaps / cautions</x:v>
      </x:c>
      <x:c r="B19" s="19"/>
      <x:c r="C19" s="14"/>
      <x:c r="D19" s="14"/>
      <x:c r="E19" s="14"/>
    </x:row>
    <x:row r="20">
      <x:c r="A20" s="13" t="str">
        <x:v>1970 adult literature</x:v>
      </x:c>
      <x:c r="B20" s="14" t="str">
        <x:v>No adult-focused Batch 1 record identified in the exact-1970 export; adult recognition requires later-period and historical-context searches.</x:v>
      </x:c>
      <x:c r="C20" s="14"/>
      <x:c r="D20" s="14"/>
      <x:c r="E20" s="14"/>
    </x:row>
    <x:row r="21">
      <x:c r="A21" s="13" t="str">
        <x:v>1970 social/structural &amp; lived experience</x:v>
      </x:c>
      <x:c r="B21" s="14" t="str">
        <x:v>Very sparse/absent in Batch 1; likely requires broader historical, sociology, education, and archival searches beyond PubMed.</x:v>
      </x:c>
      <x:c r="C21" s="14"/>
      <x:c r="D21" s="14"/>
      <x:c r="E21" s="14"/>
    </x:row>
    <x:row r="22">
      <x:c r="A22" s="13" t="str">
        <x:v>1990 adulthood</x:v>
      </x:c>
      <x:c r="B22" s="14" t="str">
        <x:v>Adult coverage exists but is much smaller than childhood coverage.</x:v>
      </x:c>
      <x:c r="C22" s="14"/>
      <x:c r="D22" s="14"/>
      <x:c r="E22" s="14"/>
    </x:row>
    <x:row r="23">
      <x:c r="A23" s="13" t="str">
        <x:v>Exact-year design</x:v>
      </x:c>
      <x:c r="B23" s="14" t="str">
        <x:v>Exact publication-year files are useful historical anchors but can miss foundational papers immediately before/after each reference year; planned sensitivity windows should be searched.</x:v>
      </x:c>
      <x:c r="C23" s="14"/>
      <x:c r="D23" s="14"/>
      <x:c r="E23" s="14"/>
    </x:row>
    <x:row r="24">
      <x:c r="A24" s="13" t="str">
        <x:v>Non-PubMed disciplines</x:v>
      </x:c>
      <x:c r="B24" s="14" t="str">
        <x:v>Education, sociology, occupational research, and qualitative work may be underrepresented until PsycINFO/ERIC/Scopus/Web of Science searches are run.</x:v>
      </x:c>
      <x:c r="C24" s="14"/>
      <x:c r="D24" s="14"/>
      <x:c r="E24" s="14"/>
    </x:row>
    <x:row r="25">
      <x:c r="A25" s="13" t="str">
        <x:v>Topic-tag limitation</x:v>
      </x:c>
      <x:c r="B25" s="14" t="str">
        <x:v>Coverage counts are machine-assisted screening tags from title/abstract/MeSH and must not be interpreted as evidence strength or causal support.</x:v>
      </x:c>
      <x:c r="C25" s="14"/>
      <x:c r="D25" s="14"/>
      <x:c r="E25" s="14"/>
    </x:row>
    <x:row r="26">
      <x:c r="A26" s="14"/>
      <x:c r="B26" s="14"/>
      <x:c r="C26" s="14"/>
      <x:c r="D26" s="14"/>
      <x:c r="E26" s="14"/>
    </x:row>
  </x:sheetData>
  <x:mergeCells>
    <x:mergeCell ref="A19:B19"/>
  </x:mergeCells>
  <x:pageMargins left="0.7" right="0.7" top="0.75" bottom="0.75" header="0.3" footer="0.3"/>
</x:worksheet>
</file>

<file path=xl/worksheets/sheet10.xml><?xml version="1.0" encoding="utf-8"?>
<x:worksheet xmlns:x="http://schemas.openxmlformats.org/spreadsheetml/2006/main">
  <x:sheetFormatPr defaultRowHeight="15"/>
  <x:cols>
    <x:col min="1" max="1" width="42" hidden="0" customWidth="1"/>
    <x:col min="2" max="2" width="78" hidden="0" customWidth="1"/>
    <x:col min="3" max="3" width="14" hidden="0" customWidth="1"/>
    <x:col min="4" max="4" width="14" hidden="0" customWidth="1"/>
    <x:col min="5" max="5" width="14" hidden="0" customWidth="1"/>
  </x:cols>
  <x:sheetData>
    <x:row r="1" ht="19.200000762939453" hidden="0" customHeight="1">
      <x:c r="A1" s="51" t="str">
        <x:v>Batch 1 PDF / Full-Text Availability Check</x:v>
      </x:c>
      <x:c r="B1" s="51" t="str"/>
      <x:c r="C1" s="51" t="str"/>
      <x:c r="D1" s="51" t="str"/>
      <x:c r="E1" s="51" t="str"/>
    </x:row>
    <x:row r="2" ht="15" hidden="0" customHeight="1">
      <x:c r="A2" s="52" t="str">
        <x:v>Scope</x:v>
      </x:c>
      <x:c r="B2" s="14" t="str">
        <x:v>All 279 papers in Batch 1</x:v>
      </x:c>
      <x:c r="C2" s="14" t="str"/>
      <x:c r="D2" s="14" t="str"/>
      <x:c r="E2" s="14" t="str"/>
    </x:row>
    <x:row r="3" ht="39.599998474121094" hidden="0" customHeight="1">
      <x:c r="A3" s="52" t="str">
        <x:v>Method</x:v>
      </x:c>
      <x:c r="B3" s="14" t="str">
        <x:v>Verified against identifiers in the supplied PubMed/MEDLINE records: PMCID for free PMC full text, DOI for publisher route. This is a conservative availability check; it is not an exhaustive search of every institutional repository or author manuscript.</x:v>
      </x:c>
      <x:c r="C3" s="14" t="str"/>
      <x:c r="D3" s="14" t="str"/>
      <x:c r="E3" s="14" t="str"/>
    </x:row>
    <x:row r="4" ht="15" hidden="0" customHeight="1">
      <x:c r="A4" s="43" t="str">
        <x:v>Status</x:v>
      </x:c>
      <x:c r="B4" s="43" t="str">
        <x:v>1970</x:v>
      </x:c>
      <x:c r="C4" s="43" t="str">
        <x:v>1990</x:v>
      </x:c>
      <x:c r="D4" s="43" t="str">
        <x:v>2010</x:v>
      </x:c>
      <x:c r="E4" s="43" t="str">
        <x:v>2026</x:v>
      </x:c>
    </x:row>
    <x:row r="5" ht="15" hidden="0" customHeight="1">
      <x:c r="A5" s="52" t="str">
        <x:v>Verified free full text on PMC</x:v>
      </x:c>
      <x:c r="B5" s="14" t="n">
        <x:v>0</x:v>
      </x:c>
      <x:c r="C5" s="14" t="n">
        <x:v>0</x:v>
      </x:c>
      <x:c r="D5" s="14" t="n">
        <x:v>12</x:v>
      </x:c>
      <x:c r="E5" s="14" t="n">
        <x:v>85</x:v>
      </x:c>
    </x:row>
    <x:row r="6" ht="15" hidden="0" customHeight="1">
      <x:c r="A6" s="52" t="str">
        <x:v>Publisher/DOI route; no PMC copy identified</x:v>
      </x:c>
      <x:c r="B6" s="14" t="n">
        <x:v>0</x:v>
      </x:c>
      <x:c r="C6" s="14" t="n">
        <x:v>21</x:v>
      </x:c>
      <x:c r="D6" s="14" t="n">
        <x:v>40</x:v>
      </x:c>
      <x:c r="E6" s="14" t="n">
        <x:v>96</x:v>
      </x:c>
    </x:row>
    <x:row r="7" ht="15" hidden="0" customHeight="1">
      <x:c r="A7" s="52" t="str">
        <x:v>No PMCID/DOI in PubMed metadata</x:v>
      </x:c>
      <x:c r="B7" s="14" t="n">
        <x:v>5</x:v>
      </x:c>
      <x:c r="C7" s="14" t="n">
        <x:v>14</x:v>
      </x:c>
      <x:c r="D7" s="14" t="n">
        <x:v>4</x:v>
      </x:c>
      <x:c r="E7" s="14" t="n">
        <x:v>2</x:v>
      </x:c>
    </x:row>
    <x:row r="8" ht="15" hidden="0" customHeight="1">
      <x:c r="A8" s="52" t="str">
        <x:v>TOTAL verified PMC full text</x:v>
      </x:c>
      <x:c r="B8" s="14" t="n">
        <x:v>97</x:v>
      </x:c>
      <x:c r="C8" s="14" t="str"/>
      <x:c r="D8" s="14" t="str"/>
      <x:c r="E8" s="14" t="str"/>
    </x:row>
    <x:row r="9" ht="15" hidden="0" customHeight="1">
      <x:c r="A9" s="52" t="str">
        <x:v>TOTAL DOI/publisher route</x:v>
      </x:c>
      <x:c r="B9" s="14" t="n">
        <x:v>157</x:v>
      </x:c>
      <x:c r="C9" s="14" t="str"/>
      <x:c r="D9" s="14" t="str"/>
      <x:c r="E9" s="14" t="str"/>
    </x:row>
    <x:row r="10" ht="15" hidden="0" customHeight="1">
      <x:c r="A10" s="52" t="str">
        <x:v>TOTAL no PMCID/DOI</x:v>
      </x:c>
      <x:c r="B10" s="14" t="n">
        <x:v>25</x:v>
      </x:c>
      <x:c r="C10" s="14" t="str"/>
      <x:c r="D10" s="14" t="str"/>
      <x:c r="E10" s="14" t="str"/>
    </x:row>
    <x:row r="11" ht="26.399999618530273" hidden="0" customHeight="1">
      <x:c r="A11" s="52" t="str">
        <x:v>Stony Brook fallback</x:v>
      </x:c>
      <x:c r="B11" s="14" t="str">
        <x:v>For non-PMC papers: open the DOI/publisher link first. If access is restricted, use Stony Brook Library SEARCH / Article Galaxy / interlibrary loan.</x:v>
      </x:c>
      <x:c r="C11" s="14" t="str"/>
      <x:c r="D11" s="14" t="str"/>
      <x:c r="E11" s="14" t="str"/>
    </x:row>
  </x:sheetData>
  <x:mergeCells>
    <x:mergeCell ref="A1:E1"/>
  </x:mergeCells>
  <x:pageMargins left="0.7" right="0.7" top="0.75" bottom="0.75" header="0.3" footer="0.3"/>
</x:worksheet>
</file>