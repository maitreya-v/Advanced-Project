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arnavdesai/Downloads/"/>
    </mc:Choice>
  </mc:AlternateContent>
  <xr:revisionPtr revIDLastSave="0" documentId="8_{A401F846-DD5C-B146-97CC-4F44D7435246}" xr6:coauthVersionLast="47" xr6:coauthVersionMax="47" xr10:uidLastSave="{00000000-0000-0000-0000-000000000000}"/>
  <bookViews>
    <workbookView xWindow="0" yWindow="660" windowWidth="34200" windowHeight="21480" activeTab="1" xr2:uid="{00000000-000D-0000-FFFF-FFFF00000000}"/>
  </bookViews>
  <sheets>
    <sheet name="README" sheetId="1" r:id="rId1"/>
    <sheet name="1970 ADHD Papers" sheetId="2" r:id="rId2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" i="2" l="1"/>
  <c r="G13" i="2"/>
  <c r="G12" i="2"/>
  <c r="G11" i="2"/>
  <c r="G10" i="2"/>
  <c r="G9" i="2"/>
  <c r="G8" i="2"/>
  <c r="G7" i="2"/>
  <c r="G6" i="2"/>
  <c r="G5" i="2"/>
  <c r="G4" i="2"/>
  <c r="G3" i="2"/>
  <c r="G2" i="2"/>
</calcChain>
</file>

<file path=xl/sharedStrings.xml><?xml version="1.0" encoding="utf-8"?>
<sst xmlns="http://schemas.openxmlformats.org/spreadsheetml/2006/main" count="98" uniqueCount="93">
  <si>
    <t>1970 ADHD PubMed Corpus</t>
  </si>
  <si>
    <t>Source</t>
  </si>
  <si>
    <t>PubMed MEDLINE export uploaded by the user</t>
  </si>
  <si>
    <t>Records included</t>
  </si>
  <si>
    <t>Publication year</t>
  </si>
  <si>
    <t>Filter applied</t>
  </si>
  <si>
    <t>Only records whose PubMed DP (Date of Publication) field is 1970 were included.</t>
  </si>
  <si>
    <t>Context field</t>
  </si>
  <si>
    <t>One-line context from the PubMed abstract when available; otherwise derived from the title and PubMed MeSH indexing.</t>
  </si>
  <si>
    <t>Hyperlinks</t>
  </si>
  <si>
    <t>Each paper includes a clickable PubMed link and the plain-text PubMed URL.</t>
  </si>
  <si>
    <t>#</t>
  </si>
  <si>
    <t>Year</t>
  </si>
  <si>
    <t>PMID</t>
  </si>
  <si>
    <t>Paper Title</t>
  </si>
  <si>
    <t>Author(s)</t>
  </si>
  <si>
    <t>Journal</t>
  </si>
  <si>
    <t>PubMed Hyperlink</t>
  </si>
  <si>
    <t>PubMed URL</t>
  </si>
  <si>
    <t>1-Line Context</t>
  </si>
  <si>
    <t>4911365</t>
  </si>
  <si>
    <t>Diphenylhydantoin in children with severe temper tantrums.</t>
  </si>
  <si>
    <t>Looker, A; Conners, C K</t>
  </si>
  <si>
    <t>Archives of general psychiatry</t>
  </si>
  <si>
    <t>https://pubmed.ncbi.nlm.nih.gov/4911365/</t>
  </si>
  <si>
    <t>Addresses Diphenylhydantoin in children with severe temper tantrums; PubMed indexing emphasizes Attention Deficit Disorder with Hyperactivity, Bender-Gestalt Test, Child Behavior Disorders, Clinical Trials as Topic.</t>
  </si>
  <si>
    <t>5491539</t>
  </si>
  <si>
    <t>Brain function in problem children and controls: psychometric, neurological, and electroencephalographic comparisons.</t>
  </si>
  <si>
    <t>Wikler, A; Dixon, J F; Parker, J B Jr</t>
  </si>
  <si>
    <t>The American journal of psychiatry</t>
  </si>
  <si>
    <t>https://pubmed.ncbi.nlm.nih.gov/5491539/</t>
  </si>
  <si>
    <t>Addresses Brain function in problem children and controls: psychometric, neurological, and electroencephalographic comparisons; PubMed indexing emphasizes Attention Deficit Disorder with Hyperactivity, Brain Damage, Chronic, Brain Diseases, Child Behavior Disorders.</t>
  </si>
  <si>
    <t>4097226</t>
  </si>
  <si>
    <t>Minimal brain dysfunction: clinical aspects.</t>
  </si>
  <si>
    <t>Charlton, M H</t>
  </si>
  <si>
    <t>Electroencephalography and clinical neurophysiology</t>
  </si>
  <si>
    <t>https://pubmed.ncbi.nlm.nih.gov/4097226/</t>
  </si>
  <si>
    <t>Addresses Minimal brain dysfunction: clinical aspects; PubMed indexing emphasizes Attention Deficit Disorder with Hyperactivity, Brain Damage, Chronic, Dyslexia.</t>
  </si>
  <si>
    <t>5528093</t>
  </si>
  <si>
    <t>The slow learner in the classroom with emphasis on the child with minimum brain syndrome.</t>
  </si>
  <si>
    <t>Lordi, W M</t>
  </si>
  <si>
    <t>Virginia medical monthly</t>
  </si>
  <si>
    <t>https://pubmed.ncbi.nlm.nih.gov/5528093/</t>
  </si>
  <si>
    <t>Addresses The slow learner in the classroom with emphasis on the child with minimum brain syndrome; PubMed indexing emphasizes Attention Deficit Disorder with Hyperactivity, Dextroamphetamine, Electroencephalography, Intelligence Tests.</t>
  </si>
  <si>
    <t>5523436</t>
  </si>
  <si>
    <t>Pilot study on the effectiveness of systematic desensitization with neurologically impaired children with phobic disorders.</t>
  </si>
  <si>
    <t>Obler, M; Terwilliger, R F</t>
  </si>
  <si>
    <t>Journal of consulting and clinical psychology</t>
  </si>
  <si>
    <t>https://pubmed.ncbi.nlm.nih.gov/5523436/</t>
  </si>
  <si>
    <t>Addresses Pilot study on the effectiveness of systematic desensitization with neurologically impaired children with phobic disorders; PubMed indexing emphasizes Attention Deficit Disorder with Hyperactivity, Brain Damage, Chronic, Phobic Disorders, Pilot Projects.</t>
  </si>
  <si>
    <t>5538099</t>
  </si>
  <si>
    <t>Neurological evaluation of children with learning disorders.</t>
  </si>
  <si>
    <t>Schain, R J</t>
  </si>
  <si>
    <t>Neuropadiatrie</t>
  </si>
  <si>
    <t>https://pubmed.ncbi.nlm.nih.gov/5538099/</t>
  </si>
  <si>
    <t>Addresses Neurological evaluation of children with learning disorders; PubMed indexing emphasizes Attention Deficit Disorder with Hyperactivity, Brain Damage, Chronic, Cerebral Palsy, Child Behavior Disorders.</t>
  </si>
  <si>
    <t>5474700</t>
  </si>
  <si>
    <t>Vascular abnormalities in congenital generalized elastolysis (cutis laxa): report of a case.</t>
  </si>
  <si>
    <t>Wagstaff, L A; Firth, J C; Levin, S E</t>
  </si>
  <si>
    <t>South African medical journal = Suid-Afrikaanse tydskrif vir geneeskunde</t>
  </si>
  <si>
    <t>https://pubmed.ncbi.nlm.nih.gov/5474700/</t>
  </si>
  <si>
    <t>Addresses Vascular abnormalities in congenital generalized elastolysis (cutis laxa): report of a case; PubMed indexing emphasizes Angiography, Aortic Diseases, Aortography, Attention Deficit Disorder with Hyperactivity.</t>
  </si>
  <si>
    <t>5526422</t>
  </si>
  <si>
    <t>The role of allergic factors in the child with minimal brain dysfunction.</t>
  </si>
  <si>
    <t>Kittler, F J; Baldwin, D G</t>
  </si>
  <si>
    <t>Annals of allergy</t>
  </si>
  <si>
    <t>https://pubmed.ncbi.nlm.nih.gov/5526422/</t>
  </si>
  <si>
    <t>Addresses The role of allergic factors in the child with minimal brain dysfunction; PubMed indexing emphasizes Attention Deficit Disorder with Hyperactivity, Brain Damage, Chronic, Child Behavior Disorders, Diet Therapy.</t>
  </si>
  <si>
    <t>4950109</t>
  </si>
  <si>
    <t>Simply produced closed-head, focal lesions for study of repair in immature rat cerebral cortex.</t>
  </si>
  <si>
    <t>Geller, L M; Cowen, D; Wolf, A</t>
  </si>
  <si>
    <t>Developmental psychobiology</t>
  </si>
  <si>
    <t>https://pubmed.ncbi.nlm.nih.gov/4950109/</t>
  </si>
  <si>
    <t>Addresses Simply produced closed-head, focal lesions for study of repair in immature rat cerebral cortex; PubMed indexing emphasizes Animals, Laboratory, Attention Deficit Disorder with Hyperactivity, Axons, Cerebral Cortex.</t>
  </si>
  <si>
    <t>5527608</t>
  </si>
  <si>
    <t>The syndrome of multiple minimal handicaps: active involvement of the child, family and school in the management.</t>
  </si>
  <si>
    <t>Wertheim, E S</t>
  </si>
  <si>
    <t>Australian paediatric journal</t>
  </si>
  <si>
    <t>https://pubmed.ncbi.nlm.nih.gov/5527608/</t>
  </si>
  <si>
    <t>Addresses The syndrome of multiple minimal handicaps: active involvement of the child, family and school in the management; PubMed indexing emphasizes Age Factors, Attention Deficit Disorder with Hyperactivity, Brain Damage, Chronic, Education, Special.</t>
  </si>
  <si>
    <t>5520419</t>
  </si>
  <si>
    <t>https://pubmed.ncbi.nlm.nih.gov/5520419/</t>
  </si>
  <si>
    <t>5538049</t>
  </si>
  <si>
    <t>[Diagnosis of minimal cerebral dysfunction or lesion in school age children].</t>
  </si>
  <si>
    <t>Rebollo, M A; Cardús, S; Ihlenfeld, S; Montero, O</t>
  </si>
  <si>
    <t>Acta neurologica latinoamericana</t>
  </si>
  <si>
    <t>https://pubmed.ncbi.nlm.nih.gov/5538049/</t>
  </si>
  <si>
    <t>Addresses [Diagnosis of minimal cerebral dysfunction or lesion in school age children]; PubMed indexing emphasizes Affective Symptoms, Attention Deficit Disorder with Hyperactivity, Bender-Gestalt Test, Brain Damage, Chronic.</t>
  </si>
  <si>
    <t>4097225</t>
  </si>
  <si>
    <t>The structural basis of the minimal cerebral dysfunction syndrome.</t>
  </si>
  <si>
    <t>Derby, B M</t>
  </si>
  <si>
    <t>https://pubmed.ncbi.nlm.nih.gov/4097225/</t>
  </si>
  <si>
    <t>Addresses The structural basis of the minimal cerebral dysfunction syndrome; PubMed indexing emphasizes Attention Deficit Disorder with Hyperactivity, Brain Damage, Chronic, Cerebral Ventricles, Hypoxia.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</si>
</sst>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6"/>
      <color rgb="FFFFFFFF"/>
      <name val="Carlito"/>
    </font>
    <font>
      <b/>
      <sz val="11"/>
      <color rgb="FF1F1F1F"/>
      <name val="Carlito"/>
    </font>
    <font>
      <b/>
      <sz val="11"/>
      <color rgb="FFFFFFFF"/>
      <name val="Carlito"/>
    </font>
    <font>
      <sz val="11"/>
      <color rgb="FF0563C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3" borderId="0" xfId="0" applyFont="1" applyFill="1" applyAlignment="1">
      <alignment vertical="top" wrapText="1"/>
    </xf>
    <xf numFmtId="0" fontId="0" fillId="0" borderId="0" xfId="0" applyAlignment="1">
      <alignment wrapText="1"/>
    </xf>
    <xf numFmtId="0" fontId="3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top"/>
    </xf>
    <xf numFmtId="0" fontId="0" fillId="0" borderId="0" xfId="0" applyAlignment="1">
      <alignment vertical="top" wrapText="1"/>
    </xf>
    <xf numFmtId="0" fontId="4" fillId="0" borderId="0" xfId="0" applyFont="1" applyAlignment="1">
      <alignment vertical="top" wrapText="1"/>
    </xf>
    <xf numFmtId="0" fontId="1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DHD1970OnlyTable" displayName="ADHD1970OnlyTable" ref="A1:I14" totalsRowShown="0">
  <tableColumns count="9">
    <tableColumn id="1" xr3:uid="{00000000-0010-0000-0000-000001000000}" name="#"/>
    <tableColumn id="2" xr3:uid="{00000000-0010-0000-0000-000002000000}" name="Year"/>
    <tableColumn id="3" xr3:uid="{00000000-0010-0000-0000-000003000000}" name="PMID"/>
    <tableColumn id="4" xr3:uid="{00000000-0010-0000-0000-000004000000}" name="Paper Title"/>
    <tableColumn id="5" xr3:uid="{00000000-0010-0000-0000-000005000000}" name="Author(s)"/>
    <tableColumn id="6" xr3:uid="{00000000-0010-0000-0000-000006000000}" name="Journal"/>
    <tableColumn id="7" xr3:uid="{00000000-0010-0000-0000-000007000000}" name="PubMed Hyperlink"/>
    <tableColumn id="8" xr3:uid="{00000000-0010-0000-0000-000008000000}" name="PubMed URL"/>
    <tableColumn id="9" xr3:uid="{00000000-0010-0000-0000-000009000000}" name="1-Line Contex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>
      <selection sqref="A1:B1"/>
    </sheetView>
  </sheetViews>
  <sheetFormatPr baseColWidth="10" defaultColWidth="8.83203125" defaultRowHeight="15"/>
  <cols>
    <col min="1" max="1" width="24" customWidth="1"/>
    <col min="2" max="2" width="80" customWidth="1"/>
  </cols>
  <sheetData>
    <row r="1" spans="1:2" ht="25.5" customHeight="1">
      <c r="A1" s="7" t="s">
        <v>0</v>
      </c>
      <c r="B1" s="7"/>
    </row>
    <row r="2" spans="1:2" ht="20" customHeight="1">
      <c r="A2" s="1" t="s">
        <v>1</v>
      </c>
      <c r="B2" s="2" t="s">
        <v>2</v>
      </c>
    </row>
    <row r="3" spans="1:2" ht="20" customHeight="1">
      <c r="A3" s="1" t="s">
        <v>3</v>
      </c>
      <c r="B3" s="2">
        <v>13</v>
      </c>
    </row>
    <row r="4" spans="1:2" ht="20" customHeight="1">
      <c r="A4" s="1" t="s">
        <v>4</v>
      </c>
      <c r="B4" s="2">
        <v>1970</v>
      </c>
    </row>
    <row r="5" spans="1:2" ht="20" customHeight="1">
      <c r="A5" s="1" t="s">
        <v>5</v>
      </c>
      <c r="B5" s="2" t="s">
        <v>6</v>
      </c>
    </row>
    <row r="6" spans="1:2" ht="35.25" customHeight="1">
      <c r="A6" s="1" t="s">
        <v>7</v>
      </c>
      <c r="B6" s="2" t="s">
        <v>8</v>
      </c>
    </row>
    <row r="7" spans="1:2" ht="20" customHeight="1">
      <c r="A7" s="1" t="s">
        <v>9</v>
      </c>
      <c r="B7" s="2" t="s">
        <v>10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4"/>
  <sheetViews>
    <sheetView tabSelected="1" workbookViewId="0"/>
  </sheetViews>
  <sheetFormatPr baseColWidth="10" defaultColWidth="8.83203125" defaultRowHeight="15"/>
  <cols>
    <col min="1" max="1" width="6" customWidth="1"/>
    <col min="2" max="2" width="8" customWidth="1"/>
    <col min="3" max="3" width="12" customWidth="1"/>
    <col min="4" max="4" width="48" customWidth="1"/>
    <col min="5" max="5" width="34" customWidth="1"/>
    <col min="6" max="6" width="30" customWidth="1"/>
    <col min="7" max="7" width="16" customWidth="1"/>
    <col min="8" max="8" width="43" customWidth="1"/>
    <col min="9" max="9" width="62" customWidth="1"/>
  </cols>
  <sheetData>
    <row r="1" spans="1:9" ht="37.25" customHeight="1">
      <c r="A1" s="3" t="s">
        <v>11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16</v>
      </c>
      <c r="G1" s="3" t="s">
        <v>17</v>
      </c>
      <c r="H1" s="3" t="s">
        <v>18</v>
      </c>
      <c r="I1" s="3" t="s">
        <v>19</v>
      </c>
    </row>
    <row r="2" spans="1:9" ht="64">
      <c r="A2" s="4">
        <v>1</v>
      </c>
      <c r="B2" s="4">
        <v>1970</v>
      </c>
      <c r="C2" s="4" t="s">
        <v>20</v>
      </c>
      <c r="D2" s="5" t="s">
        <v>21</v>
      </c>
      <c r="E2" s="5" t="s">
        <v>22</v>
      </c>
      <c r="F2" s="5" t="s">
        <v>23</v>
      </c>
      <c r="G2" s="6" t="str">
        <f>HYPERLINK("https://pubmed.ncbi.nlm.nih.gov/4911365/","Open PubMed")</f>
        <v>Open PubMed</v>
      </c>
      <c r="H2" s="6" t="s">
        <v>24</v>
      </c>
      <c r="I2" s="5" t="s">
        <v>25</v>
      </c>
    </row>
    <row r="3" spans="1:9" ht="80">
      <c r="A3" s="4">
        <v>2</v>
      </c>
      <c r="B3" s="4">
        <v>1970</v>
      </c>
      <c r="C3" s="4" t="s">
        <v>26</v>
      </c>
      <c r="D3" s="5" t="s">
        <v>27</v>
      </c>
      <c r="E3" s="5" t="s">
        <v>28</v>
      </c>
      <c r="F3" s="5" t="s">
        <v>29</v>
      </c>
      <c r="G3" s="6" t="str">
        <f>HYPERLINK("https://pubmed.ncbi.nlm.nih.gov/5491539/","Open PubMed")</f>
        <v>Open PubMed</v>
      </c>
      <c r="H3" s="6" t="s">
        <v>30</v>
      </c>
      <c r="I3" s="5" t="s">
        <v>31</v>
      </c>
    </row>
    <row r="4" spans="1:9" ht="48">
      <c r="A4" s="4">
        <v>3</v>
      </c>
      <c r="B4" s="4">
        <v>1970</v>
      </c>
      <c r="C4" s="4" t="s">
        <v>32</v>
      </c>
      <c r="D4" s="5" t="s">
        <v>33</v>
      </c>
      <c r="E4" s="5" t="s">
        <v>34</v>
      </c>
      <c r="F4" s="5" t="s">
        <v>35</v>
      </c>
      <c r="G4" s="6" t="str">
        <f>HYPERLINK("https://pubmed.ncbi.nlm.nih.gov/4097226/","Open PubMed")</f>
        <v>Open PubMed</v>
      </c>
      <c r="H4" s="6" t="s">
        <v>36</v>
      </c>
      <c r="I4" s="5" t="s">
        <v>37</v>
      </c>
    </row>
    <row r="5" spans="1:9" ht="64">
      <c r="A5" s="4">
        <v>4</v>
      </c>
      <c r="B5" s="4">
        <v>1970</v>
      </c>
      <c r="C5" s="4" t="s">
        <v>38</v>
      </c>
      <c r="D5" s="5" t="s">
        <v>39</v>
      </c>
      <c r="E5" s="5" t="s">
        <v>40</v>
      </c>
      <c r="F5" s="5" t="s">
        <v>41</v>
      </c>
      <c r="G5" s="6" t="str">
        <f>HYPERLINK("https://pubmed.ncbi.nlm.nih.gov/5528093/","Open PubMed")</f>
        <v>Open PubMed</v>
      </c>
      <c r="H5" s="6" t="s">
        <v>42</v>
      </c>
      <c r="I5" s="5" t="s">
        <v>43</v>
      </c>
    </row>
    <row r="6" spans="1:9" ht="64">
      <c r="A6" s="4">
        <v>5</v>
      </c>
      <c r="B6" s="4">
        <v>1970</v>
      </c>
      <c r="C6" s="4" t="s">
        <v>44</v>
      </c>
      <c r="D6" s="5" t="s">
        <v>45</v>
      </c>
      <c r="E6" s="5" t="s">
        <v>46</v>
      </c>
      <c r="F6" s="5" t="s">
        <v>47</v>
      </c>
      <c r="G6" s="6" t="str">
        <f>HYPERLINK("https://pubmed.ncbi.nlm.nih.gov/5523436/","Open PubMed")</f>
        <v>Open PubMed</v>
      </c>
      <c r="H6" s="6" t="s">
        <v>48</v>
      </c>
      <c r="I6" s="5" t="s">
        <v>49</v>
      </c>
    </row>
    <row r="7" spans="1:9" ht="64">
      <c r="A7" s="4">
        <v>6</v>
      </c>
      <c r="B7" s="4">
        <v>1970</v>
      </c>
      <c r="C7" s="4" t="s">
        <v>50</v>
      </c>
      <c r="D7" s="5" t="s">
        <v>51</v>
      </c>
      <c r="E7" s="5" t="s">
        <v>52</v>
      </c>
      <c r="F7" s="5" t="s">
        <v>53</v>
      </c>
      <c r="G7" s="6" t="str">
        <f>HYPERLINK("https://pubmed.ncbi.nlm.nih.gov/5538099/","Open PubMed")</f>
        <v>Open PubMed</v>
      </c>
      <c r="H7" s="6" t="s">
        <v>54</v>
      </c>
      <c r="I7" s="5" t="s">
        <v>55</v>
      </c>
    </row>
    <row r="8" spans="1:9" ht="64">
      <c r="A8" s="4">
        <v>7</v>
      </c>
      <c r="B8" s="4">
        <v>1970</v>
      </c>
      <c r="C8" s="4" t="s">
        <v>56</v>
      </c>
      <c r="D8" s="5" t="s">
        <v>57</v>
      </c>
      <c r="E8" s="5" t="s">
        <v>58</v>
      </c>
      <c r="F8" s="5" t="s">
        <v>59</v>
      </c>
      <c r="G8" s="6" t="str">
        <f>HYPERLINK("https://pubmed.ncbi.nlm.nih.gov/5474700/","Open PubMed")</f>
        <v>Open PubMed</v>
      </c>
      <c r="H8" s="6" t="s">
        <v>60</v>
      </c>
      <c r="I8" s="5" t="s">
        <v>61</v>
      </c>
    </row>
    <row r="9" spans="1:9" ht="64">
      <c r="A9" s="4">
        <v>8</v>
      </c>
      <c r="B9" s="4">
        <v>1970</v>
      </c>
      <c r="C9" s="4" t="s">
        <v>62</v>
      </c>
      <c r="D9" s="5" t="s">
        <v>63</v>
      </c>
      <c r="E9" s="5" t="s">
        <v>64</v>
      </c>
      <c r="F9" s="5" t="s">
        <v>65</v>
      </c>
      <c r="G9" s="6" t="str">
        <f>HYPERLINK("https://pubmed.ncbi.nlm.nih.gov/5526422/","Open PubMed")</f>
        <v>Open PubMed</v>
      </c>
      <c r="H9" s="6" t="s">
        <v>66</v>
      </c>
      <c r="I9" s="5" t="s">
        <v>67</v>
      </c>
    </row>
    <row r="10" spans="1:9" ht="64">
      <c r="A10" s="4">
        <v>9</v>
      </c>
      <c r="B10" s="4">
        <v>1970</v>
      </c>
      <c r="C10" s="4" t="s">
        <v>68</v>
      </c>
      <c r="D10" s="5" t="s">
        <v>69</v>
      </c>
      <c r="E10" s="5" t="s">
        <v>70</v>
      </c>
      <c r="F10" s="5" t="s">
        <v>71</v>
      </c>
      <c r="G10" s="6" t="str">
        <f>HYPERLINK("https://pubmed.ncbi.nlm.nih.gov/4950109/","Open PubMed")</f>
        <v>Open PubMed</v>
      </c>
      <c r="H10" s="6" t="s">
        <v>72</v>
      </c>
      <c r="I10" s="5" t="s">
        <v>73</v>
      </c>
    </row>
    <row r="11" spans="1:9" ht="64">
      <c r="A11" s="4">
        <v>10</v>
      </c>
      <c r="B11" s="4">
        <v>1970</v>
      </c>
      <c r="C11" s="4" t="s">
        <v>74</v>
      </c>
      <c r="D11" s="5" t="s">
        <v>75</v>
      </c>
      <c r="E11" s="5" t="s">
        <v>76</v>
      </c>
      <c r="F11" s="5" t="s">
        <v>77</v>
      </c>
      <c r="G11" s="6" t="str">
        <f>HYPERLINK("https://pubmed.ncbi.nlm.nih.gov/5527608/","Open PubMed")</f>
        <v>Open PubMed</v>
      </c>
      <c r="H11" s="6" t="s">
        <v>78</v>
      </c>
      <c r="I11" s="5" t="s">
        <v>79</v>
      </c>
    </row>
    <row r="12" spans="1:9" ht="64">
      <c r="A12" s="4">
        <v>11</v>
      </c>
      <c r="B12" s="4">
        <v>1970</v>
      </c>
      <c r="C12" s="4" t="s">
        <v>80</v>
      </c>
      <c r="D12" s="5" t="s">
        <v>75</v>
      </c>
      <c r="E12" s="5" t="s">
        <v>76</v>
      </c>
      <c r="F12" s="5" t="s">
        <v>77</v>
      </c>
      <c r="G12" s="6" t="str">
        <f>HYPERLINK("https://pubmed.ncbi.nlm.nih.gov/5520419/","Open PubMed")</f>
        <v>Open PubMed</v>
      </c>
      <c r="H12" s="6" t="s">
        <v>81</v>
      </c>
      <c r="I12" s="5" t="s">
        <v>79</v>
      </c>
    </row>
    <row r="13" spans="1:9" ht="64">
      <c r="A13" s="4">
        <v>12</v>
      </c>
      <c r="B13" s="4">
        <v>1970</v>
      </c>
      <c r="C13" s="4" t="s">
        <v>82</v>
      </c>
      <c r="D13" s="5" t="s">
        <v>83</v>
      </c>
      <c r="E13" s="5" t="s">
        <v>84</v>
      </c>
      <c r="F13" s="5" t="s">
        <v>85</v>
      </c>
      <c r="G13" s="6" t="str">
        <f>HYPERLINK("https://pubmed.ncbi.nlm.nih.gov/5538049/","Open PubMed")</f>
        <v>Open PubMed</v>
      </c>
      <c r="H13" s="6" t="s">
        <v>86</v>
      </c>
      <c r="I13" s="5" t="s">
        <v>87</v>
      </c>
    </row>
    <row r="14" spans="1:9" ht="48">
      <c r="A14" s="4">
        <v>13</v>
      </c>
      <c r="B14" s="4">
        <v>1970</v>
      </c>
      <c r="C14" s="4" t="s">
        <v>88</v>
      </c>
      <c r="D14" s="5" t="s">
        <v>89</v>
      </c>
      <c r="E14" s="5" t="s">
        <v>90</v>
      </c>
      <c r="F14" s="5" t="s">
        <v>35</v>
      </c>
      <c r="G14" s="6" t="str">
        <f>HYPERLINK("https://pubmed.ncbi.nlm.nih.gov/4097225/","Open PubMed")</f>
        <v>Open PubMed</v>
      </c>
      <c r="H14" s="6" t="s">
        <v>91</v>
      </c>
      <c r="I14" s="5" t="s">
        <v>92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1970 ADHD Papers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Arnav Desai</cp:lastModifiedBy>
  <dcterms:created xsi:type="dcterms:W3CDTF">2026-09-20T07:02:24Z</dcterms:created>
  <dcterms:modified xsi:type="dcterms:W3CDTF">2026-09-20T07:02:24Z</dcterms:modified>
</cp:coreProperties>
</file>